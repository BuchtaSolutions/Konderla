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19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vba" sheetId="1" r:id="rId4"/>
    <sheet state="hidden" name="VzorPolozky" sheetId="2" r:id="rId5"/>
    <sheet state="visible" name="00 000 Naklady" sheetId="3" r:id="rId6"/>
    <sheet state="visible" name="IO 710 IO 710 Pol" sheetId="4" r:id="rId7"/>
    <sheet state="visible" name="IO 720a IO 720a Pol" sheetId="5" r:id="rId8"/>
    <sheet state="visible" name="IO 730 IO 730 Pol" sheetId="6" r:id="rId9"/>
    <sheet state="visible" name="IO 754a IO 754a Pol" sheetId="7" r:id="rId10"/>
    <sheet state="visible" name="IO 760b IO 760b Pol" sheetId="8" r:id="rId11"/>
    <sheet state="visible" name="IO 730a IO 730a Pol" sheetId="9" r:id="rId12"/>
    <sheet state="visible" name="IO 763 IO 763 Pol" sheetId="10" r:id="rId13"/>
    <sheet state="visible" name="SO 000 SO 000 Pol" sheetId="11" r:id="rId14"/>
    <sheet state="visible" name="SO 600 SO 600 Pol" sheetId="12" r:id="rId15"/>
    <sheet state="visible" name="SO 601 SO 601 Pol" sheetId="13" r:id="rId16"/>
    <sheet state="visible" name="SO 602 SO 602 Pol" sheetId="14" r:id="rId17"/>
    <sheet state="visible" name="SO 603 SO 603 Pol" sheetId="15" r:id="rId18"/>
    <sheet state="visible" name="SO 603a SO 603a Pol" sheetId="16" r:id="rId19"/>
    <sheet state="visible" name="SO 606 SO 606 Pol" sheetId="17" r:id="rId20"/>
    <sheet state="visible" name="SO 606a SO 606a Pol" sheetId="18" r:id="rId21"/>
    <sheet state="visible" name="SO 630 SO 630 Pol" sheetId="19" r:id="rId22"/>
    <sheet state="visible" name="SO 640 SO 640 Pol" sheetId="20" r:id="rId23"/>
    <sheet state="visible" name="SO 641 SO 641 Pol" sheetId="21" r:id="rId24"/>
  </sheets>
  <externalReferences>
    <externalReference r:id="rId25"/>
  </externalReferences>
  <definedNames>
    <definedName name="CisloRozpoctu">'[1]Krycí list'!$C$2</definedName>
    <definedName name="cislostavby">'[1]Krycí list'!$A$7</definedName>
    <definedName name="NazevRozpoctu">'[1]Krycí list'!$D$2</definedName>
    <definedName name="nazevstavby">'[1]Krycí list'!$C$7</definedName>
    <definedName name="SazbaDPH1">'[1]Krycí list'!$C$30</definedName>
    <definedName name="SazbaDPH2">'[1]Krycí list'!$C$32</definedName>
    <definedName name="SloupecMnozstvi">#REF!</definedName>
    <definedName name="Mena">Stavba!$J$29</definedName>
    <definedName name="Zaokrouhleni">Stavba!$G$27</definedName>
    <definedName localSheetId="0" name="ZakladDPHSniVypocet">Stavba!$F$78</definedName>
    <definedName name="CenaCelkemBezDPH">Stavba!$G$28</definedName>
    <definedName localSheetId="0" name="IČO">Stavba!$I$11</definedName>
    <definedName name="Vypracoval">Stavba!$D$14</definedName>
    <definedName name="SloupecMJ">#REF!</definedName>
    <definedName name="SloupecCC">#REF!</definedName>
    <definedName name="Projektant">Stavba!$D$8</definedName>
    <definedName localSheetId="0" name="CisloStavby">Stavba!$D$2</definedName>
    <definedName name="nazevobjektu">Stavba!$E$3</definedName>
    <definedName name="pdic">Stavba!$I$9</definedName>
    <definedName localSheetId="0" name="omisto">Stavba!$E$7</definedName>
    <definedName name="ZaZhotovitele">Stavba!$D$34</definedName>
    <definedName name="ZaObjednatele">Stavba!$G$34</definedName>
    <definedName name="ZakladDPHZakl">Stavba!$G$25</definedName>
    <definedName name="SloupecJC">#REF!</definedName>
    <definedName localSheetId="0" name="CenaCelkemVypocet">Stavba!$I$78</definedName>
    <definedName localSheetId="0" name="onazev">Stavba!$D$6</definedName>
    <definedName name="SloupecCisloPol">#REF!</definedName>
    <definedName name="padresa">Stavba!$D$9</definedName>
    <definedName name="PoptavkaID">Stavba!$A$1</definedName>
    <definedName localSheetId="0" name="opsc">Stavba!$D$7</definedName>
    <definedName localSheetId="0" name="Objednatel">Stavba!$D$5</definedName>
    <definedName name="MistoStavby">Stavba!$D$4</definedName>
    <definedName name="pPSC">Stavba!$D$10</definedName>
    <definedName name="SloupecPC">#REF!</definedName>
    <definedName name="Zhotovitel">Stavba!$D$11:$G$11</definedName>
    <definedName localSheetId="0" name="NazevStavby">Stavba!$E$2</definedName>
    <definedName localSheetId="0" name="CelkemDPHVypocet">Stavba!$H$78</definedName>
    <definedName localSheetId="0" name="SazbaDPH2">Stavba!$E$25</definedName>
    <definedName localSheetId="0" name="Print_Area">Stavba!$A$1:$J$110</definedName>
    <definedName name="DPHZakl">Stavba!$G$26</definedName>
    <definedName name="CisloStavebnihoRozpoctu">Stavba!$D$4</definedName>
    <definedName name="PocetMJ">#REF!</definedName>
    <definedName localSheetId="0" name="SazbaDPH1">Stavba!$E$23</definedName>
    <definedName name="NazevStavebnihoRozpoctu">Stavba!$E$4</definedName>
    <definedName localSheetId="0" name="DIČ">Stavba!$I$12</definedName>
    <definedName name="dmisto">Stavba!$E$13:$G$13</definedName>
    <definedName localSheetId="0" name="ZakladDPHZaklVypocet">Stavba!$G$78</definedName>
    <definedName localSheetId="0" name="Objekt">Stavba!$B$38</definedName>
    <definedName localSheetId="0" name="Z_B7E7C763_C459_487D_8ABA_5CFDDFBD5A84_.wvu.PrintArea">Stavba!$B$1:$J$36</definedName>
    <definedName localSheetId="0" name="dpsc">Stavba!$D$13</definedName>
    <definedName localSheetId="0" name="oico">Stavba!$I$5</definedName>
    <definedName name="cisloobjektu">Stavba!$D$3</definedName>
    <definedName name="oadresa">Stavba!$D$6</definedName>
    <definedName name="DPHSni">Stavba!$G$24</definedName>
    <definedName name="pmisto">Stavba!$E$10</definedName>
    <definedName name="CenaCelkem">Stavba!$G$29</definedName>
    <definedName localSheetId="0" name="odic">Stavba!$I$6</definedName>
    <definedName name="dadresa">Stavba!$D$12:$G$12</definedName>
    <definedName name="SloupecNazPol">#REF!</definedName>
    <definedName name="pico">Stavba!$I$8</definedName>
    <definedName name="ZakladDPHSni">Stavba!$G$23</definedName>
    <definedName localSheetId="0" name="Z_B7E7C763_C459_487D_8ABA_5CFDDFBD5A84_.wvu.Cols">Stavba!$A:$A</definedName>
  </definedNames>
  <calcPr/>
  <extLst>
    <ext uri="GoogleSheetsCustomDataVersion2">
      <go:sheetsCustomData xmlns:go="http://customooxmlschemas.google.com/" r:id="rId26" roundtripDataChecksum="RW22cJixL8r+dUHyUO8wx34Z5qYHLy61/ZEh495B8W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ID#AAABw-CfHto
Radim Štěpánek    (2025-12-04 09:13:25)
Název</t>
      </text>
    </comment>
    <comment authorId="0" ref="I12">
      <text>
        <t xml:space="preserve">======
ID#AAABw-CfHs8
Radim Štěpánek    (2025-12-04 09:13:24)
DIČ</t>
      </text>
    </comment>
    <comment authorId="0" ref="E13">
      <text>
        <t xml:space="preserve">======
ID#AAABw-CfHsY
Pavel Veternik    (2025-12-04 09:13:24)
Místo</t>
      </text>
    </comment>
    <comment authorId="0" ref="D13">
      <text>
        <t xml:space="preserve">======
ID#AAABw-CfHsE
Radim Štěpánek    (2025-12-04 09:13:24)
PSČ</t>
      </text>
    </comment>
    <comment authorId="0" ref="D12">
      <text>
        <t xml:space="preserve">======
ID#AAABw-CfHsA
Radim Štěpánek    (2025-12-04 09:13:24)
Ulice</t>
      </text>
    </comment>
    <comment authorId="0" ref="I11">
      <text>
        <t xml:space="preserve">======
ID#AAABw-CfHrk
Radim Štěpánek    (2025-12-04 09:13:24)
IČO</t>
      </text>
    </comment>
  </commentList>
  <extLst>
    <ext uri="GoogleSheetsCustomDataVersion2">
      <go:sheetsCustomData xmlns:go="http://customooxmlschemas.google.com/" r:id="rId1" roundtripDataSignature="AMtx7miR/BFt+v09dpxS2K2QAJZPK3d6G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ID#AAABw-CfHuE
kynyking    (2025-12-04 09:13:25)
Jedná se o název CÚ, která je zadána u položky rozpočtu</t>
      </text>
    </comment>
    <comment authorId="0" ref="S6">
      <text>
        <t xml:space="preserve">======
ID#AAABw-CfHro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itzPnZ+IrHPLQhaxttsgwwa8eBN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ID#AAABw-CfHrw
kynyking    (2025-12-04 09:13:24)
Jedná se o informaci, zda se jedná o položku, která je do rozpočtu zadána z cenové soustavy RTS, nebo vlastní.</t>
      </text>
    </comment>
    <comment authorId="0" ref="T6">
      <text>
        <t xml:space="preserve">======
ID#AAABw-CfHrc
kynyking    (2025-12-04 09:13:24)
Jedná se o název CÚ, která je zadána u položky rozpočtu</t>
      </text>
    </comment>
  </commentList>
  <extLst>
    <ext uri="GoogleSheetsCustomDataVersion2">
      <go:sheetsCustomData xmlns:go="http://customooxmlschemas.google.com/" r:id="rId1" roundtripDataSignature="AMtx7mhsfdeU6cCoeCtwlP5cidMSepJBa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ID#AAABw-CfHt4
kynyking    (2025-12-04 09:13:25)
Jedná se o název CÚ, která je zadána u položky rozpočtu</t>
      </text>
    </comment>
    <comment authorId="0" ref="S6">
      <text>
        <t xml:space="preserve">======
ID#AAABw-CfHso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gsXR3M/fh1eAWAdJkfmlggl19LM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ID#AAABw-CfHuI
kynyking    (2025-12-04 09:13:25)
Jedná se o název CÚ, která je zadána u položky rozpočtu</t>
      </text>
    </comment>
    <comment authorId="0" ref="S6">
      <text>
        <t xml:space="preserve">======
ID#AAABw-CfHr0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jD2PjDek8oMCnP8F9YHe7Hno064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ID#AAABw-CfHtw
kynyking    (2025-12-04 09:13:25)
Jedná se o název CÚ, která je zadána u položky rozpočtu</t>
      </text>
    </comment>
    <comment authorId="0" ref="S6">
      <text>
        <t xml:space="preserve">======
ID#AAABw-CfHsg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gnAKt3rv5nOQoKUPTpnIaL/uFi9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ID#AAABw-CfHsc
kynyking    (2025-12-04 09:13:24)
Jedná se o informaci, zda se jedná o položku, která je do rozpočtu zadána z cenové soustavy RTS, nebo vlastní.</t>
      </text>
    </comment>
    <comment authorId="0" ref="T6">
      <text>
        <t xml:space="preserve">======
ID#AAABw-CfHsI
kynyking    (2025-12-04 09:13:24)
Jedná se o název CÚ, která je zadána u položky rozpočtu</t>
      </text>
    </comment>
  </commentList>
  <extLst>
    <ext uri="GoogleSheetsCustomDataVersion2">
      <go:sheetsCustomData xmlns:go="http://customooxmlschemas.google.com/" r:id="rId1" roundtripDataSignature="AMtx7mg91uFzgywEq1Y3K+PosJUF6Ds1Y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ID#AAABw-CfHtc
kynyking    (2025-12-04 09:13:25)
Jedná se o název CÚ, která je zadána u položky rozpočtu</t>
      </text>
    </comment>
    <comment authorId="0" ref="S6">
      <text>
        <t xml:space="preserve">======
ID#AAABw-CfHss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hHWmaC+S6Muwo0ScJNaIGslTPbz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ID#AAABw-CfHtU
kynyking    (2025-12-04 09:13:25)
Jedná se o název CÚ, která je zadána u položky rozpočtu</t>
      </text>
    </comment>
    <comment authorId="0" ref="S6">
      <text>
        <t xml:space="preserve">======
ID#AAABw-CfHrg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iREmbZF07tYA81oiPbhILZjBUBi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ID#AAABw-CfHtk
kynyking    (2025-12-04 09:13:25)
Jedná se o název CÚ, která je zadána u položky rozpočtu</t>
      </text>
    </comment>
    <comment authorId="0" ref="S6">
      <text>
        <t xml:space="preserve">======
ID#AAABw-CfHsk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i6c7H0rd3phR86f3oNS/hjWIWQFg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ID#AAABw-CfHtQ
kynyking    (2025-12-04 09:13:25)
Jedná se o informaci, zda se jedná o položku, která je do rozpočtu zadána z cenové soustavy RTS, nebo vlastní.</t>
      </text>
    </comment>
    <comment authorId="0" ref="T6">
      <text>
        <t xml:space="preserve">======
ID#AAABw-CfHtM
kynyking    (2025-12-04 09:13:24)
Jedná se o název CÚ, která je zadána u položky rozpočtu</t>
      </text>
    </comment>
  </commentList>
  <extLst>
    <ext uri="GoogleSheetsCustomDataVersion2">
      <go:sheetsCustomData xmlns:go="http://customooxmlschemas.google.com/" r:id="rId1" roundtripDataSignature="AMtx7miYB9jqvX8Ibo0KbBMQoAo+YF83+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ID#AAABw-CfHts
kynyking    (2025-12-04 09:13:25)
Jedná se o název CÚ, která je zadána u položky rozpočtu</t>
      </text>
    </comment>
    <comment authorId="0" ref="S6">
      <text>
        <t xml:space="preserve">======
ID#AAABw-CfHsw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gBPYeQWl1nktdeLzTvxHuDU45QOQ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ID#AAABw-CfHtE
kynyking    (2025-12-04 09:13:24)
Jedná se o informaci, zda se jedná o položku, která je do rozpočtu zadána z cenové soustavy RTS, nebo vlastní.</t>
      </text>
    </comment>
    <comment authorId="0" ref="T6">
      <text>
        <t xml:space="preserve">======
ID#AAABw-CfHr4
kynyking    (2025-12-04 09:13:24)
Jedná se o název CÚ, která je zadána u položky rozpočtu</t>
      </text>
    </comment>
  </commentList>
  <extLst>
    <ext uri="GoogleSheetsCustomDataVersion2">
      <go:sheetsCustomData xmlns:go="http://customooxmlschemas.google.com/" r:id="rId1" roundtripDataSignature="AMtx7mjBVkHWQaPdvwZVUcJD4P7qbBsGeQ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ID#AAABw-CfHsU
kynyking    (2025-12-04 09:13:24)
Jedná se o informaci, zda se jedná o položku, která je do rozpočtu zadána z cenové soustavy RTS, nebo vlastní.</t>
      </text>
    </comment>
    <comment authorId="0" ref="T6">
      <text>
        <t xml:space="preserve">======
ID#AAABw-CfHrs
kynyking    (2025-12-04 09:13:24)
Jedná se o název CÚ, která je zadána u položky rozpočtu</t>
      </text>
    </comment>
  </commentList>
  <extLst>
    <ext uri="GoogleSheetsCustomDataVersion2">
      <go:sheetsCustomData xmlns:go="http://customooxmlschemas.google.com/" r:id="rId1" roundtripDataSignature="AMtx7mgYml2+7FJjlSj8vLXmkyXKkXJNG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ID#AAABw-CfHt0
kynyking    (2025-12-04 09:13:25)
Jedná se o název CÚ, která je zadána u položky rozpočtu</t>
      </text>
    </comment>
    <comment authorId="0" ref="S6">
      <text>
        <t xml:space="preserve">======
ID#AAABw-CfHtY
kynyking    (2025-12-04 09:13:25)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g3WxIevMDCzJEcucA9QvQ9fbRoXw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ID#AAABw-CfHtg
kynyking    (2025-12-04 09:13:25)
Jedná se o název CÚ, která je zadána u položky rozpočtu</t>
      </text>
    </comment>
    <comment authorId="0" ref="S6">
      <text>
        <t xml:space="preserve">======
ID#AAABw-CfHs0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jHxVyhOoOnR63I0NbX1xJZ42a7zg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6">
      <text>
        <t xml:space="preserve">======
ID#AAABw-CfHtI
kynyking    (2025-12-04 09:13:24)
Jedná se o informaci, zda se jedná o položku, která je do rozpočtu zadána z cenové soustavy RTS, nebo vlastní.</t>
      </text>
    </comment>
    <comment authorId="0" ref="T6">
      <text>
        <t xml:space="preserve">======
ID#AAABw-CfHs4
kynyking    (2025-12-04 09:13:24)
Jedná se o název CÚ, která je zadána u položky rozpočtu</t>
      </text>
    </comment>
  </commentList>
  <extLst>
    <ext uri="GoogleSheetsCustomDataVersion2">
      <go:sheetsCustomData xmlns:go="http://customooxmlschemas.google.com/" r:id="rId1" roundtripDataSignature="AMtx7miAEccS05YgFgWfqOBIZAXXsTOJZA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ID#AAABw-CfHuA
kynyking    (2025-12-04 09:13:25)
Jedná se o název CÚ, která je zadána u položky rozpočtu</t>
      </text>
    </comment>
    <comment authorId="0" ref="S6">
      <text>
        <t xml:space="preserve">======
ID#AAABw-CfHsQ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hmtbMRmRQKTmO0KkzaENkE5YpBIA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ID#AAABw-CfHt8
kynyking    (2025-12-04 09:13:25)
Jedná se o název CÚ, která je zadána u položky rozpočtu</t>
      </text>
    </comment>
    <comment authorId="0" ref="S6">
      <text>
        <t xml:space="preserve">======
ID#AAABw-CfHtA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jTT+e2Uq7T2SFc5T7LUU8bfKmf6Q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6">
      <text>
        <t xml:space="preserve">======
ID#AAABw-CfHsM
kynyking    (2025-12-04 09:13:24)
Jedná se o název CÚ, která je zadána u položky rozpočtu</t>
      </text>
    </comment>
    <comment authorId="0" ref="S6">
      <text>
        <t xml:space="preserve">======
ID#AAABw-CfHr8
kynyking    (2025-12-04 09:13:24)
Jedná se o informaci, zda se jedná o položku, která je do rozpočtu zadána z cenové soustavy RTS, nebo vlastní.</t>
      </text>
    </comment>
  </commentList>
  <extLst>
    <ext uri="GoogleSheetsCustomDataVersion2">
      <go:sheetsCustomData xmlns:go="http://customooxmlschemas.google.com/" r:id="rId1" roundtripDataSignature="AMtx7mjE8GmKKcB1jIJ1wCpqDeC/vbJ1AQ=="/>
    </ext>
  </extLst>
</comments>
</file>

<file path=xl/sharedStrings.xml><?xml version="1.0" encoding="utf-8"?>
<sst xmlns="http://schemas.openxmlformats.org/spreadsheetml/2006/main" count="10014" uniqueCount="1549">
  <si>
    <t>#RTSROZP#</t>
  </si>
  <si>
    <t>Položkový rozpočet stavby</t>
  </si>
  <si>
    <t>Stavba:</t>
  </si>
  <si>
    <t>2409.2</t>
  </si>
  <si>
    <t>Český technologický park Brno, zóna C - objekty D, E, F - infrastruktura</t>
  </si>
  <si>
    <t>Objednatel:</t>
  </si>
  <si>
    <t>Technologický Park Brno, a.s.</t>
  </si>
  <si>
    <t>IČO:</t>
  </si>
  <si>
    <t>48532215</t>
  </si>
  <si>
    <t>Purkyňova 646/107</t>
  </si>
  <si>
    <t>DIČ:</t>
  </si>
  <si>
    <t>CZ48532215</t>
  </si>
  <si>
    <t>61200</t>
  </si>
  <si>
    <t>Brno-Medlánky</t>
  </si>
  <si>
    <t>Projektant:</t>
  </si>
  <si>
    <t>Zhotovitel:</t>
  </si>
  <si>
    <t>STAVOS Brno, a.s.</t>
  </si>
  <si>
    <t>652 77 911</t>
  </si>
  <si>
    <t>U Svitavy 1077/2</t>
  </si>
  <si>
    <t>CZ65277911</t>
  </si>
  <si>
    <t>618 00</t>
  </si>
  <si>
    <t>Brno</t>
  </si>
  <si>
    <t>Vypracoval:</t>
  </si>
  <si>
    <t>Rozpis ceny</t>
  </si>
  <si>
    <t>Celkem</t>
  </si>
  <si>
    <t>HSV</t>
  </si>
  <si>
    <t>PSV</t>
  </si>
  <si>
    <t>MON</t>
  </si>
  <si>
    <t>VN</t>
  </si>
  <si>
    <t>Vedlejší náklady</t>
  </si>
  <si>
    <t>ON</t>
  </si>
  <si>
    <t>Ostatní náklady</t>
  </si>
  <si>
    <t>Rekapitulace daní</t>
  </si>
  <si>
    <t>Základ pro sníženou DPH</t>
  </si>
  <si>
    <t>%</t>
  </si>
  <si>
    <t xml:space="preserve">Snížená DPH </t>
  </si>
  <si>
    <t>Základ pro základní DPH</t>
  </si>
  <si>
    <t xml:space="preserve">Základní DPH </t>
  </si>
  <si>
    <t>Zaokrouhlení</t>
  </si>
  <si>
    <t>Cena celkem bez DPH</t>
  </si>
  <si>
    <t>Cena celkem s DPH</t>
  </si>
  <si>
    <t>CZK</t>
  </si>
  <si>
    <t>v</t>
  </si>
  <si>
    <t>dne</t>
  </si>
  <si>
    <t>Za zhotovitele</t>
  </si>
  <si>
    <t>Za objednatele</t>
  </si>
  <si>
    <t>Rekapitulace dílčích částí</t>
  </si>
  <si>
    <t>#CASTI&gt;&gt;</t>
  </si>
  <si>
    <t>Číslo</t>
  </si>
  <si>
    <t>Název</t>
  </si>
  <si>
    <t>DPH celkem</t>
  </si>
  <si>
    <t>Cena celkem</t>
  </si>
  <si>
    <t>Stavba</t>
  </si>
  <si>
    <t>00</t>
  </si>
  <si>
    <t>Vedlejší a ostatní náklady</t>
  </si>
  <si>
    <t>000</t>
  </si>
  <si>
    <t>IO 710</t>
  </si>
  <si>
    <t>Plynovod - přeložka</t>
  </si>
  <si>
    <t>IO 720a</t>
  </si>
  <si>
    <t>Přípojka kanalizace (objekt D)</t>
  </si>
  <si>
    <t>IO 730</t>
  </si>
  <si>
    <t>Vodovod - řady</t>
  </si>
  <si>
    <t>IO 730a</t>
  </si>
  <si>
    <t>Vodovod - přípojka D</t>
  </si>
  <si>
    <t>IO 754a</t>
  </si>
  <si>
    <t>Venkovní osvětlení - objekt D</t>
  </si>
  <si>
    <t>IO 760b</t>
  </si>
  <si>
    <t>Přeložka SLP - optika VUT</t>
  </si>
  <si>
    <t>IO 763</t>
  </si>
  <si>
    <t>SLP areálový rozvod - objekt D</t>
  </si>
  <si>
    <t>SO 000</t>
  </si>
  <si>
    <t>HTÚ, Příprava území D+E+F</t>
  </si>
  <si>
    <t>SO 600</t>
  </si>
  <si>
    <t>Vodovodní řad</t>
  </si>
  <si>
    <t>SO 601</t>
  </si>
  <si>
    <t>Vodovodní přípojka E</t>
  </si>
  <si>
    <t>SO 602</t>
  </si>
  <si>
    <t>Vodovodní přípojka F</t>
  </si>
  <si>
    <t>SO 603</t>
  </si>
  <si>
    <t>Kanalizace splašková</t>
  </si>
  <si>
    <t>SO 603a</t>
  </si>
  <si>
    <t>Přípojka splaškové kanalizace</t>
  </si>
  <si>
    <t>SO 606</t>
  </si>
  <si>
    <t>Kanalizace dešťová</t>
  </si>
  <si>
    <t>SO 606a</t>
  </si>
  <si>
    <t>SO 630</t>
  </si>
  <si>
    <t>Venkovní osvětlení - objekt E, F</t>
  </si>
  <si>
    <t>SO 640</t>
  </si>
  <si>
    <t>SLP areálový rozvod - objekt E, F</t>
  </si>
  <si>
    <t>SO 641</t>
  </si>
  <si>
    <t>Přeložka Dial Telecom</t>
  </si>
  <si>
    <t>Celkem za stavbu</t>
  </si>
  <si>
    <t>Rekapitulace dílů</t>
  </si>
  <si>
    <t>Typ dílu</t>
  </si>
  <si>
    <t>1</t>
  </si>
  <si>
    <t>Zemní práce</t>
  </si>
  <si>
    <t>181</t>
  </si>
  <si>
    <t>Sadové úpravy</t>
  </si>
  <si>
    <t>2</t>
  </si>
  <si>
    <t>Základy a zvláštní zakládání</t>
  </si>
  <si>
    <t>4</t>
  </si>
  <si>
    <t>Vodorovné konstrukce</t>
  </si>
  <si>
    <t>5</t>
  </si>
  <si>
    <t>Komunikace</t>
  </si>
  <si>
    <t>63</t>
  </si>
  <si>
    <t>Podlahy a podlahové konstrukce</t>
  </si>
  <si>
    <t>8</t>
  </si>
  <si>
    <t>Trubní vedení</t>
  </si>
  <si>
    <t>89</t>
  </si>
  <si>
    <t>Ostatní konstrukce na trubním vedení</t>
  </si>
  <si>
    <t>898</t>
  </si>
  <si>
    <t>Akumulační nádrž</t>
  </si>
  <si>
    <t>899</t>
  </si>
  <si>
    <t>Čerpací stanice</t>
  </si>
  <si>
    <t>90</t>
  </si>
  <si>
    <t>Oploceni</t>
  </si>
  <si>
    <t>91</t>
  </si>
  <si>
    <t>Doplňující práce na komunikaci</t>
  </si>
  <si>
    <t>93</t>
  </si>
  <si>
    <t>Dokončovací práce inženýrských staveb</t>
  </si>
  <si>
    <t>97</t>
  </si>
  <si>
    <t>Prorážení otvorů</t>
  </si>
  <si>
    <t>99</t>
  </si>
  <si>
    <t>Staveništní přesun hmot</t>
  </si>
  <si>
    <t>723.2</t>
  </si>
  <si>
    <t>Venkovní plynovod</t>
  </si>
  <si>
    <t>M21</t>
  </si>
  <si>
    <t>Elektromontáže</t>
  </si>
  <si>
    <t>M21.M</t>
  </si>
  <si>
    <t>Ostatní</t>
  </si>
  <si>
    <t>M22y</t>
  </si>
  <si>
    <t>Přeložka TKR</t>
  </si>
  <si>
    <t>M23</t>
  </si>
  <si>
    <t>Montáže potrubí</t>
  </si>
  <si>
    <t>M23.4</t>
  </si>
  <si>
    <t>Venkovní osvětlení</t>
  </si>
  <si>
    <t>M46</t>
  </si>
  <si>
    <t>Zemní práce při montážích</t>
  </si>
  <si>
    <t>D96</t>
  </si>
  <si>
    <t>Přesuny suti a vybouraných hmot</t>
  </si>
  <si>
    <t>PSU</t>
  </si>
  <si>
    <t xml:space="preserve">Položkový rozpočet </t>
  </si>
  <si>
    <t>S:</t>
  </si>
  <si>
    <t>O:</t>
  </si>
  <si>
    <t>R:</t>
  </si>
  <si>
    <t>#TypZaznamu#</t>
  </si>
  <si>
    <t>STA</t>
  </si>
  <si>
    <t>NAK</t>
  </si>
  <si>
    <t>OBJ</t>
  </si>
  <si>
    <t>ROZ</t>
  </si>
  <si>
    <t>P.č.</t>
  </si>
  <si>
    <t>Číslo položky</t>
  </si>
  <si>
    <t>Název položky</t>
  </si>
  <si>
    <t>MJ</t>
  </si>
  <si>
    <t>Množství</t>
  </si>
  <si>
    <t>Cena / MJ</t>
  </si>
  <si>
    <t>Dodávka</t>
  </si>
  <si>
    <t>Dodávka celk.</t>
  </si>
  <si>
    <t>Montáž</t>
  </si>
  <si>
    <t>Montáž celk.</t>
  </si>
  <si>
    <t>DPH</t>
  </si>
  <si>
    <t>Cena s DPH</t>
  </si>
  <si>
    <t>Hmotnost / MJ</t>
  </si>
  <si>
    <t>Hmotnost celk.(t)</t>
  </si>
  <si>
    <t>Dem. hmotnost / MJ</t>
  </si>
  <si>
    <t>Dem. hmotnost celk.(t)</t>
  </si>
  <si>
    <t>Ceník</t>
  </si>
  <si>
    <t>Cen. soustava / platnost</t>
  </si>
  <si>
    <t>Cenová úroveň</t>
  </si>
  <si>
    <t>Nhod / MJ</t>
  </si>
  <si>
    <t>Nhod celk.</t>
  </si>
  <si>
    <t>Dodavatel</t>
  </si>
  <si>
    <t>Typ položky</t>
  </si>
  <si>
    <t>Díl:</t>
  </si>
  <si>
    <t>DIL</t>
  </si>
  <si>
    <t>0007T</t>
  </si>
  <si>
    <t>Zkoušky únosnosti pláně</t>
  </si>
  <si>
    <t>Soubor</t>
  </si>
  <si>
    <t>Vlastní</t>
  </si>
  <si>
    <t>Indiv</t>
  </si>
  <si>
    <t>VRN</t>
  </si>
  <si>
    <t>POL99_0</t>
  </si>
  <si>
    <t>005111020R</t>
  </si>
  <si>
    <t>Vytyčení stavby</t>
  </si>
  <si>
    <t>RTS 19/ II</t>
  </si>
  <si>
    <t>POL99_2</t>
  </si>
  <si>
    <t>005111021R</t>
  </si>
  <si>
    <t>Vytyčení inženýrských sítí</t>
  </si>
  <si>
    <t>00511T</t>
  </si>
  <si>
    <t>Geodetické zaměření stavby</t>
  </si>
  <si>
    <t>005127 RT</t>
  </si>
  <si>
    <t>Pronájem mobilního WC po dobu výstavby vč.dopravy</t>
  </si>
  <si>
    <t>005121010R</t>
  </si>
  <si>
    <t>Vybudování zařízení staveniště</t>
  </si>
  <si>
    <t>005121020R</t>
  </si>
  <si>
    <t xml:space="preserve">Provoz zařízení staveniště </t>
  </si>
  <si>
    <t>005121030R</t>
  </si>
  <si>
    <t>Odstranění zařízení staveniště</t>
  </si>
  <si>
    <t>005124010R</t>
  </si>
  <si>
    <t>Koordinační činnost</t>
  </si>
  <si>
    <t>00896T</t>
  </si>
  <si>
    <t>Oplocení staveniště po celou dobu výstavby</t>
  </si>
  <si>
    <t>004111010R</t>
  </si>
  <si>
    <t xml:space="preserve">Průzkumné práce </t>
  </si>
  <si>
    <t>00511 R</t>
  </si>
  <si>
    <t xml:space="preserve">Geodetické práce </t>
  </si>
  <si>
    <t>005211020R</t>
  </si>
  <si>
    <t>Ochrana stávaj. inženýrských sítí na staveništi</t>
  </si>
  <si>
    <t>005211080R</t>
  </si>
  <si>
    <t xml:space="preserve">Bezpečnostní a hygienická opatření na staveništi </t>
  </si>
  <si>
    <t>00523  R</t>
  </si>
  <si>
    <t>Zkoušky a revize</t>
  </si>
  <si>
    <t>005241010R</t>
  </si>
  <si>
    <t xml:space="preserve">Dokumentace skutečného provedení </t>
  </si>
  <si>
    <t>005241020R</t>
  </si>
  <si>
    <t xml:space="preserve">Geodetické zaměření skutečného provedení  </t>
  </si>
  <si>
    <t>005241030T</t>
  </si>
  <si>
    <t>Vyhotovení geometrického plánu</t>
  </si>
  <si>
    <t>SUM</t>
  </si>
  <si>
    <t>Poznámky uchazeče k zadání</t>
  </si>
  <si>
    <t>POPUZIV</t>
  </si>
  <si>
    <t>END</t>
  </si>
  <si>
    <t>113107540R00</t>
  </si>
  <si>
    <t>Odstranění podkladu pl. 50 m2,kam.drcené tl.40 cm</t>
  </si>
  <si>
    <t>m2</t>
  </si>
  <si>
    <t>Práce</t>
  </si>
  <si>
    <t>POL1_1</t>
  </si>
  <si>
    <t xml:space="preserve">asfaltová komunikace : </t>
  </si>
  <si>
    <t>VV</t>
  </si>
  <si>
    <t>7,50*1,50</t>
  </si>
  <si>
    <t>113108310R00</t>
  </si>
  <si>
    <t>Odstranění asfaltové vrstvy pl. do 50 m2, tl.10 cm</t>
  </si>
  <si>
    <t>132201219R00</t>
  </si>
  <si>
    <t>Přípl.za lepivost,hloubení rýh 200cm,hor.3,STROJNĚ</t>
  </si>
  <si>
    <t>m3</t>
  </si>
  <si>
    <t xml:space="preserve">přeložka plynu : </t>
  </si>
  <si>
    <t>Začátek provozního součtu</t>
  </si>
  <si>
    <t xml:space="preserve">  392,70*1,10*2,50</t>
  </si>
  <si>
    <t>Konec provozního součtu</t>
  </si>
  <si>
    <t>1079,9250/2</t>
  </si>
  <si>
    <t>113106231R00</t>
  </si>
  <si>
    <t>Rozebrání dlažeb ze zámkové dlažby v kamenivu</t>
  </si>
  <si>
    <t xml:space="preserve">stávající chodník : </t>
  </si>
  <si>
    <t>1,50*2,00</t>
  </si>
  <si>
    <t>113151111R00</t>
  </si>
  <si>
    <t>Rozebrání ploch ze silničních panelů</t>
  </si>
  <si>
    <t xml:space="preserve">zachování průjezdnosti panelové cesty : </t>
  </si>
  <si>
    <t xml:space="preserve">odstranění panelů po zhotovení prací : </t>
  </si>
  <si>
    <t>6,00</t>
  </si>
  <si>
    <t>113202111R00</t>
  </si>
  <si>
    <t>Vytrhání obrub z krajníků nebo obrubníků stojatých</t>
  </si>
  <si>
    <t>m</t>
  </si>
  <si>
    <t>2*2,00</t>
  </si>
  <si>
    <t>121101103R00</t>
  </si>
  <si>
    <t>Sejmutí ornice s přemístěním přes 100 do 250 m</t>
  </si>
  <si>
    <t xml:space="preserve">sejmutí ornice : </t>
  </si>
  <si>
    <t>6,00*0,20</t>
  </si>
  <si>
    <t>122201101R00</t>
  </si>
  <si>
    <t>Odkopávky nezapažené v hor. 3 do 100 m3</t>
  </si>
  <si>
    <t xml:space="preserve">odkopávka pod ornicí : </t>
  </si>
  <si>
    <t>130001101R00</t>
  </si>
  <si>
    <t>Příplatek za ztížené hloubení v blízkosti vedení</t>
  </si>
  <si>
    <t>132201211R00</t>
  </si>
  <si>
    <t>Hloubení rýh š.do 200 cm hor.3 do 100 m3,STROJNĚ</t>
  </si>
  <si>
    <t>392,70*1,10*2,50</t>
  </si>
  <si>
    <t xml:space="preserve">odkrytí potrubí pro vyřazení z provozu : </t>
  </si>
  <si>
    <t>3,50*1,10*2,50</t>
  </si>
  <si>
    <t>10,00*1,10*2,50</t>
  </si>
  <si>
    <t xml:space="preserve">výkop pro vyřazení potrubí z provozu vytěžením : </t>
  </si>
  <si>
    <t>208,00*1,10*2,50</t>
  </si>
  <si>
    <t xml:space="preserve">odkrytí pro přepojení potrubí : </t>
  </si>
  <si>
    <t>6,00*1,10*2,50</t>
  </si>
  <si>
    <t xml:space="preserve">odkrytí potrubí pro zřízení obtoku : </t>
  </si>
  <si>
    <t>2,50*1,10*2,50</t>
  </si>
  <si>
    <t>133201101R00</t>
  </si>
  <si>
    <t>Hloubení šachet v hor.3 do 100 m3</t>
  </si>
  <si>
    <t xml:space="preserve">šachta pro zalití stávajícího potrubí cementopopílkovou suspenzí : </t>
  </si>
  <si>
    <t>2,00*2,00*2,50</t>
  </si>
  <si>
    <t>151101102R00</t>
  </si>
  <si>
    <t>Pažení a rozepření stěn rýh - příložné - hl. do 4m</t>
  </si>
  <si>
    <t>(392,70*2,50)*2</t>
  </si>
  <si>
    <t>(3,50*2,50)*2</t>
  </si>
  <si>
    <t>(10,00*2,50)*2</t>
  </si>
  <si>
    <t>(208,00*2,50)*2</t>
  </si>
  <si>
    <t>(6,00*2,50)*2</t>
  </si>
  <si>
    <t>(2,50*2,50)*2</t>
  </si>
  <si>
    <t>151101112R00</t>
  </si>
  <si>
    <t>Odstranění pažení stěn rýh - příložné - hl. do 4 m</t>
  </si>
  <si>
    <t>151401501R00</t>
  </si>
  <si>
    <t>Přepažení rozepření - příložné - hl. do 4 m</t>
  </si>
  <si>
    <t>161101102R00</t>
  </si>
  <si>
    <t>Svislé přemístění výkopku z hor.1-4 do 4,0 m</t>
  </si>
  <si>
    <t>POL1_0</t>
  </si>
  <si>
    <t>162701105R00</t>
  </si>
  <si>
    <t>Vodorovné přemístění výkopku z hor.1-4 do 10000 m</t>
  </si>
  <si>
    <t xml:space="preserve">odvoz přebytečné zeminy na skládku : </t>
  </si>
  <si>
    <t>392,70*1,10*0,70</t>
  </si>
  <si>
    <t>167101102R00</t>
  </si>
  <si>
    <t>Nakládání výkopku z hor.1-4 v množství nad 100 m3</t>
  </si>
  <si>
    <t>171201201R00</t>
  </si>
  <si>
    <t>Uložení sypaniny na skl.-modelace na výšku přes 2m</t>
  </si>
  <si>
    <t>174101101R00</t>
  </si>
  <si>
    <t>Zásyp jam, rýh, šachet se zhutněním</t>
  </si>
  <si>
    <t xml:space="preserve">zásyp zbylé části výkopu vykopanou zeminou : </t>
  </si>
  <si>
    <t>392,70*1,10*(2,50-0,70)</t>
  </si>
  <si>
    <t xml:space="preserve">zásyp šachty po zalití stávajícího potrubí cementopopílkovou suspenzí : </t>
  </si>
  <si>
    <t xml:space="preserve">zásyp odkrytí potrubí pro vyřazení z provozu : </t>
  </si>
  <si>
    <t xml:space="preserve">zásyp výkopu po vyřazení potrubí z provozu vytěžením : </t>
  </si>
  <si>
    <t>3,14*0,15*0,15*208,00</t>
  </si>
  <si>
    <t xml:space="preserve">zásyp odkrytí pro přepojení potrubí : </t>
  </si>
  <si>
    <t xml:space="preserve">zásyp odkrytí potrubí pro zřízení obtoku : </t>
  </si>
  <si>
    <t>175101101R00</t>
  </si>
  <si>
    <t>Obsyp potrubí bez prohození sypaniny</t>
  </si>
  <si>
    <t>392,70*1,10*0,60</t>
  </si>
  <si>
    <t>199000005R00</t>
  </si>
  <si>
    <t>Poplatek za skládku zeminy 1- 4</t>
  </si>
  <si>
    <t>t</t>
  </si>
  <si>
    <t xml:space="preserve">  392,70*1,10*0,70</t>
  </si>
  <si>
    <t>302,3790*1,90</t>
  </si>
  <si>
    <t>58337320</t>
  </si>
  <si>
    <t>Štěrkopísek frakce 0-8 C</t>
  </si>
  <si>
    <t>T</t>
  </si>
  <si>
    <t>SPCM</t>
  </si>
  <si>
    <t>Specifikace</t>
  </si>
  <si>
    <t>POL3_1</t>
  </si>
  <si>
    <t xml:space="preserve">  392,70*1,10*0,60</t>
  </si>
  <si>
    <t>259,1820*1,89</t>
  </si>
  <si>
    <t>180402112R00</t>
  </si>
  <si>
    <t>Založení trávníku parkového výsevem svah do 1:2</t>
  </si>
  <si>
    <t xml:space="preserve">vegetační úpravy - zatravnění : </t>
  </si>
  <si>
    <t>400,00*1,50</t>
  </si>
  <si>
    <t xml:space="preserve">nové zatravnění s ornicí : </t>
  </si>
  <si>
    <t>181101132R00</t>
  </si>
  <si>
    <t>Úprava pozemku s rozpoj. a přehrn. hor. 3 do 40 m</t>
  </si>
  <si>
    <t>400,00*1,50*0,20</t>
  </si>
  <si>
    <t>182001112R00</t>
  </si>
  <si>
    <t>Plošná úprava terénu, nerovnosti do 10 cm svah 1:2</t>
  </si>
  <si>
    <t>182301121R00</t>
  </si>
  <si>
    <t>Rozprostření ornice, svah, tl. do 10 cm, do 500 m2</t>
  </si>
  <si>
    <t xml:space="preserve">rozprostření ornice v potřebném množství a potřebné tloušťce : </t>
  </si>
  <si>
    <t>00572410</t>
  </si>
  <si>
    <t>Směs travní parková II. mírná zátěž PROFI</t>
  </si>
  <si>
    <t>kg</t>
  </si>
  <si>
    <t xml:space="preserve">  400,00*1,50</t>
  </si>
  <si>
    <t>600,00*0,05*1,10</t>
  </si>
  <si>
    <t xml:space="preserve">  6,00</t>
  </si>
  <si>
    <t>6,00*0,05*1,10</t>
  </si>
  <si>
    <t>451572111R00</t>
  </si>
  <si>
    <t>Lože pod potrubí z kameniva těženého 0 - 4 mm</t>
  </si>
  <si>
    <t>392,70*1,10*0,10</t>
  </si>
  <si>
    <t>564231111R00</t>
  </si>
  <si>
    <t>Podklad ze štěrkopísku po zhutnění tloušťky 10 cm</t>
  </si>
  <si>
    <t>564861111R00</t>
  </si>
  <si>
    <t>Podklad ze štěrkodrti po zhutnění tloušťky 20 cm</t>
  </si>
  <si>
    <t xml:space="preserve">podkladní štěrk pod panely : </t>
  </si>
  <si>
    <t>565131111R00</t>
  </si>
  <si>
    <t>Podklad z obal kamen. ACP 16+, š. do 3 m, tl. 5 cm</t>
  </si>
  <si>
    <t>573231111R00</t>
  </si>
  <si>
    <t>Postřik živičný spojovací z emulze 0,5-0,7 kg/m2</t>
  </si>
  <si>
    <t>577131211R00</t>
  </si>
  <si>
    <t>Beton asfalt. ACO 8,nebo ACO 11, do 3 m, tl. 4 cm</t>
  </si>
  <si>
    <t>584921121RU1</t>
  </si>
  <si>
    <t>Zřízení plochy ze silničních panelů lože kam.5 cm včetně panelu IZD 86/10  300/100/21</t>
  </si>
  <si>
    <t xml:space="preserve">panelová průjezdná plocha : </t>
  </si>
  <si>
    <t>596215040R00</t>
  </si>
  <si>
    <t>Kladení zámkové dlažby tl. 8 cm do drtě tl. 4 cm</t>
  </si>
  <si>
    <t>59245030</t>
  </si>
  <si>
    <t>Dlažba zámková H-PROFIL 20x16,5x8 cm přírodní</t>
  </si>
  <si>
    <t xml:space="preserve">  1,50*2,00</t>
  </si>
  <si>
    <t>6,00*1,10</t>
  </si>
  <si>
    <t>890-001</t>
  </si>
  <si>
    <t>D+M vyříznutí otvoru na stávajícím plyn.potrubí pro zalití cementopopílkovou suspenzí</t>
  </si>
  <si>
    <t>kus</t>
  </si>
  <si>
    <t xml:space="preserve">výkres č.002 : </t>
  </si>
  <si>
    <t>1,00</t>
  </si>
  <si>
    <t>890-002</t>
  </si>
  <si>
    <t>D+M propojení nového a stávajícího plynovodu pracovníky společnosti RWE dle stanoviska</t>
  </si>
  <si>
    <t>kpl.</t>
  </si>
  <si>
    <t xml:space="preserve">dle stanoviska společnosti RWE : </t>
  </si>
  <si>
    <t xml:space="preserve">částku nutno dopřesnit po zhotovení nového stanoviska : </t>
  </si>
  <si>
    <t>917862111R00</t>
  </si>
  <si>
    <t>Osazení stojat. obrub.bet. s opěrou,lože z C 12/15</t>
  </si>
  <si>
    <t>919735112R00</t>
  </si>
  <si>
    <t>Řezání stávajícího živičného krytu tl. 5 - 10 cm</t>
  </si>
  <si>
    <t>2*7,50</t>
  </si>
  <si>
    <t>59217421</t>
  </si>
  <si>
    <t>Obrubník chodníkový ABO 14-10 1000/100/250</t>
  </si>
  <si>
    <t xml:space="preserve">  2*2,00</t>
  </si>
  <si>
    <t>8,00*1,05</t>
  </si>
  <si>
    <t>930-001</t>
  </si>
  <si>
    <t>D+M betonová tvárnicová chránička pro uložení silových kabelů při křížení</t>
  </si>
  <si>
    <t>936452115R00</t>
  </si>
  <si>
    <t>Výplň potrubí cementopopílkovou suspenzí DN 300</t>
  </si>
  <si>
    <t xml:space="preserve">stávající potrubí vyřadit z provozu zalitím cementopopílkovou suspenzí : </t>
  </si>
  <si>
    <t>119,00</t>
  </si>
  <si>
    <t>998276201R00</t>
  </si>
  <si>
    <t>Přesun hmot, trub.vedení plast. obsypaná kamenivem</t>
  </si>
  <si>
    <t>Přesun hmot</t>
  </si>
  <si>
    <t>POL7_</t>
  </si>
  <si>
    <t xml:space="preserve">Hmotnosti z položek s pořadovými čísly: : </t>
  </si>
  <si>
    <t xml:space="preserve">12,22,27,28,29,30,31,32,33,34,35,36,39,41,43, : </t>
  </si>
  <si>
    <t>Součet: : 580,11265</t>
  </si>
  <si>
    <t>723-001</t>
  </si>
  <si>
    <t>Demontáž potrubí ocel.hladkého svařovaného D 300</t>
  </si>
  <si>
    <t xml:space="preserve">vyřadit potrubí z provozu vytěžením potrubí : </t>
  </si>
  <si>
    <t>208,00</t>
  </si>
  <si>
    <t>210800525RT1</t>
  </si>
  <si>
    <t>Vodič nn a vn CY 2,5 mm2 uložený volně včetně dodávky vodiče CY 2,5</t>
  </si>
  <si>
    <t>POL1_9</t>
  </si>
  <si>
    <t xml:space="preserve">signalizační vodič CYY 1x2,5 mm2, 2x opláštěný : </t>
  </si>
  <si>
    <t>395,70</t>
  </si>
  <si>
    <t>230-001</t>
  </si>
  <si>
    <t>D+M potrubí plast.plyn PE100-RC SDR17 D315/18,7 (DN 300) dvouvrstvé</t>
  </si>
  <si>
    <t xml:space="preserve">dodávka a montáž potrubí DN 300 : </t>
  </si>
  <si>
    <t>392,70</t>
  </si>
  <si>
    <t>230-002</t>
  </si>
  <si>
    <t>D+M potrubí plast.chránička PE100 SDR17 D450/26,7 mm (DN 400)</t>
  </si>
  <si>
    <t xml:space="preserve">dodávka a montáž potrubí DN 400 : </t>
  </si>
  <si>
    <t>20,50</t>
  </si>
  <si>
    <t>230-003</t>
  </si>
  <si>
    <t>D+M potrubí plast.plyn PE100 SDR11 D63/5,8 (DN 50)</t>
  </si>
  <si>
    <t xml:space="preserve">dodávka a montáž potrubí DN 50 : </t>
  </si>
  <si>
    <t xml:space="preserve">obtoky : </t>
  </si>
  <si>
    <t>72,00</t>
  </si>
  <si>
    <t>230-004</t>
  </si>
  <si>
    <t>D+M tvarovka plyn. PE100 SDR 17 D315 oblouk 60°</t>
  </si>
  <si>
    <t>230-005</t>
  </si>
  <si>
    <t>D+M tvarovka plyn. PE100 SDR 17 D315 oblouk 22°</t>
  </si>
  <si>
    <t>230-006</t>
  </si>
  <si>
    <t>D+M tvarovka plyn. PE100 SDR 17 D315 oblouk 11°</t>
  </si>
  <si>
    <t>230-007</t>
  </si>
  <si>
    <t>D+M tvarovka plyn. PE100 SDR 17 D315 přechodka ocel 12" (DN 300)</t>
  </si>
  <si>
    <t>230-008</t>
  </si>
  <si>
    <t>D+M tvarovka plyn. PE100 SDR 17 D315 T-kus 90° rovnoramenný</t>
  </si>
  <si>
    <t>230-009</t>
  </si>
  <si>
    <t>D+M tvarovka plyn. PE100 SDR 17 D315 záslepka</t>
  </si>
  <si>
    <t xml:space="preserve">zaslepení potrubí navařením záslepky : </t>
  </si>
  <si>
    <t>230-010</t>
  </si>
  <si>
    <t>D+M tvarovka plyn. PE100 SDR 17 D315 elektrospojka přesuvná</t>
  </si>
  <si>
    <t>230-011</t>
  </si>
  <si>
    <t>D+M středicí kluzné objímky RACI segment typ F výška 25 mm</t>
  </si>
  <si>
    <t>230-012</t>
  </si>
  <si>
    <t>D+M středicí kluzné objímky RACI segment typ G výška 25 mm</t>
  </si>
  <si>
    <t>230-013</t>
  </si>
  <si>
    <t>D+M plynotěsná pryžová manžeta na chráničku D324x426</t>
  </si>
  <si>
    <t>230-014</t>
  </si>
  <si>
    <t>D+M čichačka 5/4" na chráničku PE D450</t>
  </si>
  <si>
    <t>230-015</t>
  </si>
  <si>
    <t>D+M kontrolní vývod KVZ</t>
  </si>
  <si>
    <t>230-016</t>
  </si>
  <si>
    <t>D+M poklop šoupátkový plyn vč. podkladové desky a obedláždění žulovou kostkou do betonu</t>
  </si>
  <si>
    <t>230-017</t>
  </si>
  <si>
    <t>D+M orientační sloupek vč. betonového základu</t>
  </si>
  <si>
    <t>230-018</t>
  </si>
  <si>
    <t>D+M navrtávka na potrubí ocel DN 300 pro balonovací soupravu se dvěmi balóny</t>
  </si>
  <si>
    <t xml:space="preserve">vč. spojovacího a pomocného materiálu a následného zazátkování otvoru v potrubí : </t>
  </si>
  <si>
    <t>2,00</t>
  </si>
  <si>
    <t>230-019</t>
  </si>
  <si>
    <t>D+M navrtávka na potrubí PE D315 pro balonovací soupravu se dvěmi balóny</t>
  </si>
  <si>
    <t>3,00</t>
  </si>
  <si>
    <t>230-020</t>
  </si>
  <si>
    <t>D+M navrtávka na potrubí ocel DN 300 pro dočasné obtokové potrubí PE D63</t>
  </si>
  <si>
    <t xml:space="preserve">vč. uzávěru, spojovacího a pomocného materiálu  a následného zazátkování potrubí : </t>
  </si>
  <si>
    <t>230-021</t>
  </si>
  <si>
    <t>D+M navrtávka na potrubí PE D315 pro dočasné obtokové potrubí PE D63</t>
  </si>
  <si>
    <t>230-022</t>
  </si>
  <si>
    <t>D+M oprava izolace ocel. potrubí DN 300</t>
  </si>
  <si>
    <t xml:space="preserve">(očištění + nátěr + trojnásobný ovin samolepicí páskou + geotextilie) : </t>
  </si>
  <si>
    <t>1,50</t>
  </si>
  <si>
    <t>230-023</t>
  </si>
  <si>
    <t>D+M tlaková zkouška plynovodu do DN 300</t>
  </si>
  <si>
    <t>230230018R00</t>
  </si>
  <si>
    <t>Hlavní tlaková zkouška vzduchem 0,6 MPa, DN 100</t>
  </si>
  <si>
    <t>230230023R00</t>
  </si>
  <si>
    <t>Hlavní tlaková zkouška vzduchem 0,6 MPa, DN 300</t>
  </si>
  <si>
    <t>460490012R00</t>
  </si>
  <si>
    <t>Fólie výstražná z PVC, šířka 33 cm</t>
  </si>
  <si>
    <t xml:space="preserve">výstražná fólie žlutá plyn : </t>
  </si>
  <si>
    <t>2*392,70</t>
  </si>
  <si>
    <t>979990112R00</t>
  </si>
  <si>
    <t>Poplatek za skládku suti-obal.kam.-asfalt do 30x30</t>
  </si>
  <si>
    <t>Přesun suti</t>
  </si>
  <si>
    <t>POL8_</t>
  </si>
  <si>
    <t xml:space="preserve">Demontážní hmotnosti z položek s pořadovými čísly: : </t>
  </si>
  <si>
    <t xml:space="preserve">1,2,4,5,6,45, : </t>
  </si>
  <si>
    <t>Součet: : 3,06057</t>
  </si>
  <si>
    <t>979081111R00</t>
  </si>
  <si>
    <t>Odvoz suti a vybour. hmot na skládku do 1 km</t>
  </si>
  <si>
    <t>Součet: : 30,60572</t>
  </si>
  <si>
    <t>979081121R00</t>
  </si>
  <si>
    <t>Příplatek k odvozu za každý další 1 km</t>
  </si>
  <si>
    <t>Součet: : 275,45148</t>
  </si>
  <si>
    <t>979088212R00</t>
  </si>
  <si>
    <t>Nakládání suti na dopr.prostředky-zvlášt.zakl.obj.</t>
  </si>
  <si>
    <t>979990001R00</t>
  </si>
  <si>
    <t>Poplatek za skládku stavební suti</t>
  </si>
  <si>
    <t>Součet: : 27,54515</t>
  </si>
  <si>
    <t xml:space="preserve">rýha pro kanalizaci : </t>
  </si>
  <si>
    <t xml:space="preserve">  8,45*1,10*3,50</t>
  </si>
  <si>
    <t>32,5325/2</t>
  </si>
  <si>
    <t>8,45*1,10*3,50</t>
  </si>
  <si>
    <t>(8,45*3,50)*2</t>
  </si>
  <si>
    <t>8,45*1,10*0,58</t>
  </si>
  <si>
    <t xml:space="preserve">zásyp zbylého výkopu vykopanou zeminou : </t>
  </si>
  <si>
    <t>8,45*1,10*(3,50-0,58)</t>
  </si>
  <si>
    <t xml:space="preserve">  8,45*1,10*0,58</t>
  </si>
  <si>
    <t>5,3911*1,90</t>
  </si>
  <si>
    <t>271531113R00</t>
  </si>
  <si>
    <t>Polštář základu z kameniva hr. drceného 16-32 mm</t>
  </si>
  <si>
    <t xml:space="preserve">hutněný štěrkopískový podsyp pod šachtu tl.150 mm : </t>
  </si>
  <si>
    <t>1,50*1,50*0,15</t>
  </si>
  <si>
    <t xml:space="preserve">štěrkopískový podsyp tl.100 mm : </t>
  </si>
  <si>
    <t>8,45*1,10*0,10</t>
  </si>
  <si>
    <t>452111121R00</t>
  </si>
  <si>
    <t>Osazení betonových pražců plochy do 500 cm2</t>
  </si>
  <si>
    <t xml:space="preserve">podkladní pražec : </t>
  </si>
  <si>
    <t>8,00</t>
  </si>
  <si>
    <t>452312131R00</t>
  </si>
  <si>
    <t>Sedlové lože pod potrubí z betonu C 12/15</t>
  </si>
  <si>
    <t xml:space="preserve">podkladní beton tl.80 mm : </t>
  </si>
  <si>
    <t>8,45*1,10*0,08</t>
  </si>
  <si>
    <t>59217011</t>
  </si>
  <si>
    <t>Obrubník silniční betonový 150x250x500 mm</t>
  </si>
  <si>
    <t>591241111R00</t>
  </si>
  <si>
    <t>Kladení dlažby drobné kostky, lože z MC tl. 5 cm</t>
  </si>
  <si>
    <t xml:space="preserve">dvojřádek žulových kostek 100x100x100 do betonového lože C16/20 tl.100 mm : </t>
  </si>
  <si>
    <t>4,60*0,30</t>
  </si>
  <si>
    <t>58380120.A</t>
  </si>
  <si>
    <t>Kostka dlažební drobná 8/10 tř. 1  1t = 5 m2</t>
  </si>
  <si>
    <t xml:space="preserve">  4,60*0,30</t>
  </si>
  <si>
    <t>1,38*1,10</t>
  </si>
  <si>
    <t>631313511R00</t>
  </si>
  <si>
    <t>Mazanina betonová tl. 8 - 12 cm C 12/15</t>
  </si>
  <si>
    <t xml:space="preserve">podkladní beton pod šachtu tl.100 mm : </t>
  </si>
  <si>
    <t>1,40*1,40*0,10</t>
  </si>
  <si>
    <t xml:space="preserve">podkladní beton pod potrubí : </t>
  </si>
  <si>
    <t>631313611R00</t>
  </si>
  <si>
    <t>Mazanina betonová tl. 8 - 12 cm C 16/20</t>
  </si>
  <si>
    <t xml:space="preserve">podkladní beton pod žulové kostky tl.100 mm : </t>
  </si>
  <si>
    <t>4,60*0,30*0,10</t>
  </si>
  <si>
    <t>631319153R00</t>
  </si>
  <si>
    <t>Příplatek za přehlaz. mazanin pod povlaky tl. 12cm</t>
  </si>
  <si>
    <t>631351101R00</t>
  </si>
  <si>
    <t>Bednění stěn, rýh a otvorů v podlahách - zřízení</t>
  </si>
  <si>
    <t>(2*1,40+2*1,40)*0,10</t>
  </si>
  <si>
    <t>631351102R00</t>
  </si>
  <si>
    <t>Bednění stěn, rýh a otvorů v podlahách -odstranění</t>
  </si>
  <si>
    <t>800-001</t>
  </si>
  <si>
    <t>D+M napojení na stávající potrubí</t>
  </si>
  <si>
    <t>831352121R00</t>
  </si>
  <si>
    <t>Montáž trub kameninových, pryž. kroužek, DN 200</t>
  </si>
  <si>
    <t xml:space="preserve">potrubí : </t>
  </si>
  <si>
    <t>8,45</t>
  </si>
  <si>
    <t>837352221R00</t>
  </si>
  <si>
    <t>Montáž tvarov. kamenin. jednoos. pryž. kr. DN 200</t>
  </si>
  <si>
    <t xml:space="preserve">koleno DN 200/15 : </t>
  </si>
  <si>
    <t>892571111R00</t>
  </si>
  <si>
    <t>Zkouška těsnosti kanalizace DN do 200, vodou</t>
  </si>
  <si>
    <t>899623141R00</t>
  </si>
  <si>
    <t>Obetonování potrubí nebo zdiva stok betonem C12/15</t>
  </si>
  <si>
    <t xml:space="preserve">ve výkopu : </t>
  </si>
  <si>
    <t>8,45*1,10*0,40</t>
  </si>
  <si>
    <t xml:space="preserve">v prefa šachtě : </t>
  </si>
  <si>
    <t>3,14*0,50*0,50*0,20</t>
  </si>
  <si>
    <t>899623151R00</t>
  </si>
  <si>
    <t>Obetonování potrubí nebo zdiva stok betonem C16/20</t>
  </si>
  <si>
    <t xml:space="preserve">obetonování šachty betonem C16/20 : </t>
  </si>
  <si>
    <t>1*1,00</t>
  </si>
  <si>
    <t>899643111R00</t>
  </si>
  <si>
    <t>Bednění pro obetonování potrubí v otevřeném výkopu</t>
  </si>
  <si>
    <t>(8,45*0,40)*2</t>
  </si>
  <si>
    <t>1*2,00</t>
  </si>
  <si>
    <t>900-001</t>
  </si>
  <si>
    <t>Tvarovka kameninová koleno DN 200/15° spoj.systém F, tř.160</t>
  </si>
  <si>
    <t>59710633</t>
  </si>
  <si>
    <t>Trouba kamenin.glazov.se spoj F dl.1000, DN 200 mm</t>
  </si>
  <si>
    <t>8,45*1,05</t>
  </si>
  <si>
    <t>452112121R00</t>
  </si>
  <si>
    <t>Osazení beton. prstenců pod mříže, výšky do 200 mm</t>
  </si>
  <si>
    <t xml:space="preserve">šachta RŠ P4.1 : </t>
  </si>
  <si>
    <t>D+M kyselinovzdorné cihly např.KLINKER</t>
  </si>
  <si>
    <t>4*1,00*0,20</t>
  </si>
  <si>
    <t>894423111R00</t>
  </si>
  <si>
    <t>Osazení betonových dílců šachet</t>
  </si>
  <si>
    <t>4,00</t>
  </si>
  <si>
    <t>899104111R00</t>
  </si>
  <si>
    <t>Osazení poklopu s rámem nad 150 kg</t>
  </si>
  <si>
    <t>55340325</t>
  </si>
  <si>
    <t>Poklop D400 litinový bez odvětrání tl. vložka</t>
  </si>
  <si>
    <t xml:space="preserve">poklop vzor BRNO : </t>
  </si>
  <si>
    <t>59224332.A</t>
  </si>
  <si>
    <t>Skruž šachetní TBS-Q.1 100/25/9 PS</t>
  </si>
  <si>
    <t>59224338.A</t>
  </si>
  <si>
    <t>Skruž šachetní TBS-Q.1 100/100/9 PS</t>
  </si>
  <si>
    <t>59224349.A</t>
  </si>
  <si>
    <t>Prstenec vyrovn šachetní TBW-Q.1 63/10</t>
  </si>
  <si>
    <t>59224353.A</t>
  </si>
  <si>
    <t>Konus šachetní TBR-Q.1 100-63/58/12 KPS</t>
  </si>
  <si>
    <t>59224366.A</t>
  </si>
  <si>
    <t>Dno šachetní přímé TBZ-Q.1 100/60 V max. 40</t>
  </si>
  <si>
    <t>59224373.A</t>
  </si>
  <si>
    <t>Těsnění elastom pro šach díly EMT - DN 1000</t>
  </si>
  <si>
    <t xml:space="preserve">3,12,13,14,15,16,17,18,19,20,22,25,26,28,29,30,31,32,33,36,37,38,39,40,41,42,43, : </t>
  </si>
  <si>
    <t>Součet: : 23,46439</t>
  </si>
  <si>
    <t xml:space="preserve">vodovodní řad V1 : </t>
  </si>
  <si>
    <t xml:space="preserve">  64,43*1,10*2,40</t>
  </si>
  <si>
    <t>170,0952/2</t>
  </si>
  <si>
    <t>64,43*1,10*2,40</t>
  </si>
  <si>
    <t>151101101R00</t>
  </si>
  <si>
    <t>Pažení a rozepření stěn rýh - příložné - hl. do 2m</t>
  </si>
  <si>
    <t>(64,43*2,40)*2</t>
  </si>
  <si>
    <t>151101111R00</t>
  </si>
  <si>
    <t>Odstranění pažení stěn rýh - příložné - hl. do 2 m</t>
  </si>
  <si>
    <t>64,43*1,10*0,55</t>
  </si>
  <si>
    <t>167101101R00</t>
  </si>
  <si>
    <t>Nakládání výkopku z hor.1-4 v množství do 100 m3</t>
  </si>
  <si>
    <t>64,43*1,10*(2,40-0,55)</t>
  </si>
  <si>
    <t>64,43*1,10*0,45</t>
  </si>
  <si>
    <t xml:space="preserve">  64,43*1,10*0,55</t>
  </si>
  <si>
    <t>38,9802*1,90</t>
  </si>
  <si>
    <t>58337333</t>
  </si>
  <si>
    <t>Štěrkopísek frakce 0-32 A</t>
  </si>
  <si>
    <t xml:space="preserve">  64,43*1,10*0,45</t>
  </si>
  <si>
    <t>31,8929*1,89</t>
  </si>
  <si>
    <t>64,43*1,10*0,10</t>
  </si>
  <si>
    <t>452313161R00</t>
  </si>
  <si>
    <t>Bloky pro potrubí z betonu C 25/30</t>
  </si>
  <si>
    <t xml:space="preserve">výkres č.006 : </t>
  </si>
  <si>
    <t>1,02+0,10</t>
  </si>
  <si>
    <t>452351101R00</t>
  </si>
  <si>
    <t>Bednění desek nebo sedlových loží pod potrubí</t>
  </si>
  <si>
    <t>5,00</t>
  </si>
  <si>
    <t>851601104R00</t>
  </si>
  <si>
    <t>Montáž potrubí tlakového, tvárná litina DN 150</t>
  </si>
  <si>
    <t xml:space="preserve">potrubí DN150 : </t>
  </si>
  <si>
    <t>64,43</t>
  </si>
  <si>
    <t>857701104R00</t>
  </si>
  <si>
    <t>Montáž tvarovek odbočných, tvárná litina DN 150</t>
  </si>
  <si>
    <t xml:space="preserve">tvarovky z tvárné litiny : </t>
  </si>
  <si>
    <t>1,00+1,00+1,00+1,00+1,00+1,00+2,00+3,00+1,00</t>
  </si>
  <si>
    <t>D+M armatura tvárná litina šoupátko zemní Š DN 80</t>
  </si>
  <si>
    <t>D+M armatura tvárná litina šoupátko zemní Š DN 150</t>
  </si>
  <si>
    <t>890-003</t>
  </si>
  <si>
    <t>D+M armatura tvárná litina hydrant H DN 80 podzemní Rd 1,5 m</t>
  </si>
  <si>
    <t>890-004</t>
  </si>
  <si>
    <t>D+M zemní souprava teleskop. DN 80 Rd 1,2-1,8 m</t>
  </si>
  <si>
    <t>890-005</t>
  </si>
  <si>
    <t>D+M zemní souprava teleskop. DN 150 Rd 1,2-1,8 m</t>
  </si>
  <si>
    <t>890-006</t>
  </si>
  <si>
    <t>D+M poklop hydrantový</t>
  </si>
  <si>
    <t>890-007</t>
  </si>
  <si>
    <t>D+M poklop šoupátkový</t>
  </si>
  <si>
    <t>890-008</t>
  </si>
  <si>
    <t>D+M drenážní blok k hydrantu</t>
  </si>
  <si>
    <t>890-009</t>
  </si>
  <si>
    <t>D+M orientační tabulka pro šoupě</t>
  </si>
  <si>
    <t>890-010</t>
  </si>
  <si>
    <t>D+M orientační tabulka pro hydrant</t>
  </si>
  <si>
    <t>890-011</t>
  </si>
  <si>
    <t>D+M MARKER modrý SM 2500</t>
  </si>
  <si>
    <t>890-012</t>
  </si>
  <si>
    <t>D+M elastomerová manžeta na hrdlový spoj</t>
  </si>
  <si>
    <t>892351111R00</t>
  </si>
  <si>
    <t>Tlaková zkouška vodovodního potrubí DN 200</t>
  </si>
  <si>
    <t>892353111R00</t>
  </si>
  <si>
    <t>Desinfekce vodovodního potrubí DN 200</t>
  </si>
  <si>
    <t>899711122R00</t>
  </si>
  <si>
    <t>Fólie výstražná z PVC, šířka 30 cm</t>
  </si>
  <si>
    <t>Potrubí DN150 TL, těžká protikorozní ochrana (dle ČSN EN 545:2011 tl.stěny litiny min.4,7 mm)</t>
  </si>
  <si>
    <t>64,43*1,05</t>
  </si>
  <si>
    <t>900-002</t>
  </si>
  <si>
    <t>Tvarovka tvárná litina spojka E DN 150</t>
  </si>
  <si>
    <t>900-003</t>
  </si>
  <si>
    <t>Tvarovka tvárná litina spojka F DN 150</t>
  </si>
  <si>
    <t>900-004</t>
  </si>
  <si>
    <t>Tvarovka tvárná litina přírubový kus FFP DN 80 dl.250 mm</t>
  </si>
  <si>
    <t>900-005</t>
  </si>
  <si>
    <t>Tvarovka tvárná litina patkové koleno N DN 80</t>
  </si>
  <si>
    <t>900-006</t>
  </si>
  <si>
    <t>Tvarovka tvárná litina odbočka T DN 150/80</t>
  </si>
  <si>
    <t>900-007</t>
  </si>
  <si>
    <t>Tvarovka tvárná litina odbočka T DN 150/150</t>
  </si>
  <si>
    <t>900-008</t>
  </si>
  <si>
    <t>Tvarovka tvárná litina odbočka MMA DN 150/100</t>
  </si>
  <si>
    <t>900-009</t>
  </si>
  <si>
    <t>Tvarovka tvárná litina koleno MMK DN 150/11°</t>
  </si>
  <si>
    <t>900-010</t>
  </si>
  <si>
    <t>Tvarovka tvárná litina redukce FFR DN 150/80</t>
  </si>
  <si>
    <t xml:space="preserve">3,13,14,15,16,18,34, : </t>
  </si>
  <si>
    <t>Součet: : 73,34103</t>
  </si>
  <si>
    <t>210800526RT1</t>
  </si>
  <si>
    <t>Vodič nn a vn CY 4 mm2 uložený volně včetně dodávky vodiče CY 4</t>
  </si>
  <si>
    <t xml:space="preserve">identifikační vodič : </t>
  </si>
  <si>
    <t>69,00</t>
  </si>
  <si>
    <t>210-001</t>
  </si>
  <si>
    <t>D+M kabel CYKY 5x16</t>
  </si>
  <si>
    <t>210-002</t>
  </si>
  <si>
    <t>D+M rozpínací skříň RS1 kompletní provedení</t>
  </si>
  <si>
    <t>210-003</t>
  </si>
  <si>
    <t>D+M rozpínací skříň RS2 kompletní provedení</t>
  </si>
  <si>
    <t>210-004</t>
  </si>
  <si>
    <t>D+M rozpínací skříň RS3 kompletní provedení</t>
  </si>
  <si>
    <t>211-001</t>
  </si>
  <si>
    <t>Revize a prohlídky zařízení</t>
  </si>
  <si>
    <t>211-002</t>
  </si>
  <si>
    <t>Dohledání napojovacích bodů</t>
  </si>
  <si>
    <t>211-003</t>
  </si>
  <si>
    <t>Vytyčení stávajících sítí</t>
  </si>
  <si>
    <t>D+M zemnící pásek FeZn 30/4</t>
  </si>
  <si>
    <t>230191008R00</t>
  </si>
  <si>
    <t>Uložení chráničky ve výkopu PE 63x5,8mm</t>
  </si>
  <si>
    <t xml:space="preserve">chránička DN63 : </t>
  </si>
  <si>
    <t>360,00</t>
  </si>
  <si>
    <t>230191018R00</t>
  </si>
  <si>
    <t>Uložení chráničky ve výkopu PE 110x10,0 mm</t>
  </si>
  <si>
    <t xml:space="preserve">chránička DN110 : </t>
  </si>
  <si>
    <t>40,00</t>
  </si>
  <si>
    <t>3457114702</t>
  </si>
  <si>
    <t>Trubka kabelová chránička KOPOFLEX KF 09063</t>
  </si>
  <si>
    <t>POL3_9</t>
  </si>
  <si>
    <t>360,00*1,10</t>
  </si>
  <si>
    <t>3457114705</t>
  </si>
  <si>
    <t>Trubka kabelová chránička KOPOFLEX KF 09110</t>
  </si>
  <si>
    <t>40,00*1,10</t>
  </si>
  <si>
    <t>234-001</t>
  </si>
  <si>
    <t>D+M svítidlo VO1 vč.stožáru, výzbroje a uložení výbojkové svítidlo 70W na sloup v.6 m</t>
  </si>
  <si>
    <t>234-002</t>
  </si>
  <si>
    <t>D+M svítidlo VO2 vč.stožáru, výzbroje a uložení výbojkové svítidlo 70W na sloup v.6 m</t>
  </si>
  <si>
    <t>234-003</t>
  </si>
  <si>
    <t>D+M svítidlo VO3 vč.stožáru, výzbroje a uložení výbojkové svítidlo 70W na sloup v.6 m</t>
  </si>
  <si>
    <t>234-004</t>
  </si>
  <si>
    <t>D+M svítidlo VO4 vč.stožáru, výzbroje a uložení výbojkové svítidlo 70W na sloup v.6 m</t>
  </si>
  <si>
    <t>234-005</t>
  </si>
  <si>
    <t>D+M svítidlo VO5 vč.stožáru, výzbroje a uložení výbojkové svítidlo 70W na sloup v.6 m</t>
  </si>
  <si>
    <t>234-006</t>
  </si>
  <si>
    <t>D+M svítidlo VO6 vč.stožáru, výzbroje a uložení výbojkové svítidlo 70W na sloup v.6 m</t>
  </si>
  <si>
    <t>234-007</t>
  </si>
  <si>
    <t>D+M svítidlo VO7 vč.stožáru, výzbroje a uložení výbojkové svítidlo 70W na sloup v.6 m</t>
  </si>
  <si>
    <t>234-008</t>
  </si>
  <si>
    <t>D+M stávající svítidlo V08, stožárovou svorkovnici vyměnit za novou pro tři kabely CYKY 5x16</t>
  </si>
  <si>
    <t>460050703RT1</t>
  </si>
  <si>
    <t>Jáma do 2 m3 pro stožár veřejného osvětlení, hor.3 ruční výkop jámy</t>
  </si>
  <si>
    <t xml:space="preserve">jáma pro stožáry VO1 až VO7 : </t>
  </si>
  <si>
    <t>8*(1,00*1,00*1,20)</t>
  </si>
  <si>
    <t>460100038R00</t>
  </si>
  <si>
    <t>Pouzdr. základ "Zelený utopenec" 1000x1000, v.1000</t>
  </si>
  <si>
    <t xml:space="preserve">stožáry VO1 až VO7 : </t>
  </si>
  <si>
    <t>460200283RT1</t>
  </si>
  <si>
    <t>Výkop kabelové rýhy 50/100 cm hor.3 strojní výkop rýhy</t>
  </si>
  <si>
    <t>410,00</t>
  </si>
  <si>
    <t>460420022RT3</t>
  </si>
  <si>
    <t>Zřízení kabelového lože v rýze š. do 65 cm z písku lože tloušťky 20 cm</t>
  </si>
  <si>
    <t xml:space="preserve">podsyp tl.100 mm a zásyp tl.100 mm : </t>
  </si>
  <si>
    <t>460490012RT1</t>
  </si>
  <si>
    <t>Fólie výstražná z PVC, šířka 33 cm fólie PVC šířka 33 cm</t>
  </si>
  <si>
    <t>410,00*1,10</t>
  </si>
  <si>
    <t>460570203R00</t>
  </si>
  <si>
    <t>Zához rýhy 50/20 cm, hornina třídy 3, se zhutněním</t>
  </si>
  <si>
    <t xml:space="preserve">vrstva přesáté zeminy pod chráničky : </t>
  </si>
  <si>
    <t>460570263R00</t>
  </si>
  <si>
    <t>Zához rýhy 50/80 cm, hornina třídy 3, se zhutněním</t>
  </si>
  <si>
    <t>D+M Kabelová šachta s víkem ref. ZEKAN M1080</t>
  </si>
  <si>
    <t>D+M Chránička HDPE zemní tlustostěnná 32/27mm zodolněná, osazená 4x trubičkou 10/8mm</t>
  </si>
  <si>
    <t>D+M Chránička HDPE zemní tlustostěnná 32/27mm bez mikrotrubiček</t>
  </si>
  <si>
    <t>D+M optický kabel 96VLÁKEN SM G.652D</t>
  </si>
  <si>
    <t>210-005</t>
  </si>
  <si>
    <t>D+M optická spojka PRO 96 VLÁKEN (REF. SX-FOSC-D-96)</t>
  </si>
  <si>
    <t>210-006</t>
  </si>
  <si>
    <t>D+M Utěsnění prostupů v šachtě</t>
  </si>
  <si>
    <t>210-007</t>
  </si>
  <si>
    <t>D+M Optický svár včetně měřícího protokolu</t>
  </si>
  <si>
    <t>210-008</t>
  </si>
  <si>
    <t>Demontáž stávajícího kabelu z rušené přípojky</t>
  </si>
  <si>
    <t>210-009</t>
  </si>
  <si>
    <t>D+M 1401-XR Ball marker telekomunikace</t>
  </si>
  <si>
    <t>210-010</t>
  </si>
  <si>
    <t>Vytýčení stávajícího vedení</t>
  </si>
  <si>
    <t>210-011</t>
  </si>
  <si>
    <t>Geodetické práce - skutečný stav</t>
  </si>
  <si>
    <t>210-012</t>
  </si>
  <si>
    <t>Koordinační činnosti s provozovatelem přeložky</t>
  </si>
  <si>
    <t>210-013</t>
  </si>
  <si>
    <t>Doprava, přesun materiálu</t>
  </si>
  <si>
    <t>210-014</t>
  </si>
  <si>
    <t>Ostatní spojovací a instalační materiál</t>
  </si>
  <si>
    <t>210-015</t>
  </si>
  <si>
    <t>Dokumentace skutečného provedení</t>
  </si>
  <si>
    <t>210-016</t>
  </si>
  <si>
    <t>Ostaní nespecifikované činnosti nutné pro úspěšnou realizaci díla</t>
  </si>
  <si>
    <t>460-001</t>
  </si>
  <si>
    <t>Zemní výkopové práce pro šachtu zekan M1080</t>
  </si>
  <si>
    <t>460-002</t>
  </si>
  <si>
    <t>Zemní práce 60/35 včetně kabelového lože zákrytových desek, záhozu a úpravy povrchu</t>
  </si>
  <si>
    <t xml:space="preserve">přípojka D : </t>
  </si>
  <si>
    <t xml:space="preserve">  6,20*1,10*1,80</t>
  </si>
  <si>
    <t>12,2760/2</t>
  </si>
  <si>
    <t>6,20*1,10*1,80</t>
  </si>
  <si>
    <t>(6,20*1,80)*2</t>
  </si>
  <si>
    <t>6,20*1,10*0,55</t>
  </si>
  <si>
    <t>6,20*1,10*(1,80-0,55)</t>
  </si>
  <si>
    <t>6,20*1,10*0,45</t>
  </si>
  <si>
    <t xml:space="preserve">  6,20*1,10*0,55</t>
  </si>
  <si>
    <t>3,7510*1,90</t>
  </si>
  <si>
    <t xml:space="preserve">  6,20*1,10*0,45</t>
  </si>
  <si>
    <t>3,0690*1,89</t>
  </si>
  <si>
    <t>6,20*1,10*0,10</t>
  </si>
  <si>
    <t>0,40*0,30*0,40</t>
  </si>
  <si>
    <t>0,50*0,30*0,40</t>
  </si>
  <si>
    <t>(2*0,40+2*0,30)*0,40</t>
  </si>
  <si>
    <t>(2*0,50+2*0,30)*0,40</t>
  </si>
  <si>
    <t>851601102R00</t>
  </si>
  <si>
    <t>Montáž potrubí tlakového, tvárná litina DN 100</t>
  </si>
  <si>
    <t xml:space="preserve">potrubí DN100 : </t>
  </si>
  <si>
    <t>6,50</t>
  </si>
  <si>
    <t>857701102R00</t>
  </si>
  <si>
    <t>Montáž tvarovek odbočných, tvárná litina DN 100</t>
  </si>
  <si>
    <t>4,00+4,00+2,00+8,00</t>
  </si>
  <si>
    <t>D+M armatura tvárná litina šoupátko zemní dlouhá déka Š DN 100</t>
  </si>
  <si>
    <t>D+M armatura tvárná litina šoupátko krátká délka Š DN 100</t>
  </si>
  <si>
    <t>D+M armatura tvárná litina filtr DN 100</t>
  </si>
  <si>
    <t>D+M armatura tvárná litina montážní vložka DN 100</t>
  </si>
  <si>
    <t>D+M armatura tvárná litina zpětná klapka DN 100</t>
  </si>
  <si>
    <t>D+M armatura redukční ventil DN 50 přírubový</t>
  </si>
  <si>
    <t>D+M zemní souprava teleskop. DN 100 Rd 1,2-1,8 m</t>
  </si>
  <si>
    <t>D+M ruční kolo k šoupátku DN 100</t>
  </si>
  <si>
    <t>D+M elastomerová manžeta na hrdlový spoj DN 100</t>
  </si>
  <si>
    <t>890-013</t>
  </si>
  <si>
    <t>D+M potrubí ocel pozink. závit. 2" dl. 400 mm</t>
  </si>
  <si>
    <t>890-014</t>
  </si>
  <si>
    <t>D+M potrubí ocel pozink. závit. 2" dl. 250 mm</t>
  </si>
  <si>
    <t>890-015</t>
  </si>
  <si>
    <t>D+M vodoměrové šroubení 2"</t>
  </si>
  <si>
    <t>890-016</t>
  </si>
  <si>
    <t>D+M armatura kulový kohout vypouštěcí VK 1/2"</t>
  </si>
  <si>
    <t>890-017</t>
  </si>
  <si>
    <t>D+M podpěrný blok, beton C12/15</t>
  </si>
  <si>
    <t>890-018</t>
  </si>
  <si>
    <t>D+M chránička ocel DN 150 s kotevním límcem + utěsnění meziprostoru</t>
  </si>
  <si>
    <t>892271111R00</t>
  </si>
  <si>
    <t>Tlaková zkouška vodovodního potrubí DN 125</t>
  </si>
  <si>
    <t>892273111R00</t>
  </si>
  <si>
    <t>Desinfekce vodovodního potrubí DN 125</t>
  </si>
  <si>
    <t>6,50*1,10</t>
  </si>
  <si>
    <t>Potrubí DN100 TL, těžká protikorozní ochrana (dle ČSN EN 545:2011 tl.stěny litiny min.4,7 mm)</t>
  </si>
  <si>
    <t>6,50*1,05</t>
  </si>
  <si>
    <t>Tvarovka tvárná litina spojka E DN 100</t>
  </si>
  <si>
    <t>Tvarovka tvárná litina patkové koleno N DN 100</t>
  </si>
  <si>
    <t>Tvarovka tvárná litina odbočka T DN 100/50</t>
  </si>
  <si>
    <t>Tvarovka tvárná litina přírubová spojka jištěná proti posunu DN 100</t>
  </si>
  <si>
    <t>Tvarovka tvárná litina šroubovací kotevní příruba DN 100</t>
  </si>
  <si>
    <t>Tvarovka tvárná litina s volnou přírubou koleno Q DN 100/90° VP</t>
  </si>
  <si>
    <t>Tvarovka tvárná litina redukce FFR DN 100/80</t>
  </si>
  <si>
    <t>Tvarovka tvárná litina redukce FFR DN 100/50</t>
  </si>
  <si>
    <t>Tvarovka tvárná litina závitová příruba X DN 80 x 2"</t>
  </si>
  <si>
    <t>900-011</t>
  </si>
  <si>
    <t>Tvarovka tvárná litina závitová příruba X DN 50 x 1/2"</t>
  </si>
  <si>
    <t xml:space="preserve">3,13,14,15,16,18,40, : </t>
  </si>
  <si>
    <t>Součet: : 7,34015</t>
  </si>
  <si>
    <t>9,00</t>
  </si>
  <si>
    <t>D+M napojení na stávající kabelové komory</t>
  </si>
  <si>
    <t>D+M kabelová šachta 1000x1000x1000 mm ZEKAN M1080</t>
  </si>
  <si>
    <t>D+M chránička zemní tlustostěnná HDPE 32/27 zodolněná</t>
  </si>
  <si>
    <t xml:space="preserve">trubka HDPE 32/27 : </t>
  </si>
  <si>
    <t>(18,00+85,00+45,00)*4</t>
  </si>
  <si>
    <t>(18,00+85,00+45,00)*2</t>
  </si>
  <si>
    <t>D+M trubička 10/8 mm</t>
  </si>
  <si>
    <t xml:space="preserve">trubička 10/8 mm : </t>
  </si>
  <si>
    <t>D+M trubka KOPODUR DN110 mm</t>
  </si>
  <si>
    <t xml:space="preserve">trubky pod komunikací : </t>
  </si>
  <si>
    <t>3*45,00</t>
  </si>
  <si>
    <t>2*30,00</t>
  </si>
  <si>
    <t>D+M zemnič FeZn 30/4</t>
  </si>
  <si>
    <t xml:space="preserve">  18,00+85,00+45,00</t>
  </si>
  <si>
    <t>148,00*1,10</t>
  </si>
  <si>
    <t>460070654R00</t>
  </si>
  <si>
    <t>Jáma pro šachtu 100 x 100 x 150 cm, hornina 4</t>
  </si>
  <si>
    <t xml:space="preserve">jáma pro kabelovou šachtu : </t>
  </si>
  <si>
    <t>18,00+85,00+45,00</t>
  </si>
  <si>
    <t xml:space="preserve">výstražná fólie : </t>
  </si>
  <si>
    <t>115101223R00</t>
  </si>
  <si>
    <t>Čerpání vody na výšku 10 -25 m, přítok 1000-2000 l</t>
  </si>
  <si>
    <t>h</t>
  </si>
  <si>
    <t>115101303R00</t>
  </si>
  <si>
    <t>Pohotovost čerp.soupravy, výška 10 m,přítok 2000 l</t>
  </si>
  <si>
    <t>den</t>
  </si>
  <si>
    <t xml:space="preserve">skrývka ornice tl.200 mm : </t>
  </si>
  <si>
    <t>123,00*95,00*0,20</t>
  </si>
  <si>
    <t>131201114R00</t>
  </si>
  <si>
    <t>Hloubení nezapaž. jam hor.3 nad 10000m3, STROJNĚ</t>
  </si>
  <si>
    <t xml:space="preserve">hrubé terénní úpravy pro objekt D : </t>
  </si>
  <si>
    <t>63,00*50,30*6,20</t>
  </si>
  <si>
    <t>1100,00</t>
  </si>
  <si>
    <t>132201112R00</t>
  </si>
  <si>
    <t>Hloubení rýh š.do 60 cm v hor.3 nad 100 m3,STROJNĚ</t>
  </si>
  <si>
    <t xml:space="preserve">odvodňovací rýhy : </t>
  </si>
  <si>
    <t>(13,00+14,30+39,85+22,00+12,10+22,00+54,30+20,00)*0,40*0,60</t>
  </si>
  <si>
    <t>161101104R00</t>
  </si>
  <si>
    <t>Svislé přemístění výkopku z hor.1-4 do 8,0 m</t>
  </si>
  <si>
    <t xml:space="preserve">  63,00*50,30*6,20</t>
  </si>
  <si>
    <t xml:space="preserve">  1100,00</t>
  </si>
  <si>
    <t>20747,18*0,20</t>
  </si>
  <si>
    <t xml:space="preserve">  (13,00+14,30+39,85+22,00+12,10+22,00+54,30+20,00)*0,40*0,60</t>
  </si>
  <si>
    <t>47,4120*0,20</t>
  </si>
  <si>
    <t xml:space="preserve">skrývka ornice tl.200 mm - polovinu odvést : </t>
  </si>
  <si>
    <t>(123,00*95,00*0,20)/2</t>
  </si>
  <si>
    <t xml:space="preserve">hrubé terénní úpravy pro objekt D - celý objem odvést  : </t>
  </si>
  <si>
    <t>181101102R00</t>
  </si>
  <si>
    <t>Úprava pláně v zářezech v hor. 1-4, se zhutněním</t>
  </si>
  <si>
    <t xml:space="preserve">příprava provizorních zpevněných ploch : </t>
  </si>
  <si>
    <t xml:space="preserve">staveništní komunikace : </t>
  </si>
  <si>
    <t>1015,00</t>
  </si>
  <si>
    <t xml:space="preserve">skladovací plocha : </t>
  </si>
  <si>
    <t>2390,00</t>
  </si>
  <si>
    <t xml:space="preserve">úprava pláně po vykopaném suterénu  : </t>
  </si>
  <si>
    <t>2500,00</t>
  </si>
  <si>
    <t>199000001R00</t>
  </si>
  <si>
    <t>Poplatek za skládku - ornice</t>
  </si>
  <si>
    <t xml:space="preserve">skrývka ornice tl.200 mm - polovinu odvést  : </t>
  </si>
  <si>
    <t xml:space="preserve">  123,00*95,00*0,20</t>
  </si>
  <si>
    <t>2337,00/2</t>
  </si>
  <si>
    <t>20747,18*1,90</t>
  </si>
  <si>
    <t>47,4120*1,90</t>
  </si>
  <si>
    <t>111-001</t>
  </si>
  <si>
    <t>Odstranění nevhodných dřevin výšky nad 1 m s odstraněním pařezu</t>
  </si>
  <si>
    <t>111-002</t>
  </si>
  <si>
    <t>Pokácení stromu směrové o pr.kmene do 200 mm</t>
  </si>
  <si>
    <t>111-003</t>
  </si>
  <si>
    <t>Pokácení stromu směrové o pr.kmene přes 200 do 300 mm</t>
  </si>
  <si>
    <t>111-004</t>
  </si>
  <si>
    <t>Pokácení stromu směrové o pr.kmene přes 300 do 400 mm</t>
  </si>
  <si>
    <t>111-005</t>
  </si>
  <si>
    <t>Pokácení stromu směrové o pr.kmene přes 400 do 500 mm</t>
  </si>
  <si>
    <t>111-006</t>
  </si>
  <si>
    <t>Pokácení stromu směrové o pr.kmene přes 500 do 600 mm</t>
  </si>
  <si>
    <t>111-007</t>
  </si>
  <si>
    <t>Odstranění pařezu o prům. do 200 mm</t>
  </si>
  <si>
    <t>111-008</t>
  </si>
  <si>
    <t>Odstranění pařezu o prům. přes 200 do 300 mm</t>
  </si>
  <si>
    <t>111-009</t>
  </si>
  <si>
    <t>Odstranění pařezu o prům. přes 300 do 400 mm</t>
  </si>
  <si>
    <t>111-010</t>
  </si>
  <si>
    <t>Drcení ořezaných větví strojně (štěpkování)</t>
  </si>
  <si>
    <t>998-001</t>
  </si>
  <si>
    <t>Štěpka</t>
  </si>
  <si>
    <t>998-002</t>
  </si>
  <si>
    <t>Dřevní hmota</t>
  </si>
  <si>
    <t xml:space="preserve">hutněný štěrkový podsyp frakce 0-32 mm pod objektem D v tl.200 mm : </t>
  </si>
  <si>
    <t xml:space="preserve">pro pilotáž budovy D : </t>
  </si>
  <si>
    <t>650,00</t>
  </si>
  <si>
    <t>564281111R00</t>
  </si>
  <si>
    <t>Podklad ze štěrkopísku po zhutnění tloušťky 30 cm</t>
  </si>
  <si>
    <t xml:space="preserve">zpevnění provizorních zpevněných ploch štěrkem : </t>
  </si>
  <si>
    <t>D+M odčerpávací studna (skruž DN 1000 mm)</t>
  </si>
  <si>
    <t>Odstranění stávajícího oplocení zařízení staveniště, výška 1800 mm</t>
  </si>
  <si>
    <t xml:space="preserve">kompletní odstranění oplocení : </t>
  </si>
  <si>
    <t>65,75</t>
  </si>
  <si>
    <t>998222011R00</t>
  </si>
  <si>
    <t>Přesun hmot, pozemní komunikace, kryt z kameniva</t>
  </si>
  <si>
    <t xml:space="preserve">24,25, : </t>
  </si>
  <si>
    <t>Součet: : 3225,61605</t>
  </si>
  <si>
    <t xml:space="preserve">27, : </t>
  </si>
  <si>
    <t>Součet: : 6,57500</t>
  </si>
  <si>
    <t>Součet: : 59,17500</t>
  </si>
  <si>
    <t>979990107R00</t>
  </si>
  <si>
    <t>Poplatek za skládku suti - směs betonu,cihel,dřeva</t>
  </si>
  <si>
    <t xml:space="preserve">vodovodní řad V : </t>
  </si>
  <si>
    <t xml:space="preserve">  215,83*1,10*2,30</t>
  </si>
  <si>
    <t>546,0499/2</t>
  </si>
  <si>
    <t xml:space="preserve">vodovodní řad V2 : </t>
  </si>
  <si>
    <t>215,83*1,10*2,30</t>
  </si>
  <si>
    <t>(215,83*2,30)*2</t>
  </si>
  <si>
    <t>215,83*1,10*0,55</t>
  </si>
  <si>
    <t>215,83*1,10*(2,30-0,55)</t>
  </si>
  <si>
    <t>215,83*1,10*0,45</t>
  </si>
  <si>
    <t xml:space="preserve">  215,83*1,10*0,55</t>
  </si>
  <si>
    <t>130,5772*1,90</t>
  </si>
  <si>
    <t xml:space="preserve">  215,83*1,10*0,45</t>
  </si>
  <si>
    <t>106,8359*1,89</t>
  </si>
  <si>
    <t>215,83*1,10*0,10</t>
  </si>
  <si>
    <t>1,78</t>
  </si>
  <si>
    <t>7,00</t>
  </si>
  <si>
    <t>215,83</t>
  </si>
  <si>
    <t>2,00+10,00+6,00+3,00</t>
  </si>
  <si>
    <t>D+M chránička OCEL DN 250 (D273/6,5 mm)</t>
  </si>
  <si>
    <t>215,83*1,10</t>
  </si>
  <si>
    <t>215,83*1,05</t>
  </si>
  <si>
    <t>Tvarovka tvárná litina odbočka MMA DN 150/80</t>
  </si>
  <si>
    <t>Tvarovka tvárná litina koleno MMK DN 150/45°</t>
  </si>
  <si>
    <t>Tvarovka tvárná litina koleno MMK DN 150/30°</t>
  </si>
  <si>
    <t>Tvarovka tvárná litina koleno MMK DN 150/22°</t>
  </si>
  <si>
    <t>900-012</t>
  </si>
  <si>
    <t>Tvarovka tvárná litina plná příruba X DN 100</t>
  </si>
  <si>
    <t xml:space="preserve">3,13,14,15,16,18,35, : </t>
  </si>
  <si>
    <t>Součet: : 240,63822</t>
  </si>
  <si>
    <t>232,00</t>
  </si>
  <si>
    <t xml:space="preserve">přípojka E : </t>
  </si>
  <si>
    <t xml:space="preserve">  19,57*1,10*1,80</t>
  </si>
  <si>
    <t>38,7486/2</t>
  </si>
  <si>
    <t>19,57*1,10*1,80</t>
  </si>
  <si>
    <t>(19,57*1,80)*2</t>
  </si>
  <si>
    <t>19,57*1,10*0,55</t>
  </si>
  <si>
    <t>19,57*1,10*(1,80-0,55)</t>
  </si>
  <si>
    <t>19,57*1,10*0,45</t>
  </si>
  <si>
    <t xml:space="preserve">  19,57*1,10*0,55</t>
  </si>
  <si>
    <t>11,8399*1,90</t>
  </si>
  <si>
    <t xml:space="preserve">  19,57*1,10*0,45</t>
  </si>
  <si>
    <t>9,6872*1,89</t>
  </si>
  <si>
    <t>19,57*1,10*0,10</t>
  </si>
  <si>
    <t>19,57</t>
  </si>
  <si>
    <t>5,00+4,00+4,00+2,00+1,00</t>
  </si>
  <si>
    <t>D+M podpěrná konzola</t>
  </si>
  <si>
    <t>D+M armatura kulový kohout vypouštěcí KK 3/4"</t>
  </si>
  <si>
    <t>D+M opěrný blok pod patkové koleno 300x300x170 mm</t>
  </si>
  <si>
    <t>D+M termoizolace trubicí z pěnového polyetylenu laminovaného PE tkaninou tl. 25 mm, d134 mm</t>
  </si>
  <si>
    <t>19,57*1,10</t>
  </si>
  <si>
    <t>19,57*1,05</t>
  </si>
  <si>
    <t>Tvarovka tvárná litina odbočka T DN 100/80</t>
  </si>
  <si>
    <t>Tvarovka tvárná litina závitová příruba DN 80 x 3/4"</t>
  </si>
  <si>
    <t>Tvarovka tvárná litina přírubový kus FFP DN 50 dl. 300 mm</t>
  </si>
  <si>
    <t>Tvarovka tvárná litina přírubový kus FFP DN 50 dl. 200 mm</t>
  </si>
  <si>
    <t xml:space="preserve">3,13,14,15,16,18,39, : </t>
  </si>
  <si>
    <t>Součet: : 21,94516</t>
  </si>
  <si>
    <t>22,50</t>
  </si>
  <si>
    <t xml:space="preserve">přípojka F : </t>
  </si>
  <si>
    <t xml:space="preserve">  8,25*1,10*2,05</t>
  </si>
  <si>
    <t>18,6037/2</t>
  </si>
  <si>
    <t>8,25*1,10*2,05</t>
  </si>
  <si>
    <t>(8,25*2,05)*2</t>
  </si>
  <si>
    <t>8,25*1,10*0,55</t>
  </si>
  <si>
    <t>8,25*1,10*(2,05-0,55)</t>
  </si>
  <si>
    <t>8,25*1,10*0,45</t>
  </si>
  <si>
    <t xml:space="preserve">  8,25*1,10*0,55</t>
  </si>
  <si>
    <t>4,9913*1,90</t>
  </si>
  <si>
    <t xml:space="preserve">  8,25*1,10*0,45</t>
  </si>
  <si>
    <t>4,0838*1,89</t>
  </si>
  <si>
    <t>8,25*1,10*0,10</t>
  </si>
  <si>
    <t>8,25</t>
  </si>
  <si>
    <t>4,00+4,00+4,00+2,00</t>
  </si>
  <si>
    <t>D+M armatura redukční ventil DN 50</t>
  </si>
  <si>
    <t>8,25*1,10</t>
  </si>
  <si>
    <t>8,25*1,05</t>
  </si>
  <si>
    <t xml:space="preserve">3,13,14,15,16,18,37, : </t>
  </si>
  <si>
    <t>Součet: : 9,57546</t>
  </si>
  <si>
    <t>11,00</t>
  </si>
  <si>
    <t xml:space="preserve">splašková kanalizace : </t>
  </si>
  <si>
    <t xml:space="preserve">  125,80*1,15*3,30</t>
  </si>
  <si>
    <t>477,4110/2</t>
  </si>
  <si>
    <t>125,80*1,15*3,30</t>
  </si>
  <si>
    <t>(125,80*3,30)*2</t>
  </si>
  <si>
    <t>125,80*1,15*1,28</t>
  </si>
  <si>
    <t>125,80*1,15*(3,30-1,28)</t>
  </si>
  <si>
    <t>125,80*1,15*0,60</t>
  </si>
  <si>
    <t xml:space="preserve">  125,80*1,15*1,28</t>
  </si>
  <si>
    <t>185,1776*1,90</t>
  </si>
  <si>
    <t xml:space="preserve">  125,80*1,15*0,60</t>
  </si>
  <si>
    <t>86,8020*1,89</t>
  </si>
  <si>
    <t>4*(1,50*1,50*0,15)</t>
  </si>
  <si>
    <t>125,80*1,15*0,10</t>
  </si>
  <si>
    <t>126,00</t>
  </si>
  <si>
    <t>(4,60*0,30)*4</t>
  </si>
  <si>
    <t>4*1,38*1,10</t>
  </si>
  <si>
    <t xml:space="preserve">podkladní beton pod potrubí  : </t>
  </si>
  <si>
    <t>125,80*1,15*0,08</t>
  </si>
  <si>
    <t>4*(1,40*1,40*0,10)</t>
  </si>
  <si>
    <t xml:space="preserve">  4,60*0,30*0,10</t>
  </si>
  <si>
    <t>0,1380*4</t>
  </si>
  <si>
    <t>((4*1,40)*0,10)*4</t>
  </si>
  <si>
    <t>D+M těsnící kroužek pro kameninové potrubí DN300 do vyvrt.otvoru ve stáv.šachtě (Forshera F910)</t>
  </si>
  <si>
    <t>831372121R00</t>
  </si>
  <si>
    <t>Montáž trub kameninových, pryž. kroužek, DN 300</t>
  </si>
  <si>
    <t xml:space="preserve">potrubí kameninové DN 300 : </t>
  </si>
  <si>
    <t>125,80</t>
  </si>
  <si>
    <t>837371221R00</t>
  </si>
  <si>
    <t>Montáž tvarov. kamenin. odboč. pryž. krouž. DN 300</t>
  </si>
  <si>
    <t>892581111R00</t>
  </si>
  <si>
    <t>Zkouška těsnosti kanalizace DN do 300, vodou</t>
  </si>
  <si>
    <t>892583111R00</t>
  </si>
  <si>
    <t>Zabezpečení konců kanal. potrubí DN do 300, vodou</t>
  </si>
  <si>
    <t>úsek</t>
  </si>
  <si>
    <t>125,80*1,15*0,65</t>
  </si>
  <si>
    <t>(3,14*0,50*0,50*0,20)*4</t>
  </si>
  <si>
    <t>4*1,00</t>
  </si>
  <si>
    <t>4*2,00</t>
  </si>
  <si>
    <t xml:space="preserve">obetonování ve výkopu kolem potrubí : </t>
  </si>
  <si>
    <t>125,80*2,00</t>
  </si>
  <si>
    <t>Odbočka kameninová 90° DN 300/150 tř.160</t>
  </si>
  <si>
    <t>Odbočka kameninová 90° DN 300/200 tř.160</t>
  </si>
  <si>
    <t>59710699.A</t>
  </si>
  <si>
    <t>Trouba kamenin.glazov.se spoj C dl.2500, DN 300 mm</t>
  </si>
  <si>
    <t>125,80*1,05</t>
  </si>
  <si>
    <t>1,00+5,00+1,00</t>
  </si>
  <si>
    <t>4,00+2,00+4,00+2,00+4,00</t>
  </si>
  <si>
    <t>59224176</t>
  </si>
  <si>
    <t>Prstenec vyrovnávací TBW-Q 625/80/120</t>
  </si>
  <si>
    <t>POL3_0</t>
  </si>
  <si>
    <t>59224177</t>
  </si>
  <si>
    <t>Prstenec vyrovnávací TBW-Q 625/100/120</t>
  </si>
  <si>
    <t>59224177.A</t>
  </si>
  <si>
    <t>Prstenec vyrovnávací TBW-Q 625/120/120</t>
  </si>
  <si>
    <t>59224334.A</t>
  </si>
  <si>
    <t>Skruž šachetní TBS-Q.1 100/50/9 PS</t>
  </si>
  <si>
    <t>970051300R00</t>
  </si>
  <si>
    <t>Vrtání jádrové do ŽB do D 300 mm</t>
  </si>
  <si>
    <t xml:space="preserve">3,13,14,15,16,17,18,19,20,21,23,26,27,29,30,31,32,33,34,35,36,39,40,41,42,43,44,45,46,47,48,49, : </t>
  </si>
  <si>
    <t>Součet: : 497,32038</t>
  </si>
  <si>
    <t xml:space="preserve">  13,70*1,15*3,20</t>
  </si>
  <si>
    <t>50,4160/2</t>
  </si>
  <si>
    <t>13,70*1,15*3,20</t>
  </si>
  <si>
    <t>(13,75*3,20)*2</t>
  </si>
  <si>
    <t>13,70*1,15*1,28</t>
  </si>
  <si>
    <t>13,70*1,15*(3,20-1,28)</t>
  </si>
  <si>
    <t>13,70*1,15*0,60</t>
  </si>
  <si>
    <t xml:space="preserve">  13,70*1,15*1,28</t>
  </si>
  <si>
    <t>20,1664*1,90</t>
  </si>
  <si>
    <t xml:space="preserve">  13,70*1,15*0,60</t>
  </si>
  <si>
    <t>9,4530*1,89</t>
  </si>
  <si>
    <t>13,75*1,15*0,10</t>
  </si>
  <si>
    <t>14,00</t>
  </si>
  <si>
    <t>13,75*1,15*0,08</t>
  </si>
  <si>
    <t>D+M trubní tvarovka kanal. plast SN8 DN 200 přechodka kamenina</t>
  </si>
  <si>
    <t>800-002</t>
  </si>
  <si>
    <t>D+M trubní tvarovka kanal. plast SN8 DN 200 zátka do hrdla</t>
  </si>
  <si>
    <t xml:space="preserve">potrubí kameninové DN 200 : </t>
  </si>
  <si>
    <t>13,70</t>
  </si>
  <si>
    <t>892573111R00</t>
  </si>
  <si>
    <t>Zabezpečení konců kanal. potrubí DN do 200, vodou</t>
  </si>
  <si>
    <t>13,70*1,15*0,50</t>
  </si>
  <si>
    <t>13,70*1,50</t>
  </si>
  <si>
    <t>13,70*1,05</t>
  </si>
  <si>
    <t>D+M Revizní šachta plast. DN 400, hl. 2.55 m typ dna I DN 200, poklop litina 40 t</t>
  </si>
  <si>
    <t xml:space="preserve">do teleskop.roury : </t>
  </si>
  <si>
    <t xml:space="preserve">přesná specifikace dle výkresu č.005 : </t>
  </si>
  <si>
    <t xml:space="preserve">kompletní provedení vč.betonu C35/45-XA3 a betonového konusu : </t>
  </si>
  <si>
    <t xml:space="preserve">3,13,14,15,16,17,19,20,22,23,24,25,26, : </t>
  </si>
  <si>
    <t>Součet: : 44,96951</t>
  </si>
  <si>
    <t>131201119R00</t>
  </si>
  <si>
    <t>Příplatek za lepivost - hloubení nezap.jam v hor.3</t>
  </si>
  <si>
    <t xml:space="preserve">  výkop pro uliční vpusť : </t>
  </si>
  <si>
    <t xml:space="preserve">  7*(1,83*1,83*2,78)</t>
  </si>
  <si>
    <t xml:space="preserve">  výkop pro PREFA šachtu  : </t>
  </si>
  <si>
    <t xml:space="preserve">  6*(2,70*2,70*1,70)</t>
  </si>
  <si>
    <t xml:space="preserve">  výkop pro akumulační nádrž : </t>
  </si>
  <si>
    <t xml:space="preserve">  16,00*4,60*4,88</t>
  </si>
  <si>
    <t xml:space="preserve">  výkop pro čerpací stanici : </t>
  </si>
  <si>
    <t xml:space="preserve">  4,00*4,00*6,88</t>
  </si>
  <si>
    <t>608,7756/2</t>
  </si>
  <si>
    <t xml:space="preserve">  Výtlak - D : </t>
  </si>
  <si>
    <t xml:space="preserve">  26,85*1,20*3,00</t>
  </si>
  <si>
    <t xml:space="preserve">  Stoka  D4 : </t>
  </si>
  <si>
    <t xml:space="preserve">  78,80*1,20*2,00</t>
  </si>
  <si>
    <t xml:space="preserve">  Stoka L2 - 1 : </t>
  </si>
  <si>
    <t xml:space="preserve">  76,77*1,20*2,00</t>
  </si>
  <si>
    <t xml:space="preserve">  přípojky : </t>
  </si>
  <si>
    <t xml:space="preserve">  26,00*1,20*2,00</t>
  </si>
  <si>
    <t>532,4280/2</t>
  </si>
  <si>
    <t>131201112R00</t>
  </si>
  <si>
    <t>Hloubení nezapaž. jam hor.3 do 1000 m3, STROJNĚ</t>
  </si>
  <si>
    <t xml:space="preserve">výkop pro uliční vpusť : </t>
  </si>
  <si>
    <t>7*(1,83*1,83*2,78)</t>
  </si>
  <si>
    <t xml:space="preserve">výkop pro PREFA šachtu  : </t>
  </si>
  <si>
    <t>6*(2,70*2,70*1,70)</t>
  </si>
  <si>
    <t xml:space="preserve">výkop pro akumulační nádrž : </t>
  </si>
  <si>
    <t>16,00*4,60*4,88</t>
  </si>
  <si>
    <t xml:space="preserve">výkop pro čerpací stanici : </t>
  </si>
  <si>
    <t>4,00*4,00*6,88</t>
  </si>
  <si>
    <t xml:space="preserve">Výtlak - D : </t>
  </si>
  <si>
    <t>26,85*1,20*3,00</t>
  </si>
  <si>
    <t xml:space="preserve">Stoka  D4 : </t>
  </si>
  <si>
    <t>78,80*1,20*2,00</t>
  </si>
  <si>
    <t xml:space="preserve">Stoka L2 - 1 : </t>
  </si>
  <si>
    <t>76,77*1,20*2,00</t>
  </si>
  <si>
    <t xml:space="preserve">přípojky : </t>
  </si>
  <si>
    <t>26,00*1,20*2,00</t>
  </si>
  <si>
    <t>(26,85*3,00)*2</t>
  </si>
  <si>
    <t>(78,80*2,00)*2</t>
  </si>
  <si>
    <t>(76,77*2,00)*2</t>
  </si>
  <si>
    <t>(26,00*2,00)*2</t>
  </si>
  <si>
    <t>151101202R00</t>
  </si>
  <si>
    <t>Pažení stěn výkopu - příložné - hloubky do 8 m</t>
  </si>
  <si>
    <t>(4*4,00)*6,88</t>
  </si>
  <si>
    <t>151101212R00</t>
  </si>
  <si>
    <t>Odstranění pažení stěn - příložné - hl. do 8 m</t>
  </si>
  <si>
    <t>151101302R00</t>
  </si>
  <si>
    <t>Rozepření stěn pažení - příložné -  hl. do 8 m</t>
  </si>
  <si>
    <t>151101312R00</t>
  </si>
  <si>
    <t>Odstranění rozepření stěn - příložné - hl. do 8 m</t>
  </si>
  <si>
    <t>161101103R00</t>
  </si>
  <si>
    <t>Svislé přemístění výkopku z hor.1-4 do 6,0 m</t>
  </si>
  <si>
    <t>26,85*1,20*0,70</t>
  </si>
  <si>
    <t>78,80*1,20*0,70</t>
  </si>
  <si>
    <t>76,77*1,20*0,70</t>
  </si>
  <si>
    <t>26,00*1,20*0,70</t>
  </si>
  <si>
    <t xml:space="preserve">akumulační nádrž  : </t>
  </si>
  <si>
    <t>12,00*2,60*3,90</t>
  </si>
  <si>
    <t xml:space="preserve">čerpací stanice : </t>
  </si>
  <si>
    <t>3,14*1,355*1,355*3,30</t>
  </si>
  <si>
    <t>3,14*0,55*0,55*3,58</t>
  </si>
  <si>
    <t>3,14*0,40*0,40*3,58</t>
  </si>
  <si>
    <t>26,85*1,20*(3,00-0,70)</t>
  </si>
  <si>
    <t>78,80*1,20*(2,00-0,70)</t>
  </si>
  <si>
    <t>76,77*1,20*(2,00-0,70)</t>
  </si>
  <si>
    <t>26,00*1,20*(2,00-0,70)</t>
  </si>
  <si>
    <t>26,85*1,20*0,60</t>
  </si>
  <si>
    <t>78,80*1,20*0,60</t>
  </si>
  <si>
    <t>76,77*1,20*0,60</t>
  </si>
  <si>
    <t>26,00*1,20*0,60</t>
  </si>
  <si>
    <t xml:space="preserve">obsyp pro uliční vpusť : </t>
  </si>
  <si>
    <t>-7*(0,63*0,63*2,78)</t>
  </si>
  <si>
    <t xml:space="preserve">obsyp pro PREFA šachtu  : </t>
  </si>
  <si>
    <t>-6*(1,50*1,50*1,70)</t>
  </si>
  <si>
    <t xml:space="preserve">obsyp kolem akumulační nádrže vykopanou zeminou : </t>
  </si>
  <si>
    <t>-12,00*2,60*3,90</t>
  </si>
  <si>
    <t xml:space="preserve">obsyp kolem čerpací stanice vykopanou zeminou : </t>
  </si>
  <si>
    <t>-3,14*1,355*1,355*3,30</t>
  </si>
  <si>
    <t>-3,14*0,55*0,55*3,58</t>
  </si>
  <si>
    <t>-3,14*0,40*0,40*3,58</t>
  </si>
  <si>
    <t>175101109R00</t>
  </si>
  <si>
    <t>Příplatek za prohození sypaniny pro obsyp potrubí</t>
  </si>
  <si>
    <t xml:space="preserve">  26,85*1,20*0,70</t>
  </si>
  <si>
    <t xml:space="preserve">  78,80*1,20*0,70</t>
  </si>
  <si>
    <t xml:space="preserve">  76,77*1,20*0,70</t>
  </si>
  <si>
    <t xml:space="preserve">  26,00*1,20*0,70</t>
  </si>
  <si>
    <t xml:space="preserve">  akumulační nádrž  : </t>
  </si>
  <si>
    <t xml:space="preserve">  12,00*2,60*3,90</t>
  </si>
  <si>
    <t xml:space="preserve">  čerpací stanice : </t>
  </si>
  <si>
    <t xml:space="preserve">  3,14*1,355*1,355*3,30</t>
  </si>
  <si>
    <t xml:space="preserve">  3,14*0,55*0,55*3,58</t>
  </si>
  <si>
    <t xml:space="preserve">  3,14*0,40*0,40*3,58</t>
  </si>
  <si>
    <t>462,3029*1,90</t>
  </si>
  <si>
    <t xml:space="preserve">  26,85*1,20*0,60</t>
  </si>
  <si>
    <t>19,3320*1,89</t>
  </si>
  <si>
    <t xml:space="preserve">  78,80*1,20*0,60</t>
  </si>
  <si>
    <t>56,7360*1,89</t>
  </si>
  <si>
    <t xml:space="preserve">  76,77*1,20*0,60</t>
  </si>
  <si>
    <t>55,2744*1,89</t>
  </si>
  <si>
    <t xml:space="preserve">  26,00*1,20*0,60</t>
  </si>
  <si>
    <t>18,72*1,89</t>
  </si>
  <si>
    <t xml:space="preserve">  -7*(0,63*0,63*2,78)</t>
  </si>
  <si>
    <t>57,4459*1,89</t>
  </si>
  <si>
    <t xml:space="preserve">  -6*(1,50*1,50*1,70)</t>
  </si>
  <si>
    <t>51,4080*1,89</t>
  </si>
  <si>
    <t>6*(1,50*1,50*0,15)</t>
  </si>
  <si>
    <t xml:space="preserve">hutněný štěrkopískový podsyp pod uliční vpusť tl.100 mm : </t>
  </si>
  <si>
    <t>7*(1,83*1,83*0,10)</t>
  </si>
  <si>
    <t xml:space="preserve">štěrkový násyp tl.120 mm pod akumulační nádrž : </t>
  </si>
  <si>
    <t>12,50*3,10*0,12</t>
  </si>
  <si>
    <t xml:space="preserve">štěrkový podsyp pod čerpací stanici : </t>
  </si>
  <si>
    <t>3,00*3,00*0,15</t>
  </si>
  <si>
    <t>271531114R00</t>
  </si>
  <si>
    <t>Polštář základu z kameniva drceného 8-16 mm</t>
  </si>
  <si>
    <t xml:space="preserve">pískové lože tl.30 mm pod akumulační nádrž : </t>
  </si>
  <si>
    <t>12,40*3,00*0,03</t>
  </si>
  <si>
    <t>26,85*1,20*0,10</t>
  </si>
  <si>
    <t>78,80*1,20*0,10</t>
  </si>
  <si>
    <t>76,77*1,20*0,10</t>
  </si>
  <si>
    <t>26,00*1,20*0,10</t>
  </si>
  <si>
    <t>(4,60*0,30)*6</t>
  </si>
  <si>
    <t>6*1,38*1,10</t>
  </si>
  <si>
    <t>6*(1,40*1,40*0,10)</t>
  </si>
  <si>
    <t>0,1380*6</t>
  </si>
  <si>
    <t xml:space="preserve">podkladní beton pod uliční vpusť tl.100 mm : </t>
  </si>
  <si>
    <t>7*(1,23*1,23*0,10)</t>
  </si>
  <si>
    <t>631315611R00</t>
  </si>
  <si>
    <t>Mazanina betonová tl. 12 - 24 cm C 16/20</t>
  </si>
  <si>
    <t xml:space="preserve">podkladní beton pod akumulační nádrž tl.150 mm : </t>
  </si>
  <si>
    <t>12,40*3,00*0,15</t>
  </si>
  <si>
    <t xml:space="preserve">podkladní beton pod čerpací stanici tl.150 mm : </t>
  </si>
  <si>
    <t>631319155R00</t>
  </si>
  <si>
    <t>Příplatek za přehlaz. mazanin pod povlaky tl. 24cm</t>
  </si>
  <si>
    <t>631319175R00</t>
  </si>
  <si>
    <t>Příplatek za stržení povrchu mazaniny tl. 24 cm</t>
  </si>
  <si>
    <t>((4*1,40)*0,10)*6</t>
  </si>
  <si>
    <t>(28*1,23)*0,10</t>
  </si>
  <si>
    <t>(2*12,40+2*3,00)*0,15</t>
  </si>
  <si>
    <t>(2*3,00+2*3,00)*0,15</t>
  </si>
  <si>
    <t>631361921RT5</t>
  </si>
  <si>
    <t>Výztuž mazanin svařovanou sítí z drátů tažených svařovaná síť - drát 6,0 mm, oka 150/150 mm</t>
  </si>
  <si>
    <t xml:space="preserve">  12,40*3,00</t>
  </si>
  <si>
    <t>37,20*3,301*0,001*1,20</t>
  </si>
  <si>
    <t xml:space="preserve">  3,00*3,00</t>
  </si>
  <si>
    <t>9,00*3,301*0,001*1,20</t>
  </si>
  <si>
    <t>D+M tvarovka kanalizační plastová SN8 odbočka 250/150/45°</t>
  </si>
  <si>
    <t>D+M koncová klapka DN 300, HDPE pro montáž na kolmou stěnu</t>
  </si>
  <si>
    <t>871211121R00</t>
  </si>
  <si>
    <t>Montáž trubek polyetylenových ve výkopu d 63 mm</t>
  </si>
  <si>
    <t xml:space="preserve">potrubí tlakové PE100 SDR17 D63/3,8 (DN 50 PN 10) : </t>
  </si>
  <si>
    <t>26,81</t>
  </si>
  <si>
    <t>871313121R00</t>
  </si>
  <si>
    <t>Montáž trub z plastu, gumový kroužek, DN 150</t>
  </si>
  <si>
    <t xml:space="preserve">potrubí kanal.plast SN8 DN 150 : </t>
  </si>
  <si>
    <t>26,00</t>
  </si>
  <si>
    <t>871373121R00</t>
  </si>
  <si>
    <t>Montáž trub z plastu, gumový kroužek, DN 300</t>
  </si>
  <si>
    <t xml:space="preserve">potrubí kanal.plast SN8 DN 250 : </t>
  </si>
  <si>
    <t>151,72</t>
  </si>
  <si>
    <t xml:space="preserve">potrubí kanal.plast SN8 DN 300 : </t>
  </si>
  <si>
    <t>6,55</t>
  </si>
  <si>
    <t>6,55+151,72</t>
  </si>
  <si>
    <t>(3,14*0,50*0,50*0,20)*6</t>
  </si>
  <si>
    <t xml:space="preserve">základ z betonu u uliční vpusti : </t>
  </si>
  <si>
    <t xml:space="preserve">výkres č.007 : </t>
  </si>
  <si>
    <t>7*1,50</t>
  </si>
  <si>
    <t>6*1,00</t>
  </si>
  <si>
    <t xml:space="preserve">obetonování čerpací stanice betonem C16/20 : </t>
  </si>
  <si>
    <t>8,80*3,00*0,15</t>
  </si>
  <si>
    <t>3,14*1,355*1,355*0,15</t>
  </si>
  <si>
    <t xml:space="preserve">obetonování výstupního a montážních komínků : </t>
  </si>
  <si>
    <t>1,10*2,10*3,30</t>
  </si>
  <si>
    <t>-3,14*0,425*0,425*3,30</t>
  </si>
  <si>
    <t>6*2,00</t>
  </si>
  <si>
    <t>8,80*3,00</t>
  </si>
  <si>
    <t>8,80*0,15</t>
  </si>
  <si>
    <t>4,00*0,15</t>
  </si>
  <si>
    <t>(2*1,10+2*2,10)*3,30</t>
  </si>
  <si>
    <t>28611262.A</t>
  </si>
  <si>
    <t>Trubka kanalizační KGEM SN 8 PVC 160x4,7x5000</t>
  </si>
  <si>
    <t xml:space="preserve">  26,00/5,00</t>
  </si>
  <si>
    <t>5,20*1,10</t>
  </si>
  <si>
    <t>28611268.A</t>
  </si>
  <si>
    <t>Trubka kanalizační KGEM SN 8 PVC 250x7,3x5000</t>
  </si>
  <si>
    <t xml:space="preserve">  151,72/5,00</t>
  </si>
  <si>
    <t>30,3440*1,10</t>
  </si>
  <si>
    <t>28611270.A</t>
  </si>
  <si>
    <t>Trubka kanalizační KGEM SN 8 PVC 315x9,2x1000</t>
  </si>
  <si>
    <t>28611271.A</t>
  </si>
  <si>
    <t>Trubka kanalizační KGEM SN 8 PVC 315x9,2x3000</t>
  </si>
  <si>
    <t>286134413</t>
  </si>
  <si>
    <t>Trubka SUPERPIPE SDR 17  63 x 3,8 mm návin voda</t>
  </si>
  <si>
    <t>RTS 18/ I</t>
  </si>
  <si>
    <t>RTS 17/ II</t>
  </si>
  <si>
    <t>26,81*1,10</t>
  </si>
  <si>
    <t xml:space="preserve">prefa šachty : </t>
  </si>
  <si>
    <t>2,00+1,00+2,00+3,00+2,00</t>
  </si>
  <si>
    <t xml:space="preserve">akumulační nádrž : </t>
  </si>
  <si>
    <t>4,00+4,00</t>
  </si>
  <si>
    <t>1,0+1,00+28,00+1,00</t>
  </si>
  <si>
    <t>6*1,00*0,20</t>
  </si>
  <si>
    <t>D+M uliční dešťová vpusť s kalovým prostorem vzor BRNO, bez zápachové uzávěry</t>
  </si>
  <si>
    <t xml:space="preserve">přesné provedení dle výkresu č.008 v PD : </t>
  </si>
  <si>
    <t>4,00+2,00+3,00+1,00+1,00+6,00</t>
  </si>
  <si>
    <t>2,00+1,00+1,00+1,00</t>
  </si>
  <si>
    <t>59224174.A</t>
  </si>
  <si>
    <t>Prstenec vyrovnávací TBW-Q 625/40/120</t>
  </si>
  <si>
    <t>59224175</t>
  </si>
  <si>
    <t>Prstenec vyrovnávací TBW-Q 625/60/120</t>
  </si>
  <si>
    <t>1,00+1,00</t>
  </si>
  <si>
    <t>28,00</t>
  </si>
  <si>
    <t>59224354</t>
  </si>
  <si>
    <t>Deska zákrytová TZK-Q.1 100-63/17</t>
  </si>
  <si>
    <t>898-001</t>
  </si>
  <si>
    <t>D+M akumulační nádrž na dešťovou vodu KL RN 82, rozměr 12000x2600x3600 mm</t>
  </si>
  <si>
    <t xml:space="preserve">přesná specifikace dle výkresu č.007 : </t>
  </si>
  <si>
    <t xml:space="preserve">položka obsahuje : </t>
  </si>
  <si>
    <t xml:space="preserve">- výrobu nádrže : </t>
  </si>
  <si>
    <t xml:space="preserve">- dopravu a naložení : </t>
  </si>
  <si>
    <t xml:space="preserve">- složení : </t>
  </si>
  <si>
    <t xml:space="preserve">- manipulaci jeřábem na určené místo : </t>
  </si>
  <si>
    <t>899-001</t>
  </si>
  <si>
    <t>D+M čerpací stanice AS PUMP 2710/3000 EO/PB-SV, pr.2380 mm</t>
  </si>
  <si>
    <t xml:space="preserve">celoplastová dvouplášťová šachta s armovací výztuží určená k obetonování : </t>
  </si>
  <si>
    <t xml:space="preserve">- výrobu čerpací stanice : </t>
  </si>
  <si>
    <t>899-002</t>
  </si>
  <si>
    <t>D+M ponorné kalové čerpadlo, sestava 1+1 Q=3,6l/s, H=5m, P=2,8kW (400W)</t>
  </si>
  <si>
    <t>899-003</t>
  </si>
  <si>
    <t>D+M výtlačné potrubí DN63</t>
  </si>
  <si>
    <t>soubor</t>
  </si>
  <si>
    <t>899-004</t>
  </si>
  <si>
    <t>D+N nátokové potrubí, DN dle skutečnosti</t>
  </si>
  <si>
    <t>899-005</t>
  </si>
  <si>
    <t>D+M vodící tyč pro čerpadlo</t>
  </si>
  <si>
    <t>899-006</t>
  </si>
  <si>
    <t>D+M řetěz čerpadla</t>
  </si>
  <si>
    <t>899-007</t>
  </si>
  <si>
    <t>D+M kotvení vodící tyče + háček pro řetěz</t>
  </si>
  <si>
    <t>899-008</t>
  </si>
  <si>
    <t>D+M chránička kabelu plováku</t>
  </si>
  <si>
    <t>899-009</t>
  </si>
  <si>
    <t>D+M spínací plovák čerpadla</t>
  </si>
  <si>
    <t>899-010</t>
  </si>
  <si>
    <t>D+M typový rozvaděč RSC 6 vč.základu kompletní provedení dle PD</t>
  </si>
  <si>
    <t>899-011</t>
  </si>
  <si>
    <t>D+M přenosný otočný jeřáb vč.oddělovací patky</t>
  </si>
  <si>
    <t>899-012</t>
  </si>
  <si>
    <t>D+M uzávěr + zpětná klapka DN 50</t>
  </si>
  <si>
    <t xml:space="preserve">5,7,9,22,23,24,25,26,27,28,29,30,34,36,41,44,45,46,47,48,49,50,51,52,53,55,57,58,59,60,61,62,63,64, : </t>
  </si>
  <si>
    <t xml:space="preserve">65,66,67,68,69,70,71,72, : </t>
  </si>
  <si>
    <t>Součet: : 718,95594</t>
  </si>
  <si>
    <t>D+M elektroinstalace k čerpací stanici</t>
  </si>
  <si>
    <t xml:space="preserve">dešťová kanalizace : </t>
  </si>
  <si>
    <t xml:space="preserve">  22,60*1,20*2,00</t>
  </si>
  <si>
    <t xml:space="preserve">  5,00*1,20*2,00</t>
  </si>
  <si>
    <t>66,24/2</t>
  </si>
  <si>
    <t>131201111R00</t>
  </si>
  <si>
    <t>Hloubení nezapaž. jam hor.3 do 100 m3, STROJNĚ</t>
  </si>
  <si>
    <t>2*(1,83*1,83*2,78)</t>
  </si>
  <si>
    <t>1*(2,70*2,70*1,70)</t>
  </si>
  <si>
    <t>22,60*1,20*2,00</t>
  </si>
  <si>
    <t>5,00*1,20*2,00</t>
  </si>
  <si>
    <t>(22,60*2,00)*2</t>
  </si>
  <si>
    <t>(5,00*2,00)*2</t>
  </si>
  <si>
    <t>22,60*1,20*0,70</t>
  </si>
  <si>
    <t>5,00*1,20*0,70</t>
  </si>
  <si>
    <t>22,60*1,20*(2,00-0,70)</t>
  </si>
  <si>
    <t>5,00*1,20*(2,00-0,70)</t>
  </si>
  <si>
    <t>22,60*1,20*0,60</t>
  </si>
  <si>
    <t>5,00*1,20*0,60</t>
  </si>
  <si>
    <t>-2*(0,63*0,63*2,78)</t>
  </si>
  <si>
    <t>-1*(1,50*1,50*1,70)</t>
  </si>
  <si>
    <t xml:space="preserve">  22,60*1,20*0,70</t>
  </si>
  <si>
    <t xml:space="preserve">  5,00*1,20*0,70</t>
  </si>
  <si>
    <t xml:space="preserve">  2*(1,83*1,83*2,78)</t>
  </si>
  <si>
    <t xml:space="preserve">  1*(2,70*2,70*1,70)</t>
  </si>
  <si>
    <t>54,1969*1,90</t>
  </si>
  <si>
    <t xml:space="preserve">  22,60*1,20*0,60</t>
  </si>
  <si>
    <t xml:space="preserve">  5,00*1,20*0,60</t>
  </si>
  <si>
    <t>19,8720*1,89</t>
  </si>
  <si>
    <t xml:space="preserve">  -2*(0,63*0,63*2,78)</t>
  </si>
  <si>
    <t>16,4131*1,89</t>
  </si>
  <si>
    <t xml:space="preserve">  -1*(1,50*1,50*1,70)</t>
  </si>
  <si>
    <t>8,5680*1,89</t>
  </si>
  <si>
    <t>1*(1,50*1,50*0,15)</t>
  </si>
  <si>
    <t>2*(1,83*1,83*0,10)</t>
  </si>
  <si>
    <t>22,60*1,20*0,10</t>
  </si>
  <si>
    <t>5,00*1,20*0,10</t>
  </si>
  <si>
    <t>(4,60*0,30)*1</t>
  </si>
  <si>
    <t>1*1,38*1,10</t>
  </si>
  <si>
    <t>1*(1,40*1,40*0,10)</t>
  </si>
  <si>
    <t>0,1380*1</t>
  </si>
  <si>
    <t>2*(1,23*1,23*0,10)</t>
  </si>
  <si>
    <t>((4*1,40)*0,10)*1</t>
  </si>
  <si>
    <t>(8*1,23)*0,10</t>
  </si>
  <si>
    <t>22,60</t>
  </si>
  <si>
    <t>(3,14*0,50*0,50*0,20)*1</t>
  </si>
  <si>
    <t>2*1,50</t>
  </si>
  <si>
    <t>28611267.A</t>
  </si>
  <si>
    <t>Trubka kanalizační KGEM SN 8 PVC 250x7,3x3000</t>
  </si>
  <si>
    <t>1*1,00*0,20</t>
  </si>
  <si>
    <t xml:space="preserve">přesné provedení dle výkresu č.006 v PD : </t>
  </si>
  <si>
    <t xml:space="preserve">4,14,15,16,17,18,19,20,22,26,29,30,31,32,33,34,35,36,38,40,41,42,43,44,45,46, : </t>
  </si>
  <si>
    <t>Součet: : 106,70883</t>
  </si>
  <si>
    <t>D+M rozpínací skříň RS4 kompletní provedení</t>
  </si>
  <si>
    <t>550,00</t>
  </si>
  <si>
    <t>20,00</t>
  </si>
  <si>
    <t>550,00*1,10</t>
  </si>
  <si>
    <t>20,00*1,10</t>
  </si>
  <si>
    <t>234-009</t>
  </si>
  <si>
    <t>D+M svítidlo VO9 vč.stožáru, výzbroje a uložení výbojkové svítidlo 70W na sloup v.6 m</t>
  </si>
  <si>
    <t>234-010</t>
  </si>
  <si>
    <t>D+M svítidlo VO10 vč.stožáru, výzbroje a uložení výbojkové svítidlo 70W na sloup v.6 m</t>
  </si>
  <si>
    <t>234-011</t>
  </si>
  <si>
    <t>D+M svítidlo VO11 vč.stožáru, výzbroje a uložení výbojkové svítidlo 70W na sloup v.6 m</t>
  </si>
  <si>
    <t>234-012</t>
  </si>
  <si>
    <t>D+M svítidlo VO12 vč.stožáru, výzbroje a uložení výbojkové svítidlo 70W na sloup v.6 m</t>
  </si>
  <si>
    <t>234-013</t>
  </si>
  <si>
    <t>D+M svítidlo VO13 vč.stožáru, výzbroje a uložení výbojkové svítidlo 70W na sloup v.6 m</t>
  </si>
  <si>
    <t>234-014</t>
  </si>
  <si>
    <t>D+M svítidlo VO14 vč.stožáru, výzbroje a uložení výbojkové svítidlo 70W na sloup v.6 m</t>
  </si>
  <si>
    <t>234-015</t>
  </si>
  <si>
    <t>D+M svítidlo VO15 vč.stožáru, výzbroje a uložení výbojkové svítidlo 70W na sloup v.6 m</t>
  </si>
  <si>
    <t>234-016</t>
  </si>
  <si>
    <t>D+M svítidlo VO16 vč.stožáru, výzbroje a uložení výbojkové svítidlo 70W na sloup v.6 m</t>
  </si>
  <si>
    <t>234-017</t>
  </si>
  <si>
    <t>D+M svítidlo VO17 vč.stožáru, výzbroje a uložení výbojkové svítidlo 70W na sloup v.6 m</t>
  </si>
  <si>
    <t>234-018</t>
  </si>
  <si>
    <t>D+M svítidlo VO18 vč.stožáru, výzbroje a uložení výbojkové svítidlo 70W na sloup v.6 m</t>
  </si>
  <si>
    <t>234-019</t>
  </si>
  <si>
    <t>D+M svítidlo VO19 vč.stožáru, výzbroje a uložení výbojkové svítidlo 70W na sloup v.6 m</t>
  </si>
  <si>
    <t>234-020</t>
  </si>
  <si>
    <t>D+M svítidlo VO20 vč.stožáru, výzbroje a uložení výbojkové svítidlo 70W na sloup v.6 m</t>
  </si>
  <si>
    <t>234-021</t>
  </si>
  <si>
    <t>D+M svítidlo VO21 vč.stožáru, výzbroje a uložení výbojkové svítidlo 70W na sloup v.6 m</t>
  </si>
  <si>
    <t>234-022</t>
  </si>
  <si>
    <t>D+M svítidlo VO22 vč.stožáru, výzbroje a uložení výbojkové svítidlo 70W na sloup v.6 m</t>
  </si>
  <si>
    <t>234-023</t>
  </si>
  <si>
    <t>D+M svítidlo VO23 vč.stožáru, výzbroje a uložení výbojkové svítidlo 70W na sloup v.6 m</t>
  </si>
  <si>
    <t>234-024</t>
  </si>
  <si>
    <t>D+M svítidlo VO24 vč.stožáru, výzbroje a uložení výbojkové svítidlo 70W na sloup v.6 m</t>
  </si>
  <si>
    <t xml:space="preserve">jáma pro stožáry VO9 až VO24 : </t>
  </si>
  <si>
    <t>16*(1,00*1,00*1,20)</t>
  </si>
  <si>
    <t xml:space="preserve">stožáry VO9 až VO24 : </t>
  </si>
  <si>
    <t>16,00</t>
  </si>
  <si>
    <t>700,00</t>
  </si>
  <si>
    <t>700,00*1,10</t>
  </si>
  <si>
    <t>4*25,00</t>
  </si>
  <si>
    <t>2*25,00</t>
  </si>
  <si>
    <t>2*6,00</t>
  </si>
  <si>
    <t>25,00*1,10</t>
  </si>
  <si>
    <t>25,00</t>
  </si>
  <si>
    <t>220-001</t>
  </si>
  <si>
    <t>Zřízení vývod.od kab.optického pro měřen.</t>
  </si>
  <si>
    <t>ks</t>
  </si>
  <si>
    <t>220-002</t>
  </si>
  <si>
    <t>Zakončení optického kabelu po měření</t>
  </si>
  <si>
    <t>vl.</t>
  </si>
  <si>
    <t>220-003</t>
  </si>
  <si>
    <t>Svaření 1 vl. svetlovod.kabelu</t>
  </si>
  <si>
    <t>220-004</t>
  </si>
  <si>
    <t>Trubka HDPE 40 světlezelená, 1 bílý pruh</t>
  </si>
  <si>
    <t>220-005</t>
  </si>
  <si>
    <t>Trubka HDPE do pr. 75mm volně uložená</t>
  </si>
  <si>
    <t>220-006</t>
  </si>
  <si>
    <t>Spojka 40mm na trubku HDPE</t>
  </si>
  <si>
    <t>220-007</t>
  </si>
  <si>
    <t>Demontáž a montáž spojky</t>
  </si>
  <si>
    <t>220-008</t>
  </si>
  <si>
    <t>Rozlomení sváru</t>
  </si>
  <si>
    <t>220-009</t>
  </si>
  <si>
    <t>Za/vyfukování OK do 144 vl. do HDPE trubky</t>
  </si>
  <si>
    <t>220-010</t>
  </si>
  <si>
    <t>Příprava svetlovod.kab. k ukonč., spojk.  12-24vl.</t>
  </si>
  <si>
    <t>220-011</t>
  </si>
  <si>
    <t>Příprava svetlovod.kab. k ukonč., spojk. nad 24vl</t>
  </si>
  <si>
    <t>220-012</t>
  </si>
  <si>
    <t>Ochrana sváru vlákna</t>
  </si>
  <si>
    <t>220-013</t>
  </si>
  <si>
    <t>Měření OTDR po překládce</t>
  </si>
  <si>
    <t>220-014</t>
  </si>
  <si>
    <t>Tlakování trubky HDPE do pr. 75mm</t>
  </si>
  <si>
    <t>220-015</t>
  </si>
  <si>
    <t>Kalibrace trubky HDPE do pr. 75mm</t>
  </si>
  <si>
    <t>Vytyčení trati kabel.ved.v zast.prostoru</t>
  </si>
  <si>
    <t>km</t>
  </si>
  <si>
    <t>Hloubení kabelové rýhy 50cm šir.,120cm hlub.,zem.tř.4</t>
  </si>
  <si>
    <t>460-003</t>
  </si>
  <si>
    <t>Hloubení kabelové rýhy 20cm šir.,50cm hlub.,zem.tř.4</t>
  </si>
  <si>
    <t>460-004</t>
  </si>
  <si>
    <t>Rýha pro spojku kabelu, zemina třídy 4</t>
  </si>
  <si>
    <t>460-005</t>
  </si>
  <si>
    <t>Zř.kab.lože,kop.pís.,tl.zás.vrst.10cm 1x krycí deska 20cm</t>
  </si>
  <si>
    <t>460-006</t>
  </si>
  <si>
    <t>Betonový základ do rostlé zeminy bez bednění</t>
  </si>
  <si>
    <t>460-007</t>
  </si>
  <si>
    <t>Doprava betonu na stavbu</t>
  </si>
  <si>
    <t>460-008</t>
  </si>
  <si>
    <t>Kabelový prostup z PE rour pevných, pr.110</t>
  </si>
  <si>
    <t>460-009</t>
  </si>
  <si>
    <t>Ruční zához kabelové rýhy 50cm šir.,120cm hlub.,zem.tř.4</t>
  </si>
  <si>
    <t>460-010</t>
  </si>
  <si>
    <t>Ruční zához kabelové rýhy 20cm šir.,50cm hlub.,zem.tř.4</t>
  </si>
  <si>
    <t>460-011</t>
  </si>
  <si>
    <t>Hutnění zeminy,vrstva zeminy do 20 cm</t>
  </si>
  <si>
    <t>460-012</t>
  </si>
  <si>
    <t>Doprava písku na stavbu</t>
  </si>
  <si>
    <t>460-013</t>
  </si>
  <si>
    <t>Krytí kab.fólie výstražné z PVC, šířka 22 cm</t>
  </si>
  <si>
    <t>460-014</t>
  </si>
  <si>
    <t>Krytí kab.fólie výstražné z PVC, šířka 33 cm</t>
  </si>
  <si>
    <t>460-015</t>
  </si>
  <si>
    <t>Ruční zához rýhy pro spojku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</si>
</sst>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000"/>
  </numFmts>
  <fonts count="17">
    <font>
      <sz val="10.0"/>
      <color rgb="FF000000"/>
      <name val="Calibri"/>
      <scheme val="minor"/>
    </font>
    <font>
      <sz val="10.0"/>
      <color theme="1"/>
      <name val="Arial"/>
    </font>
    <font>
      <b/>
      <sz val="14.0"/>
      <color theme="1"/>
      <name val="Arial"/>
    </font>
    <font/>
    <font>
      <sz val="12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3.0"/>
      <color theme="1"/>
      <name val="Arial"/>
    </font>
    <font>
      <sz val="7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  <font>
      <sz val="8.0"/>
      <color theme="1"/>
      <name val="Arial"/>
    </font>
    <font>
      <sz val="8.0"/>
      <color rgb="FF0000FF"/>
      <name val="Arial"/>
    </font>
    <font>
      <sz val="8.0"/>
      <color rgb="FF00808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6E1EE"/>
        <bgColor rgb="FFD6E1EE"/>
      </patternFill>
    </fill>
    <fill>
      <patternFill patternType="solid">
        <fgColor rgb="FF99CCFF"/>
        <bgColor rgb="FF99CCFF"/>
      </patternFill>
    </fill>
    <fill>
      <patternFill patternType="solid">
        <fgColor rgb="FFDBDBDB"/>
        <bgColor rgb="FFDBDBDB"/>
      </patternFill>
    </fill>
  </fills>
  <borders count="6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/>
      <top style="thin">
        <color rgb="FF000000"/>
      </top>
      <bottom/>
    </border>
    <border>
      <right/>
      <top/>
      <bottom/>
    </border>
    <border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808080"/>
      </right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000000"/>
      </top>
    </border>
    <border>
      <left style="thin">
        <color rgb="FF808080"/>
      </left>
      <right style="thin">
        <color rgb="FF808080"/>
      </right>
      <top style="thin">
        <color rgb="FF000000"/>
      </top>
      <bottom/>
    </border>
    <border>
      <left style="thin">
        <color rgb="FF80808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6" fillId="2" fontId="4" numFmtId="0" xfId="0" applyAlignment="1" applyBorder="1" applyFill="1" applyFont="1">
      <alignment horizontal="left" vertical="center"/>
    </xf>
    <xf borderId="7" fillId="2" fontId="1" numFmtId="0" xfId="0" applyAlignment="1" applyBorder="1" applyFont="1">
      <alignment shrinkToFit="0" wrapText="1"/>
    </xf>
    <xf borderId="7" fillId="2" fontId="5" numFmtId="49" xfId="0" applyAlignment="1" applyBorder="1" applyFont="1" applyNumberFormat="1">
      <alignment horizontal="left" shrinkToFit="0" vertical="center" wrapText="1"/>
    </xf>
    <xf borderId="8" fillId="2" fontId="5" numFmtId="49" xfId="0" applyAlignment="1" applyBorder="1" applyFont="1" applyNumberForma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164" xfId="0" applyAlignment="1" applyFont="1" applyNumberFormat="1">
      <alignment horizontal="left"/>
    </xf>
    <xf borderId="6" fillId="2" fontId="1" numFmtId="0" xfId="0" applyAlignment="1" applyBorder="1" applyFont="1">
      <alignment horizontal="left" vertical="center"/>
    </xf>
    <xf borderId="7" fillId="2" fontId="7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2" fontId="1" numFmtId="0" xfId="0" applyAlignment="1" applyBorder="1" applyFont="1">
      <alignment horizontal="left" vertical="center"/>
    </xf>
    <xf borderId="15" fillId="2" fontId="1" numFmtId="0" xfId="0" applyAlignment="1" applyBorder="1" applyFont="1">
      <alignment shrinkToFit="0" wrapText="1"/>
    </xf>
    <xf borderId="15" fillId="2" fontId="7" numFmtId="0" xfId="0" applyAlignment="1" applyBorder="1" applyFont="1">
      <alignment horizontal="left" shrinkToFit="0" vertical="center" wrapText="1"/>
    </xf>
    <xf borderId="16" fillId="2" fontId="7" numFmtId="0" xfId="0" applyAlignment="1" applyBorder="1" applyFont="1">
      <alignment horizontal="left" shrinkToFit="0" vertical="center" wrapText="1"/>
    </xf>
    <xf borderId="17" fillId="0" fontId="3" numFmtId="0" xfId="0" applyBorder="1" applyFont="1"/>
    <xf borderId="18" fillId="0" fontId="3" numFmtId="0" xfId="0" applyBorder="1" applyFont="1"/>
    <xf borderId="5" fillId="0" fontId="1" numFmtId="0" xfId="0" applyAlignment="1" applyBorder="1" applyFont="1">
      <alignment horizontal="left" vertical="center"/>
    </xf>
    <xf borderId="0" fillId="0" fontId="1" numFmtId="0" xfId="0" applyAlignment="1" applyFont="1">
      <alignment shrinkToFit="0" wrapText="1"/>
    </xf>
    <xf borderId="19" fillId="0" fontId="7" numFmtId="49" xfId="0" applyAlignment="1" applyBorder="1" applyFont="1" applyNumberFormat="1">
      <alignment horizontal="left" shrinkToFit="0" vertical="center" wrapText="1"/>
    </xf>
    <xf borderId="19" fillId="0" fontId="3" numFmtId="0" xfId="0" applyBorder="1" applyFont="1"/>
    <xf borderId="0" fillId="0" fontId="1" numFmtId="0" xfId="0" applyAlignment="1" applyFont="1">
      <alignment horizontal="right" vertical="center"/>
    </xf>
    <xf borderId="0" fillId="0" fontId="7" numFmtId="49" xfId="0" applyAlignment="1" applyFont="1" applyNumberFormat="1">
      <alignment horizontal="left" vertical="center"/>
    </xf>
    <xf borderId="20" fillId="0" fontId="1" numFmtId="0" xfId="0" applyBorder="1" applyFont="1"/>
    <xf borderId="5" fillId="0" fontId="7" numFmtId="0" xfId="0" applyAlignment="1" applyBorder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7" numFmtId="49" xfId="0" applyAlignment="1" applyFont="1" applyNumberFormat="1">
      <alignment horizontal="left" shrinkToFit="0" vertical="center" wrapText="1"/>
    </xf>
    <xf borderId="21" fillId="0" fontId="7" numFmtId="0" xfId="0" applyAlignment="1" applyBorder="1" applyFont="1">
      <alignment horizontal="left" vertical="center"/>
    </xf>
    <xf borderId="22" fillId="0" fontId="7" numFmtId="0" xfId="0" applyAlignment="1" applyBorder="1" applyFont="1">
      <alignment horizontal="right" shrinkToFit="0" vertical="center" wrapText="1"/>
    </xf>
    <xf borderId="22" fillId="0" fontId="7" numFmtId="49" xfId="0" applyAlignment="1" applyBorder="1" applyFont="1" applyNumberFormat="1">
      <alignment horizontal="left" shrinkToFit="0" vertical="center" wrapText="1"/>
    </xf>
    <xf borderId="22" fillId="0" fontId="7" numFmtId="49" xfId="0" applyAlignment="1" applyBorder="1" applyFont="1" applyNumberFormat="1">
      <alignment shrinkToFit="0" vertical="center" wrapText="1"/>
    </xf>
    <xf borderId="22" fillId="0" fontId="3" numFmtId="0" xfId="0" applyBorder="1" applyFont="1"/>
    <xf borderId="22" fillId="0" fontId="1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23" fillId="0" fontId="1" numFmtId="0" xfId="0" applyBorder="1" applyFont="1"/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21" fillId="0" fontId="1" numFmtId="0" xfId="0" applyAlignment="1" applyBorder="1" applyFont="1">
      <alignment horizontal="left"/>
    </xf>
    <xf borderId="22" fillId="0" fontId="7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shrinkToFit="0" vertical="center" wrapText="1"/>
    </xf>
    <xf borderId="22" fillId="0" fontId="1" numFmtId="0" xfId="0" applyBorder="1" applyFont="1"/>
    <xf borderId="22" fillId="0" fontId="1" numFmtId="0" xfId="0" applyAlignment="1" applyBorder="1" applyFont="1">
      <alignment horizontal="right"/>
    </xf>
    <xf borderId="8" fillId="3" fontId="7" numFmtId="0" xfId="0" applyAlignment="1" applyBorder="1" applyFill="1" applyFont="1">
      <alignment horizontal="left" vertical="center"/>
    </xf>
    <xf borderId="24" fillId="0" fontId="3" numFmtId="0" xfId="0" applyBorder="1" applyFont="1"/>
    <xf borderId="7" fillId="3" fontId="7" numFmtId="0" xfId="0" applyAlignment="1" applyBorder="1" applyFont="1">
      <alignment horizontal="left" vertical="center"/>
    </xf>
    <xf borderId="11" fillId="3" fontId="7" numFmtId="0" xfId="0" applyAlignment="1" applyBorder="1" applyFont="1">
      <alignment horizontal="left" vertical="center"/>
    </xf>
    <xf borderId="25" fillId="0" fontId="3" numFmtId="0" xfId="0" applyBorder="1" applyFont="1"/>
    <xf borderId="15" fillId="3" fontId="7" numFmtId="0" xfId="0" applyAlignment="1" applyBorder="1" applyFont="1">
      <alignment horizontal="left" shrinkToFit="0" vertical="center" wrapText="1"/>
    </xf>
    <xf borderId="16" fillId="3" fontId="7" numFmtId="0" xfId="0" applyAlignment="1" applyBorder="1" applyFont="1">
      <alignment horizontal="left" vertical="center"/>
    </xf>
    <xf borderId="26" fillId="0" fontId="3" numFmtId="0" xfId="0" applyBorder="1" applyFont="1"/>
    <xf borderId="22" fillId="0" fontId="1" numFmtId="0" xfId="0" applyAlignment="1" applyBorder="1" applyFont="1">
      <alignment horizontal="right" vertical="center"/>
    </xf>
    <xf borderId="27" fillId="0" fontId="1" numFmtId="0" xfId="0" applyAlignment="1" applyBorder="1" applyFont="1">
      <alignment horizontal="left" vertical="top"/>
    </xf>
    <xf borderId="19" fillId="0" fontId="1" numFmtId="0" xfId="0" applyAlignment="1" applyBorder="1" applyFont="1">
      <alignment shrinkToFit="0" vertical="top" wrapText="1"/>
    </xf>
    <xf borderId="19" fillId="0" fontId="7" numFmtId="0" xfId="0" applyAlignment="1" applyBorder="1" applyFont="1">
      <alignment horizontal="left" shrinkToFit="0" vertical="top" wrapText="1"/>
    </xf>
    <xf borderId="19" fillId="0" fontId="7" numFmtId="0" xfId="0" applyAlignment="1" applyBorder="1" applyFont="1">
      <alignment shrinkToFit="0" vertical="center" wrapText="1"/>
    </xf>
    <xf borderId="19" fillId="0" fontId="7" numFmtId="0" xfId="0" applyAlignment="1" applyBorder="1" applyFont="1">
      <alignment vertical="center"/>
    </xf>
    <xf borderId="19" fillId="0" fontId="1" numFmtId="0" xfId="0" applyAlignment="1" applyBorder="1" applyFont="1">
      <alignment horizontal="right" vertical="center"/>
    </xf>
    <xf borderId="28" fillId="0" fontId="1" numFmtId="0" xfId="0" applyBorder="1" applyFont="1"/>
    <xf borderId="22" fillId="0" fontId="1" numFmtId="0" xfId="0" applyAlignment="1" applyBorder="1" applyFont="1">
      <alignment horizontal="left" shrinkToFit="0" wrapText="1"/>
    </xf>
    <xf borderId="22" fillId="0" fontId="1" numFmtId="0" xfId="0" applyAlignment="1" applyBorder="1" applyFont="1">
      <alignment shrinkToFit="0" wrapText="1"/>
    </xf>
    <xf borderId="22" fillId="0" fontId="1" numFmtId="1" xfId="0" applyAlignment="1" applyBorder="1" applyFont="1" applyNumberFormat="1">
      <alignment horizontal="right"/>
    </xf>
    <xf borderId="23" fillId="0" fontId="3" numFmtId="0" xfId="0" applyBorder="1" applyFont="1"/>
    <xf borderId="5" fillId="0" fontId="1" numFmtId="49" xfId="0" applyBorder="1" applyFont="1" applyNumberFormat="1"/>
    <xf borderId="29" fillId="0" fontId="1" numFmtId="0" xfId="0" applyAlignment="1" applyBorder="1" applyFont="1">
      <alignment horizontal="left" vertical="center"/>
    </xf>
    <xf borderId="30" fillId="0" fontId="1" numFmtId="0" xfId="0" applyAlignment="1" applyBorder="1" applyFont="1">
      <alignment horizontal="left" shrinkToFit="0" vertical="center" wrapText="1"/>
    </xf>
    <xf borderId="30" fillId="0" fontId="1" numFmtId="0" xfId="0" applyAlignment="1" applyBorder="1" applyFont="1">
      <alignment shrinkToFit="0" wrapText="1"/>
    </xf>
    <xf borderId="31" fillId="0" fontId="8" numFmtId="4" xfId="0" applyAlignment="1" applyBorder="1" applyFont="1" applyNumberFormat="1">
      <alignment horizontal="right" vertical="center"/>
    </xf>
    <xf borderId="32" fillId="0" fontId="3" numFmtId="0" xfId="0" applyBorder="1" applyFont="1"/>
    <xf borderId="33" fillId="0" fontId="3" numFmtId="0" xfId="0" applyBorder="1" applyFont="1"/>
    <xf borderId="29" fillId="0" fontId="7" numFmtId="0" xfId="0" applyAlignment="1" applyBorder="1" applyFont="1">
      <alignment horizontal="left" vertical="center"/>
    </xf>
    <xf borderId="30" fillId="0" fontId="7" numFmtId="0" xfId="0" applyAlignment="1" applyBorder="1" applyFont="1">
      <alignment horizontal="left" shrinkToFit="0" vertical="center" wrapText="1"/>
    </xf>
    <xf borderId="30" fillId="0" fontId="7" numFmtId="0" xfId="0" applyAlignment="1" applyBorder="1" applyFont="1">
      <alignment shrinkToFit="0" wrapText="1"/>
    </xf>
    <xf borderId="31" fillId="0" fontId="9" numFmtId="4" xfId="0" applyAlignment="1" applyBorder="1" applyFont="1" applyNumberFormat="1">
      <alignment horizontal="right" vertical="center"/>
    </xf>
    <xf borderId="29" fillId="0" fontId="1" numFmtId="0" xfId="0" applyAlignment="1" applyBorder="1" applyFont="1">
      <alignment horizontal="left"/>
    </xf>
    <xf borderId="30" fillId="0" fontId="7" numFmtId="1" xfId="0" applyAlignment="1" applyBorder="1" applyFont="1" applyNumberFormat="1">
      <alignment horizontal="right" shrinkToFit="0" vertical="center" wrapText="1"/>
    </xf>
    <xf borderId="30" fillId="0" fontId="1" numFmtId="0" xfId="0" applyAlignment="1" applyBorder="1" applyFont="1">
      <alignment horizontal="left" vertical="center"/>
    </xf>
    <xf borderId="30" fillId="0" fontId="7" numFmtId="0" xfId="0" applyAlignment="1" applyBorder="1" applyFont="1">
      <alignment vertical="center"/>
    </xf>
    <xf borderId="33" fillId="0" fontId="1" numFmtId="49" xfId="0" applyAlignment="1" applyBorder="1" applyFont="1" applyNumberFormat="1">
      <alignment horizontal="left" vertical="center"/>
    </xf>
    <xf borderId="31" fillId="0" fontId="7" numFmtId="1" xfId="0" applyAlignment="1" applyBorder="1" applyFont="1" applyNumberFormat="1">
      <alignment horizontal="right" shrinkToFit="0" vertical="center" wrapText="1"/>
    </xf>
    <xf borderId="31" fillId="0" fontId="9" numFmtId="4" xfId="0" applyAlignment="1" applyBorder="1" applyFont="1" applyNumberFormat="1">
      <alignment vertical="center"/>
    </xf>
    <xf borderId="30" fillId="0" fontId="3" numFmtId="0" xfId="0" applyBorder="1" applyFont="1"/>
    <xf borderId="21" fillId="0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horizontal="left" shrinkToFit="0" vertical="center" wrapText="1"/>
    </xf>
    <xf borderId="34" fillId="0" fontId="7" numFmtId="1" xfId="0" applyAlignment="1" applyBorder="1" applyFont="1" applyNumberFormat="1">
      <alignment horizontal="right" shrinkToFit="0" vertical="center" wrapText="1"/>
    </xf>
    <xf borderId="22" fillId="0" fontId="1" numFmtId="0" xfId="0" applyAlignment="1" applyBorder="1" applyFont="1">
      <alignment horizontal="left" vertical="center"/>
    </xf>
    <xf borderId="34" fillId="0" fontId="9" numFmtId="4" xfId="0" applyAlignment="1" applyBorder="1" applyFont="1" applyNumberFormat="1">
      <alignment horizontal="right" vertical="center"/>
    </xf>
    <xf borderId="23" fillId="0" fontId="1" numFmtId="49" xfId="0" applyAlignment="1" applyBorder="1" applyFont="1" applyNumberFormat="1">
      <alignment horizontal="left" vertical="center"/>
    </xf>
    <xf borderId="5" fillId="0" fontId="1" numFmtId="4" xfId="0" applyBorder="1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1" xfId="0" applyAlignment="1" applyFont="1" applyNumberFormat="1">
      <alignment horizontal="left" shrinkToFit="0" vertical="center" wrapText="1"/>
    </xf>
    <xf borderId="0" fillId="0" fontId="1" numFmtId="4" xfId="0" applyAlignment="1" applyFont="1" applyNumberFormat="1">
      <alignment horizontal="left" vertical="center"/>
    </xf>
    <xf borderId="19" fillId="0" fontId="9" numFmtId="4" xfId="0" applyAlignment="1" applyBorder="1" applyFont="1" applyNumberFormat="1">
      <alignment horizontal="right" vertical="center"/>
    </xf>
    <xf borderId="20" fillId="0" fontId="1" numFmtId="49" xfId="0" applyAlignment="1" applyBorder="1" applyFont="1" applyNumberFormat="1">
      <alignment horizontal="left" vertical="center"/>
    </xf>
    <xf borderId="35" fillId="2" fontId="5" numFmtId="0" xfId="0" applyAlignment="1" applyBorder="1" applyFont="1">
      <alignment horizontal="left" vertical="center"/>
    </xf>
    <xf borderId="36" fillId="2" fontId="7" numFmtId="0" xfId="0" applyAlignment="1" applyBorder="1" applyFont="1">
      <alignment horizontal="left" shrinkToFit="0" vertical="center" wrapText="1"/>
    </xf>
    <xf borderId="36" fillId="2" fontId="1" numFmtId="0" xfId="0" applyAlignment="1" applyBorder="1" applyFont="1">
      <alignment horizontal="left" shrinkToFit="0" vertical="center" wrapText="1"/>
    </xf>
    <xf borderId="36" fillId="2" fontId="5" numFmtId="4" xfId="0" applyAlignment="1" applyBorder="1" applyFont="1" applyNumberFormat="1">
      <alignment horizontal="left" vertical="center"/>
    </xf>
    <xf borderId="37" fillId="2" fontId="10" numFmtId="2" xfId="0" applyAlignment="1" applyBorder="1" applyFont="1" applyNumberFormat="1">
      <alignment horizontal="right" vertical="center"/>
    </xf>
    <xf borderId="38" fillId="0" fontId="3" numFmtId="0" xfId="0" applyBorder="1" applyFont="1"/>
    <xf borderId="39" fillId="0" fontId="3" numFmtId="0" xfId="0" applyBorder="1" applyFont="1"/>
    <xf borderId="40" fillId="2" fontId="1" numFmtId="49" xfId="0" applyAlignment="1" applyBorder="1" applyFont="1" applyNumberFormat="1">
      <alignment horizontal="left" vertical="center"/>
    </xf>
    <xf borderId="36" fillId="2" fontId="1" numFmtId="0" xfId="0" applyAlignment="1" applyBorder="1" applyFont="1">
      <alignment shrinkToFit="0" wrapText="1"/>
    </xf>
    <xf borderId="36" fillId="2" fontId="1" numFmtId="0" xfId="0" applyBorder="1" applyFont="1"/>
    <xf borderId="37" fillId="2" fontId="10" numFmtId="4" xfId="0" applyAlignment="1" applyBorder="1" applyFont="1" applyNumberFormat="1">
      <alignment horizontal="right" vertical="center"/>
    </xf>
    <xf borderId="40" fillId="2" fontId="7" numFmtId="49" xfId="0" applyAlignment="1" applyBorder="1" applyFont="1" applyNumberFormat="1">
      <alignment horizontal="left" vertical="center"/>
    </xf>
    <xf borderId="20" fillId="0" fontId="1" numFmtId="0" xfId="0" applyAlignment="1" applyBorder="1" applyFont="1">
      <alignment horizontal="right"/>
    </xf>
    <xf borderId="5" fillId="0" fontId="1" numFmtId="0" xfId="0" applyAlignment="1" applyBorder="1" applyFont="1">
      <alignment horizontal="right"/>
    </xf>
    <xf borderId="0" fillId="0" fontId="1" numFmtId="0" xfId="0" applyAlignment="1" applyFont="1">
      <alignment horizontal="center" shrinkToFit="0" vertical="center" wrapText="1"/>
    </xf>
    <xf borderId="22" fillId="0" fontId="7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vertical="center"/>
    </xf>
    <xf borderId="22" fillId="0" fontId="7" numFmtId="0" xfId="0" applyAlignment="1" applyBorder="1" applyFont="1">
      <alignment vertical="top"/>
    </xf>
    <xf borderId="22" fillId="0" fontId="7" numFmtId="164" xfId="0" applyAlignment="1" applyBorder="1" applyFont="1" applyNumberFormat="1">
      <alignment horizontal="center" vertical="top"/>
    </xf>
    <xf borderId="5" fillId="0" fontId="7" numFmtId="0" xfId="0" applyBorder="1" applyFont="1"/>
    <xf borderId="0" fillId="0" fontId="7" numFmtId="0" xfId="0" applyAlignment="1" applyFont="1">
      <alignment shrinkToFit="0" wrapText="1"/>
    </xf>
    <xf borderId="22" fillId="0" fontId="7" numFmtId="0" xfId="0" applyAlignment="1" applyBorder="1" applyFont="1">
      <alignment horizontal="center" shrinkToFit="0" vertical="center" wrapText="1"/>
    </xf>
    <xf borderId="0" fillId="0" fontId="7" numFmtId="0" xfId="0" applyFont="1"/>
    <xf borderId="22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right"/>
    </xf>
    <xf borderId="19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41" fillId="0" fontId="1" numFmtId="0" xfId="0" applyBorder="1" applyFont="1"/>
    <xf borderId="42" fillId="0" fontId="1" numFmtId="0" xfId="0" applyAlignment="1" applyBorder="1" applyFont="1">
      <alignment shrinkToFit="0" wrapText="1"/>
    </xf>
    <xf borderId="42" fillId="0" fontId="1" numFmtId="0" xfId="0" applyBorder="1" applyFont="1"/>
    <xf borderId="43" fillId="0" fontId="1" numFmtId="0" xfId="0" applyAlignment="1" applyBorder="1" applyFont="1">
      <alignment horizontal="right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1" vertical="center" wrapText="0"/>
    </xf>
    <xf borderId="0" fillId="0" fontId="2" numFmtId="0" xfId="0" applyAlignment="1" applyFont="1">
      <alignment horizontal="center" vertical="center"/>
    </xf>
    <xf borderId="44" fillId="0" fontId="1" numFmtId="3" xfId="0" applyBorder="1" applyFont="1" applyNumberFormat="1"/>
    <xf borderId="45" fillId="4" fontId="6" numFmtId="3" xfId="0" applyAlignment="1" applyBorder="1" applyFill="1" applyFont="1" applyNumberFormat="1">
      <alignment vertical="center"/>
    </xf>
    <xf borderId="46" fillId="4" fontId="6" numFmtId="3" xfId="0" applyAlignment="1" applyBorder="1" applyFont="1" applyNumberFormat="1">
      <alignment shrinkToFit="0" vertical="center" wrapText="1"/>
    </xf>
    <xf borderId="47" fillId="4" fontId="11" numFmtId="3" xfId="0" applyAlignment="1" applyBorder="1" applyFont="1" applyNumberFormat="1">
      <alignment horizontal="center" shrinkToFit="1" vertical="center" wrapText="0"/>
    </xf>
    <xf borderId="47" fillId="4" fontId="6" numFmtId="3" xfId="0" applyAlignment="1" applyBorder="1" applyFont="1" applyNumberFormat="1">
      <alignment horizontal="center" shrinkToFit="1" vertical="center" wrapText="0"/>
    </xf>
    <xf borderId="47" fillId="4" fontId="6" numFmtId="3" xfId="0" applyAlignment="1" applyBorder="1" applyFont="1" applyNumberFormat="1">
      <alignment horizontal="center" shrinkToFit="0" vertical="center" wrapText="1"/>
    </xf>
    <xf borderId="31" fillId="0" fontId="1" numFmtId="3" xfId="0" applyAlignment="1" applyBorder="1" applyFont="1" applyNumberFormat="1">
      <alignment vertical="center"/>
    </xf>
    <xf borderId="30" fillId="0" fontId="1" numFmtId="3" xfId="0" applyAlignment="1" applyBorder="1" applyFont="1" applyNumberFormat="1">
      <alignment shrinkToFit="0" vertical="center" wrapText="1"/>
    </xf>
    <xf borderId="47" fillId="0" fontId="6" numFmtId="3" xfId="0" applyAlignment="1" applyBorder="1" applyFont="1" applyNumberFormat="1">
      <alignment horizontal="right" shrinkToFit="1" vertical="center" wrapText="0"/>
    </xf>
    <xf borderId="47" fillId="0" fontId="1" numFmtId="3" xfId="0" applyAlignment="1" applyBorder="1" applyFont="1" applyNumberFormat="1">
      <alignment shrinkToFit="1" vertical="center" wrapText="0"/>
    </xf>
    <xf borderId="47" fillId="0" fontId="1" numFmtId="3" xfId="0" applyAlignment="1" applyBorder="1" applyFont="1" applyNumberFormat="1">
      <alignment vertical="center"/>
    </xf>
    <xf borderId="31" fillId="0" fontId="7" numFmtId="3" xfId="0" applyAlignment="1" applyBorder="1" applyFont="1" applyNumberFormat="1">
      <alignment vertical="center"/>
    </xf>
    <xf borderId="30" fillId="0" fontId="7" numFmtId="3" xfId="0" applyAlignment="1" applyBorder="1" applyFont="1" applyNumberFormat="1">
      <alignment shrinkToFit="0" vertical="center" wrapText="1"/>
    </xf>
    <xf borderId="47" fillId="0" fontId="7" numFmtId="3" xfId="0" applyAlignment="1" applyBorder="1" applyFont="1" applyNumberFormat="1">
      <alignment shrinkToFit="1" vertical="center" wrapText="0"/>
    </xf>
    <xf borderId="47" fillId="0" fontId="7" numFmtId="3" xfId="0" applyAlignment="1" applyBorder="1" applyFont="1" applyNumberFormat="1">
      <alignment vertical="center"/>
    </xf>
    <xf borderId="31" fillId="0" fontId="1" numFmtId="3" xfId="0" applyAlignment="1" applyBorder="1" applyFont="1" applyNumberFormat="1">
      <alignment horizontal="left" vertical="center"/>
    </xf>
    <xf borderId="31" fillId="2" fontId="1" numFmtId="3" xfId="0" applyAlignment="1" applyBorder="1" applyFont="1" applyNumberFormat="1">
      <alignment vertical="center"/>
    </xf>
    <xf borderId="47" fillId="2" fontId="1" numFmtId="3" xfId="0" applyAlignment="1" applyBorder="1" applyFont="1" applyNumberFormat="1">
      <alignment shrinkToFit="1" vertical="center" wrapText="0"/>
    </xf>
    <xf borderId="47" fillId="2" fontId="1" numFmtId="3" xfId="0" applyAlignment="1" applyBorder="1" applyFont="1" applyNumberFormat="1">
      <alignment vertical="center"/>
    </xf>
    <xf borderId="0" fillId="0" fontId="5" numFmtId="0" xfId="0" applyFont="1"/>
    <xf borderId="44" fillId="0" fontId="12" numFmtId="0" xfId="0" applyAlignment="1" applyBorder="1" applyFont="1">
      <alignment horizontal="center" shrinkToFit="0" vertical="center" wrapText="1"/>
    </xf>
    <xf borderId="45" fillId="4" fontId="12" numFmtId="0" xfId="0" applyAlignment="1" applyBorder="1" applyFont="1">
      <alignment horizontal="center" shrinkToFit="0" vertical="center" wrapText="1"/>
    </xf>
    <xf borderId="46" fillId="4" fontId="12" numFmtId="0" xfId="0" applyAlignment="1" applyBorder="1" applyFont="1">
      <alignment horizontal="center" shrinkToFit="0" vertical="center" wrapText="1"/>
    </xf>
    <xf borderId="47" fillId="4" fontId="12" numFmtId="0" xfId="0" applyAlignment="1" applyBorder="1" applyFont="1">
      <alignment horizontal="center" shrinkToFit="0" vertical="center" wrapText="1"/>
    </xf>
    <xf borderId="44" fillId="0" fontId="6" numFmtId="0" xfId="0" applyAlignment="1" applyBorder="1" applyFont="1">
      <alignment vertical="center"/>
    </xf>
    <xf borderId="31" fillId="0" fontId="6" numFmtId="49" xfId="0" applyAlignment="1" applyBorder="1" applyFont="1" applyNumberFormat="1">
      <alignment vertical="center"/>
    </xf>
    <xf borderId="31" fillId="0" fontId="6" numFmtId="49" xfId="0" applyAlignment="1" applyBorder="1" applyFont="1" applyNumberFormat="1">
      <alignment shrinkToFit="0" vertical="center" wrapText="1"/>
    </xf>
    <xf borderId="47" fillId="0" fontId="6" numFmtId="4" xfId="0" applyAlignment="1" applyBorder="1" applyFont="1" applyNumberFormat="1">
      <alignment horizontal="center" vertical="center"/>
    </xf>
    <xf borderId="47" fillId="0" fontId="6" numFmtId="4" xfId="0" applyAlignment="1" applyBorder="1" applyFont="1" applyNumberFormat="1">
      <alignment vertical="center"/>
    </xf>
    <xf borderId="47" fillId="0" fontId="6" numFmtId="3" xfId="0" applyAlignment="1" applyBorder="1" applyFont="1" applyNumberFormat="1">
      <alignment vertical="center"/>
    </xf>
    <xf borderId="44" fillId="0" fontId="6" numFmtId="0" xfId="0" applyBorder="1" applyFont="1"/>
    <xf borderId="45" fillId="2" fontId="6" numFmtId="0" xfId="0" applyAlignment="1" applyBorder="1" applyFont="1">
      <alignment vertical="center"/>
    </xf>
    <xf borderId="45" fillId="2" fontId="6" numFmtId="0" xfId="0" applyAlignment="1" applyBorder="1" applyFont="1">
      <alignment shrinkToFit="0" vertical="center" wrapText="1"/>
    </xf>
    <xf borderId="46" fillId="2" fontId="6" numFmtId="0" xfId="0" applyAlignment="1" applyBorder="1" applyFont="1">
      <alignment shrinkToFit="0" vertical="center" wrapText="1"/>
    </xf>
    <xf borderId="47" fillId="2" fontId="6" numFmtId="4" xfId="0" applyAlignment="1" applyBorder="1" applyFont="1" applyNumberFormat="1">
      <alignment horizontal="center" vertical="center"/>
    </xf>
    <xf borderId="47" fillId="2" fontId="6" numFmtId="4" xfId="0" applyAlignment="1" applyBorder="1" applyFont="1" applyNumberFormat="1">
      <alignment vertical="center"/>
    </xf>
    <xf borderId="47" fillId="2" fontId="6" numFmtId="3" xfId="0" applyAlignment="1" applyBorder="1" applyFont="1" applyNumberFormat="1">
      <alignment vertical="center"/>
    </xf>
    <xf borderId="0" fillId="0" fontId="1" numFmtId="4" xfId="0" applyFont="1" applyNumberFormat="1"/>
    <xf borderId="0" fillId="0" fontId="1" numFmtId="3" xfId="0" applyFont="1" applyNumberFormat="1"/>
    <xf borderId="0" fillId="0" fontId="5" numFmtId="0" xfId="0" applyAlignment="1" applyFont="1">
      <alignment horizontal="center" vertical="top"/>
    </xf>
    <xf borderId="0" fillId="0" fontId="1" numFmtId="0" xfId="0" applyAlignment="1" applyFont="1">
      <alignment vertical="top"/>
    </xf>
    <xf borderId="47" fillId="0" fontId="1" numFmtId="0" xfId="0" applyAlignment="1" applyBorder="1" applyFont="1">
      <alignment vertical="center"/>
    </xf>
    <xf borderId="30" fillId="0" fontId="1" numFmtId="49" xfId="0" applyAlignment="1" applyBorder="1" applyFont="1" applyNumberFormat="1">
      <alignment vertical="center"/>
    </xf>
    <xf borderId="30" fillId="0" fontId="1" numFmtId="49" xfId="0" applyAlignment="1" applyBorder="1" applyFont="1" applyNumberFormat="1">
      <alignment shrinkToFit="1" vertical="center" wrapText="0"/>
    </xf>
    <xf borderId="0" fillId="0" fontId="1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horizontal="center"/>
    </xf>
    <xf borderId="0" fillId="0" fontId="13" numFmtId="0" xfId="0" applyFont="1"/>
    <xf borderId="0" fillId="0" fontId="1" numFmtId="49" xfId="0" applyFont="1" applyNumberFormat="1"/>
    <xf borderId="47" fillId="2" fontId="1" numFmtId="0" xfId="0" applyAlignment="1" applyBorder="1" applyFont="1">
      <alignment vertical="center"/>
    </xf>
    <xf borderId="46" fillId="2" fontId="1" numFmtId="49" xfId="0" applyAlignment="1" applyBorder="1" applyFont="1" applyNumberFormat="1">
      <alignment vertical="center"/>
    </xf>
    <xf borderId="48" fillId="2" fontId="1" numFmtId="49" xfId="0" applyAlignment="1" applyBorder="1" applyFont="1" applyNumberFormat="1">
      <alignment vertical="center"/>
    </xf>
    <xf borderId="47" fillId="4" fontId="1" numFmtId="0" xfId="0" applyBorder="1" applyFont="1"/>
    <xf borderId="47" fillId="4" fontId="1" numFmtId="49" xfId="0" applyBorder="1" applyFont="1" applyNumberFormat="1"/>
    <xf borderId="47" fillId="4" fontId="1" numFmtId="0" xfId="0" applyAlignment="1" applyBorder="1" applyFont="1">
      <alignment horizontal="center"/>
    </xf>
    <xf borderId="45" fillId="4" fontId="1" numFmtId="0" xfId="0" applyBorder="1" applyFont="1"/>
    <xf borderId="47" fillId="4" fontId="1" numFmtId="0" xfId="0" applyAlignment="1" applyBorder="1" applyFont="1">
      <alignment shrinkToFit="0" wrapText="1"/>
    </xf>
    <xf borderId="0" fillId="0" fontId="1" numFmtId="165" xfId="0" applyAlignment="1" applyFont="1" applyNumberFormat="1">
      <alignment vertical="top"/>
    </xf>
    <xf borderId="0" fillId="0" fontId="1" numFmtId="4" xfId="0" applyAlignment="1" applyFont="1" applyNumberFormat="1">
      <alignment vertical="top"/>
    </xf>
    <xf borderId="49" fillId="2" fontId="7" numFmtId="0" xfId="0" applyAlignment="1" applyBorder="1" applyFont="1">
      <alignment vertical="top"/>
    </xf>
    <xf borderId="50" fillId="2" fontId="7" numFmtId="49" xfId="0" applyAlignment="1" applyBorder="1" applyFont="1" applyNumberFormat="1">
      <alignment vertical="top"/>
    </xf>
    <xf borderId="50" fillId="2" fontId="7" numFmtId="49" xfId="0" applyAlignment="1" applyBorder="1" applyFont="1" applyNumberFormat="1">
      <alignment horizontal="left" shrinkToFit="0" vertical="top" wrapText="1"/>
    </xf>
    <xf borderId="50" fillId="2" fontId="7" numFmtId="0" xfId="0" applyAlignment="1" applyBorder="1" applyFont="1">
      <alignment horizontal="center" shrinkToFit="1" vertical="top" wrapText="0"/>
    </xf>
    <xf borderId="50" fillId="2" fontId="7" numFmtId="165" xfId="0" applyAlignment="1" applyBorder="1" applyFont="1" applyNumberFormat="1">
      <alignment shrinkToFit="1" vertical="top" wrapText="0"/>
    </xf>
    <xf borderId="50" fillId="2" fontId="7" numFmtId="4" xfId="0" applyAlignment="1" applyBorder="1" applyFont="1" applyNumberFormat="1">
      <alignment shrinkToFit="1" vertical="top" wrapText="0"/>
    </xf>
    <xf borderId="51" fillId="2" fontId="7" numFmtId="4" xfId="0" applyAlignment="1" applyBorder="1" applyFont="1" applyNumberFormat="1">
      <alignment shrinkToFit="1" vertical="top" wrapText="0"/>
    </xf>
    <xf borderId="7" fillId="2" fontId="7" numFmtId="4" xfId="0" applyAlignment="1" applyBorder="1" applyFont="1" applyNumberFormat="1">
      <alignment shrinkToFit="1" vertical="top" wrapText="0"/>
    </xf>
    <xf borderId="52" fillId="0" fontId="14" numFmtId="0" xfId="0" applyAlignment="1" applyBorder="1" applyFont="1">
      <alignment vertical="top"/>
    </xf>
    <xf borderId="53" fillId="0" fontId="14" numFmtId="49" xfId="0" applyAlignment="1" applyBorder="1" applyFont="1" applyNumberFormat="1">
      <alignment vertical="top"/>
    </xf>
    <xf borderId="53" fillId="0" fontId="14" numFmtId="49" xfId="0" applyAlignment="1" applyBorder="1" applyFont="1" applyNumberFormat="1">
      <alignment horizontal="left" shrinkToFit="0" vertical="top" wrapText="1"/>
    </xf>
    <xf borderId="53" fillId="0" fontId="14" numFmtId="0" xfId="0" applyAlignment="1" applyBorder="1" applyFont="1">
      <alignment horizontal="center" shrinkToFit="1" vertical="top" wrapText="0"/>
    </xf>
    <xf borderId="53" fillId="0" fontId="14" numFmtId="165" xfId="0" applyAlignment="1" applyBorder="1" applyFont="1" applyNumberFormat="1">
      <alignment shrinkToFit="1" vertical="top" wrapText="0"/>
    </xf>
    <xf borderId="54" fillId="3" fontId="14" numFmtId="4" xfId="0" applyAlignment="1" applyBorder="1" applyFont="1" applyNumberFormat="1">
      <alignment shrinkToFit="1" vertical="top" wrapText="0"/>
    </xf>
    <xf borderId="55" fillId="0" fontId="14" numFmtId="4" xfId="0" applyAlignment="1" applyBorder="1" applyFont="1" applyNumberFormat="1">
      <alignment shrinkToFit="1" vertical="top" wrapText="0"/>
    </xf>
    <xf borderId="7" fillId="3" fontId="14" numFmtId="4" xfId="0" applyAlignment="1" applyBorder="1" applyFont="1" applyNumberFormat="1">
      <alignment shrinkToFit="1" vertical="top" wrapText="0"/>
    </xf>
    <xf borderId="0" fillId="0" fontId="14" numFmtId="4" xfId="0" applyAlignment="1" applyFont="1" applyNumberFormat="1">
      <alignment shrinkToFit="1" vertical="top" wrapText="0"/>
    </xf>
    <xf borderId="0" fillId="0" fontId="14" numFmtId="0" xfId="0" applyFont="1"/>
    <xf borderId="56" fillId="0" fontId="14" numFmtId="0" xfId="0" applyAlignment="1" applyBorder="1" applyFont="1">
      <alignment vertical="top"/>
    </xf>
    <xf borderId="57" fillId="0" fontId="14" numFmtId="49" xfId="0" applyAlignment="1" applyBorder="1" applyFont="1" applyNumberFormat="1">
      <alignment vertical="top"/>
    </xf>
    <xf borderId="57" fillId="0" fontId="14" numFmtId="49" xfId="0" applyAlignment="1" applyBorder="1" applyFont="1" applyNumberFormat="1">
      <alignment horizontal="left" shrinkToFit="0" vertical="top" wrapText="1"/>
    </xf>
    <xf borderId="57" fillId="0" fontId="14" numFmtId="0" xfId="0" applyAlignment="1" applyBorder="1" applyFont="1">
      <alignment horizontal="center" shrinkToFit="1" vertical="top" wrapText="0"/>
    </xf>
    <xf borderId="57" fillId="0" fontId="14" numFmtId="165" xfId="0" applyAlignment="1" applyBorder="1" applyFont="1" applyNumberFormat="1">
      <alignment shrinkToFit="1" vertical="top" wrapText="0"/>
    </xf>
    <xf borderId="57" fillId="3" fontId="14" numFmtId="4" xfId="0" applyAlignment="1" applyBorder="1" applyFont="1" applyNumberFormat="1">
      <alignment shrinkToFit="1" vertical="top" wrapText="0"/>
    </xf>
    <xf borderId="58" fillId="0" fontId="14" numFmtId="4" xfId="0" applyAlignment="1" applyBorder="1" applyFont="1" applyNumberFormat="1">
      <alignment shrinkToFit="1" vertical="top" wrapText="0"/>
    </xf>
    <xf borderId="0" fillId="0" fontId="1" numFmtId="49" xfId="0" applyAlignment="1" applyFont="1" applyNumberFormat="1">
      <alignment horizontal="left" shrinkToFit="0" vertical="top" wrapText="1"/>
    </xf>
    <xf borderId="45" fillId="2" fontId="7" numFmtId="0" xfId="0" applyAlignment="1" applyBorder="1" applyFont="1">
      <alignment vertical="top"/>
    </xf>
    <xf borderId="46" fillId="2" fontId="7" numFmtId="49" xfId="0" applyAlignment="1" applyBorder="1" applyFont="1" applyNumberFormat="1">
      <alignment vertical="top"/>
    </xf>
    <xf borderId="46" fillId="2" fontId="7" numFmtId="49" xfId="0" applyAlignment="1" applyBorder="1" applyFont="1" applyNumberFormat="1">
      <alignment horizontal="left" shrinkToFit="0" vertical="top" wrapText="1"/>
    </xf>
    <xf borderId="46" fillId="2" fontId="7" numFmtId="0" xfId="0" applyAlignment="1" applyBorder="1" applyFont="1">
      <alignment horizontal="center" vertical="top"/>
    </xf>
    <xf borderId="46" fillId="2" fontId="7" numFmtId="0" xfId="0" applyAlignment="1" applyBorder="1" applyFont="1">
      <alignment vertical="top"/>
    </xf>
    <xf borderId="59" fillId="2" fontId="7" numFmtId="4" xfId="0" applyAlignment="1" applyBorder="1" applyFont="1" applyNumberFormat="1">
      <alignment vertical="top"/>
    </xf>
    <xf borderId="60" fillId="3" fontId="1" numFmtId="0" xfId="0" applyAlignment="1" applyBorder="1" applyFont="1">
      <alignment shrinkToFit="0" vertical="top" wrapText="1"/>
    </xf>
    <xf borderId="61" fillId="0" fontId="3" numFmtId="0" xfId="0" applyBorder="1" applyFont="1"/>
    <xf borderId="44" fillId="0" fontId="3" numFmtId="0" xfId="0" applyBorder="1" applyFont="1"/>
    <xf borderId="62" fillId="0" fontId="3" numFmtId="0" xfId="0" applyBorder="1" applyFont="1"/>
    <xf borderId="34" fillId="0" fontId="3" numFmtId="0" xfId="0" applyBorder="1" applyFont="1"/>
    <xf borderId="63" fillId="0" fontId="3" numFmtId="0" xfId="0" applyBorder="1" applyFont="1"/>
    <xf borderId="0" fillId="0" fontId="1" numFmtId="49" xfId="0" applyAlignment="1" applyFont="1" applyNumberFormat="1">
      <alignment horizontal="left" shrinkToFit="0" wrapText="1"/>
    </xf>
    <xf borderId="0" fillId="0" fontId="14" numFmtId="0" xfId="0" applyAlignment="1" applyFont="1">
      <alignment vertical="top"/>
    </xf>
    <xf borderId="0" fillId="0" fontId="14" numFmtId="49" xfId="0" applyAlignment="1" applyFont="1" applyNumberFormat="1">
      <alignment vertical="top"/>
    </xf>
    <xf quotePrefix="1" borderId="0" fillId="0" fontId="15" numFmtId="165" xfId="0" applyAlignment="1" applyFont="1" applyNumberFormat="1">
      <alignment horizontal="left" shrinkToFit="0" vertical="top" wrapText="1"/>
    </xf>
    <xf borderId="0" fillId="0" fontId="15" numFmtId="165" xfId="0" applyAlignment="1" applyFont="1" applyNumberFormat="1">
      <alignment horizontal="center" shrinkToFit="1" vertical="top" wrapText="0"/>
    </xf>
    <xf borderId="0" fillId="0" fontId="15" numFmtId="165" xfId="0" applyAlignment="1" applyFont="1" applyNumberFormat="1">
      <alignment shrinkToFit="1" vertical="top" wrapText="0"/>
    </xf>
    <xf borderId="0" fillId="0" fontId="16" numFmtId="165" xfId="0" applyAlignment="1" applyFont="1" applyNumberFormat="1">
      <alignment horizontal="left" shrinkToFit="0" vertical="top" wrapText="1"/>
    </xf>
    <xf borderId="0" fillId="0" fontId="16" numFmtId="165" xfId="0" applyAlignment="1" applyFont="1" applyNumberFormat="1">
      <alignment horizontal="center" shrinkToFit="1" vertical="top" wrapText="0"/>
    </xf>
    <xf borderId="0" fillId="0" fontId="16" numFmtId="165" xfId="0" applyAlignment="1" applyFont="1" applyNumberFormat="1">
      <alignment shrinkToFit="1" vertical="top" wrapText="0"/>
    </xf>
    <xf quotePrefix="1" borderId="0" fillId="0" fontId="16" numFmtId="165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BUILDpowerS/Templates/Rozpocty/Sablona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rycí list"/>
      <sheetName val="Rekapitulace"/>
      <sheetName val="VzorPolozky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FF66"/>
    <pageSetUpPr/>
  </sheetPr>
  <sheetViews>
    <sheetView showGridLines="0" workbookViewId="0"/>
  </sheetViews>
  <sheetFormatPr customHeight="1" defaultColWidth="14.43" defaultRowHeight="15.0"/>
  <cols>
    <col customWidth="1" hidden="1" min="1" max="1" width="8.43"/>
    <col customWidth="1" min="2" max="2" width="13.43"/>
    <col customWidth="1" min="3" max="3" width="7.43"/>
    <col customWidth="1" min="4" max="4" width="13.0"/>
    <col customWidth="1" min="5" max="5" width="9.71"/>
    <col customWidth="1" min="6" max="6" width="11.71"/>
    <col customWidth="1" min="7" max="9" width="13.0"/>
    <col customWidth="1" min="10" max="10" width="5.57"/>
    <col customWidth="1" min="11" max="11" width="4.29"/>
    <col customWidth="1" min="12" max="15" width="10.71"/>
    <col customWidth="1" min="16" max="26" width="9.0"/>
  </cols>
  <sheetData>
    <row r="1" ht="33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ht="36.0" customHeight="1">
      <c r="A2" s="5"/>
      <c r="B2" s="6" t="s">
        <v>2</v>
      </c>
      <c r="C2" s="7"/>
      <c r="D2" s="8" t="s">
        <v>3</v>
      </c>
      <c r="E2" s="9" t="s">
        <v>4</v>
      </c>
      <c r="F2" s="10"/>
      <c r="G2" s="10"/>
      <c r="H2" s="10"/>
      <c r="I2" s="10"/>
      <c r="J2" s="11"/>
      <c r="O2" s="12"/>
    </row>
    <row r="3" ht="27.0" hidden="1" customHeight="1">
      <c r="A3" s="5"/>
      <c r="B3" s="13"/>
      <c r="C3" s="7"/>
      <c r="D3" s="14"/>
      <c r="E3" s="15"/>
      <c r="F3" s="16"/>
      <c r="G3" s="16"/>
      <c r="H3" s="16"/>
      <c r="I3" s="16"/>
      <c r="J3" s="17"/>
    </row>
    <row r="4" ht="23.25" customHeight="1">
      <c r="A4" s="5"/>
      <c r="B4" s="18"/>
      <c r="C4" s="19"/>
      <c r="D4" s="20"/>
      <c r="E4" s="21"/>
      <c r="F4" s="22"/>
      <c r="G4" s="22"/>
      <c r="H4" s="22"/>
      <c r="I4" s="22"/>
      <c r="J4" s="23"/>
    </row>
    <row r="5" ht="24.0" customHeight="1">
      <c r="A5" s="5"/>
      <c r="B5" s="24" t="s">
        <v>5</v>
      </c>
      <c r="C5" s="25"/>
      <c r="D5" s="26" t="s">
        <v>6</v>
      </c>
      <c r="E5" s="27"/>
      <c r="F5" s="27"/>
      <c r="G5" s="27"/>
      <c r="H5" s="28" t="s">
        <v>7</v>
      </c>
      <c r="I5" s="29" t="s">
        <v>8</v>
      </c>
      <c r="J5" s="30"/>
    </row>
    <row r="6" ht="15.75" customHeight="1">
      <c r="A6" s="5"/>
      <c r="B6" s="31"/>
      <c r="C6" s="32"/>
      <c r="D6" s="33" t="s">
        <v>9</v>
      </c>
      <c r="H6" s="28" t="s">
        <v>10</v>
      </c>
      <c r="I6" s="29" t="s">
        <v>11</v>
      </c>
      <c r="J6" s="30"/>
    </row>
    <row r="7" ht="15.75" customHeight="1">
      <c r="A7" s="5"/>
      <c r="B7" s="34"/>
      <c r="C7" s="35"/>
      <c r="D7" s="36" t="s">
        <v>12</v>
      </c>
      <c r="E7" s="37" t="s">
        <v>13</v>
      </c>
      <c r="F7" s="38"/>
      <c r="G7" s="38"/>
      <c r="H7" s="39"/>
      <c r="I7" s="40"/>
      <c r="J7" s="41"/>
    </row>
    <row r="8" ht="24.0" hidden="1" customHeight="1">
      <c r="A8" s="5"/>
      <c r="B8" s="24" t="s">
        <v>14</v>
      </c>
      <c r="C8" s="25"/>
      <c r="D8" s="42"/>
      <c r="E8" s="25"/>
      <c r="H8" s="28" t="s">
        <v>7</v>
      </c>
      <c r="I8" s="43"/>
      <c r="J8" s="30"/>
    </row>
    <row r="9" ht="15.75" hidden="1" customHeight="1">
      <c r="A9" s="5"/>
      <c r="B9" s="5"/>
      <c r="C9" s="25"/>
      <c r="D9" s="42"/>
      <c r="E9" s="25"/>
      <c r="H9" s="28" t="s">
        <v>10</v>
      </c>
      <c r="I9" s="43"/>
      <c r="J9" s="30"/>
    </row>
    <row r="10" ht="15.75" hidden="1" customHeight="1">
      <c r="A10" s="5"/>
      <c r="B10" s="44"/>
      <c r="C10" s="35"/>
      <c r="D10" s="45"/>
      <c r="E10" s="46"/>
      <c r="F10" s="39"/>
      <c r="G10" s="47"/>
      <c r="H10" s="47"/>
      <c r="I10" s="48"/>
      <c r="J10" s="41"/>
    </row>
    <row r="11" ht="24.0" customHeight="1">
      <c r="A11" s="5"/>
      <c r="B11" s="24" t="s">
        <v>15</v>
      </c>
      <c r="C11" s="25"/>
      <c r="D11" s="49" t="s">
        <v>16</v>
      </c>
      <c r="E11" s="10"/>
      <c r="F11" s="10"/>
      <c r="G11" s="50"/>
      <c r="H11" s="28" t="s">
        <v>7</v>
      </c>
      <c r="I11" s="51" t="s">
        <v>17</v>
      </c>
      <c r="J11" s="30"/>
    </row>
    <row r="12" ht="15.75" customHeight="1">
      <c r="A12" s="5"/>
      <c r="B12" s="31"/>
      <c r="C12" s="32"/>
      <c r="D12" s="52" t="s">
        <v>18</v>
      </c>
      <c r="E12" s="16"/>
      <c r="F12" s="16"/>
      <c r="G12" s="53"/>
      <c r="H12" s="28" t="s">
        <v>10</v>
      </c>
      <c r="I12" s="51" t="s">
        <v>19</v>
      </c>
      <c r="J12" s="30"/>
    </row>
    <row r="13" ht="15.75" customHeight="1">
      <c r="A13" s="5"/>
      <c r="B13" s="34"/>
      <c r="C13" s="35"/>
      <c r="D13" s="54" t="s">
        <v>20</v>
      </c>
      <c r="E13" s="55" t="s">
        <v>21</v>
      </c>
      <c r="F13" s="22"/>
      <c r="G13" s="56"/>
      <c r="H13" s="57"/>
      <c r="I13" s="40"/>
      <c r="J13" s="41"/>
    </row>
    <row r="14" ht="24.0" customHeight="1">
      <c r="A14" s="5"/>
      <c r="B14" s="58" t="s">
        <v>22</v>
      </c>
      <c r="C14" s="59"/>
      <c r="D14" s="60"/>
      <c r="E14" s="61"/>
      <c r="F14" s="62"/>
      <c r="G14" s="62"/>
      <c r="H14" s="63"/>
      <c r="I14" s="62"/>
      <c r="J14" s="64"/>
    </row>
    <row r="15" ht="32.25" customHeight="1">
      <c r="A15" s="5"/>
      <c r="B15" s="44" t="s">
        <v>23</v>
      </c>
      <c r="C15" s="65"/>
      <c r="D15" s="66"/>
      <c r="E15" s="67"/>
      <c r="F15" s="38"/>
      <c r="G15" s="48"/>
      <c r="H15" s="38"/>
      <c r="I15" s="48" t="s">
        <v>24</v>
      </c>
      <c r="J15" s="68"/>
    </row>
    <row r="16" ht="23.25" customHeight="1">
      <c r="A16" s="69" t="s">
        <v>25</v>
      </c>
      <c r="B16" s="70" t="s">
        <v>25</v>
      </c>
      <c r="C16" s="71"/>
      <c r="D16" s="72"/>
      <c r="E16" s="73"/>
      <c r="F16" s="74"/>
      <c r="G16" s="73"/>
      <c r="H16" s="74"/>
      <c r="I16" s="73">
        <f>SUMIF(F85:F109,A16,I85:I109)+SUMIF(F85:F109,"PSU",I85:I109)</f>
        <v>30003372.32</v>
      </c>
      <c r="J16" s="75"/>
    </row>
    <row r="17" ht="23.25" customHeight="1">
      <c r="A17" s="69" t="s">
        <v>26</v>
      </c>
      <c r="B17" s="70" t="s">
        <v>26</v>
      </c>
      <c r="C17" s="71"/>
      <c r="D17" s="72"/>
      <c r="E17" s="73"/>
      <c r="F17" s="74"/>
      <c r="G17" s="73"/>
      <c r="H17" s="74"/>
      <c r="I17" s="73">
        <f>SUMIF(F85:F109,A17,I85:I109)</f>
        <v>169520</v>
      </c>
      <c r="J17" s="75"/>
    </row>
    <row r="18" ht="23.25" customHeight="1">
      <c r="A18" s="69" t="s">
        <v>27</v>
      </c>
      <c r="B18" s="70" t="s">
        <v>27</v>
      </c>
      <c r="C18" s="71"/>
      <c r="D18" s="72"/>
      <c r="E18" s="73"/>
      <c r="F18" s="74"/>
      <c r="G18" s="73"/>
      <c r="H18" s="74"/>
      <c r="I18" s="73">
        <f>SUMIF(F85:F109,A18,I85:I109)</f>
        <v>6591456.95</v>
      </c>
      <c r="J18" s="75"/>
    </row>
    <row r="19" ht="23.25" customHeight="1">
      <c r="A19" s="69" t="s">
        <v>28</v>
      </c>
      <c r="B19" s="70" t="s">
        <v>29</v>
      </c>
      <c r="C19" s="71"/>
      <c r="D19" s="72"/>
      <c r="E19" s="73"/>
      <c r="F19" s="74"/>
      <c r="G19" s="73"/>
      <c r="H19" s="74"/>
      <c r="I19" s="73">
        <f>SUMIF(F85:F109,A19,I85:I109)</f>
        <v>305766</v>
      </c>
      <c r="J19" s="75"/>
    </row>
    <row r="20" ht="23.25" customHeight="1">
      <c r="A20" s="69" t="s">
        <v>30</v>
      </c>
      <c r="B20" s="70" t="s">
        <v>31</v>
      </c>
      <c r="C20" s="71"/>
      <c r="D20" s="72"/>
      <c r="E20" s="73"/>
      <c r="F20" s="74"/>
      <c r="G20" s="73"/>
      <c r="H20" s="74"/>
      <c r="I20" s="73">
        <f>SUMIF(F85:F109,A20,I85:I109)</f>
        <v>262937</v>
      </c>
      <c r="J20" s="75"/>
    </row>
    <row r="21" ht="23.25" customHeight="1">
      <c r="A21" s="5"/>
      <c r="B21" s="76" t="s">
        <v>24</v>
      </c>
      <c r="C21" s="77"/>
      <c r="D21" s="78"/>
      <c r="E21" s="79"/>
      <c r="F21" s="74"/>
      <c r="G21" s="79"/>
      <c r="H21" s="74"/>
      <c r="I21" s="79">
        <f>SUM(I16:J20)</f>
        <v>37333052.27</v>
      </c>
      <c r="J21" s="75"/>
    </row>
    <row r="22" ht="33.0" customHeight="1">
      <c r="A22" s="5"/>
      <c r="B22" s="80" t="s">
        <v>32</v>
      </c>
      <c r="C22" s="71"/>
      <c r="D22" s="72"/>
      <c r="E22" s="81"/>
      <c r="F22" s="82"/>
      <c r="G22" s="83"/>
      <c r="H22" s="83"/>
      <c r="I22" s="83"/>
      <c r="J22" s="84"/>
    </row>
    <row r="23" ht="23.25" customHeight="1">
      <c r="A23" s="5">
        <f>ZakladDPHSni*Stavba!SazbaDPH1/100</f>
        <v>0</v>
      </c>
      <c r="B23" s="70" t="s">
        <v>33</v>
      </c>
      <c r="C23" s="71"/>
      <c r="D23" s="72"/>
      <c r="E23" s="85">
        <v>15.0</v>
      </c>
      <c r="F23" s="82" t="s">
        <v>34</v>
      </c>
      <c r="G23" s="86">
        <f>Stavba!ZakladDPHSniVypocet</f>
        <v>0</v>
      </c>
      <c r="H23" s="87"/>
      <c r="I23" s="87"/>
      <c r="J23" s="84" t="str">
        <f>Mena</f>
        <v>CZK</v>
      </c>
    </row>
    <row r="24" ht="23.25" customHeight="1">
      <c r="A24" s="5">
        <f>(A23-INT(A23))*100</f>
        <v>0</v>
      </c>
      <c r="B24" s="70" t="s">
        <v>35</v>
      </c>
      <c r="C24" s="71"/>
      <c r="D24" s="72"/>
      <c r="E24" s="85">
        <f>Stavba!SazbaDPH1</f>
        <v>15</v>
      </c>
      <c r="F24" s="82" t="s">
        <v>34</v>
      </c>
      <c r="G24" s="79">
        <f>A23</f>
        <v>0</v>
      </c>
      <c r="H24" s="87"/>
      <c r="I24" s="87"/>
      <c r="J24" s="84" t="str">
        <f>Mena</f>
        <v>CZK</v>
      </c>
    </row>
    <row r="25" ht="23.25" customHeight="1">
      <c r="A25" s="5">
        <f>ZakladDPHZakl*Stavba!SazbaDPH2/100</f>
        <v>7839940.977</v>
      </c>
      <c r="B25" s="70" t="s">
        <v>36</v>
      </c>
      <c r="C25" s="71"/>
      <c r="D25" s="72"/>
      <c r="E25" s="85">
        <v>21.0</v>
      </c>
      <c r="F25" s="82" t="s">
        <v>34</v>
      </c>
      <c r="G25" s="86">
        <f>Stavba!ZakladDPHZaklVypocet</f>
        <v>37333052.27</v>
      </c>
      <c r="H25" s="87"/>
      <c r="I25" s="87"/>
      <c r="J25" s="84" t="str">
        <f>Mena</f>
        <v>CZK</v>
      </c>
    </row>
    <row r="26" ht="23.25" customHeight="1">
      <c r="A26" s="5">
        <f>(A25-INT(A25))*100</f>
        <v>97.67000005</v>
      </c>
      <c r="B26" s="88" t="s">
        <v>37</v>
      </c>
      <c r="C26" s="89"/>
      <c r="D26" s="66"/>
      <c r="E26" s="90">
        <f>Stavba!SazbaDPH2</f>
        <v>21</v>
      </c>
      <c r="F26" s="91" t="s">
        <v>34</v>
      </c>
      <c r="G26" s="92">
        <f>A25</f>
        <v>7839940.977</v>
      </c>
      <c r="H26" s="38"/>
      <c r="I26" s="38"/>
      <c r="J26" s="93" t="str">
        <f>Mena</f>
        <v>CZK</v>
      </c>
    </row>
    <row r="27" ht="23.25" customHeight="1">
      <c r="A27" s="94">
        <f>ZakladDPHSni+DPHSni+ZakladDPHZakl+DPHZakl</f>
        <v>45172993.25</v>
      </c>
      <c r="B27" s="24" t="s">
        <v>38</v>
      </c>
      <c r="C27" s="95"/>
      <c r="D27" s="96"/>
      <c r="E27" s="95"/>
      <c r="F27" s="97"/>
      <c r="G27" s="98">
        <f>CenaCelkem-(ZakladDPHSni+DPHSni+ZakladDPHZakl+DPHZakl)</f>
        <v>0</v>
      </c>
      <c r="H27" s="27"/>
      <c r="I27" s="27"/>
      <c r="J27" s="99" t="str">
        <f>Mena</f>
        <v>CZK</v>
      </c>
    </row>
    <row r="28" ht="27.75" hidden="1" customHeight="1">
      <c r="A28" s="5"/>
      <c r="B28" s="100" t="s">
        <v>39</v>
      </c>
      <c r="C28" s="101"/>
      <c r="D28" s="101"/>
      <c r="E28" s="102"/>
      <c r="F28" s="103"/>
      <c r="G28" s="104">
        <f>Stavba!ZakladDPHSniVypocet+Stavba!ZakladDPHZaklVypocet</f>
        <v>37333052.27</v>
      </c>
      <c r="H28" s="105"/>
      <c r="I28" s="106"/>
      <c r="J28" s="107" t="str">
        <f>Mena</f>
        <v>CZK</v>
      </c>
    </row>
    <row r="29" ht="27.75" customHeight="1">
      <c r="A29" s="5">
        <f>(A27-INT(A27))*100</f>
        <v>24.67000037</v>
      </c>
      <c r="B29" s="100" t="s">
        <v>40</v>
      </c>
      <c r="C29" s="108"/>
      <c r="D29" s="108"/>
      <c r="E29" s="108"/>
      <c r="F29" s="109"/>
      <c r="G29" s="110">
        <f>A27</f>
        <v>45172993.25</v>
      </c>
      <c r="H29" s="105"/>
      <c r="I29" s="106"/>
      <c r="J29" s="111" t="s">
        <v>41</v>
      </c>
    </row>
    <row r="30" ht="12.75" customHeight="1">
      <c r="A30" s="5"/>
      <c r="B30" s="5"/>
      <c r="C30" s="25"/>
      <c r="D30" s="25"/>
      <c r="E30" s="25"/>
      <c r="J30" s="112"/>
    </row>
    <row r="31" ht="30.0" customHeight="1">
      <c r="A31" s="5"/>
      <c r="B31" s="5"/>
      <c r="C31" s="25"/>
      <c r="D31" s="25"/>
      <c r="E31" s="25"/>
      <c r="J31" s="112"/>
    </row>
    <row r="32" ht="18.75" customHeight="1">
      <c r="A32" s="5"/>
      <c r="B32" s="113"/>
      <c r="C32" s="114" t="s">
        <v>42</v>
      </c>
      <c r="D32" s="115"/>
      <c r="E32" s="115"/>
      <c r="F32" s="116" t="s">
        <v>43</v>
      </c>
      <c r="G32" s="117"/>
      <c r="H32" s="118"/>
      <c r="I32" s="117"/>
      <c r="J32" s="112"/>
    </row>
    <row r="33" ht="47.25" customHeight="1">
      <c r="A33" s="5"/>
      <c r="B33" s="5"/>
      <c r="C33" s="25"/>
      <c r="D33" s="25"/>
      <c r="E33" s="25"/>
      <c r="J33" s="112"/>
    </row>
    <row r="34" ht="18.75" customHeight="1">
      <c r="A34" s="119"/>
      <c r="B34" s="119"/>
      <c r="C34" s="120"/>
      <c r="D34" s="121"/>
      <c r="E34" s="38"/>
      <c r="F34" s="122"/>
      <c r="G34" s="123"/>
      <c r="H34" s="38"/>
      <c r="I34" s="38"/>
      <c r="J34" s="124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2.75" customHeight="1">
      <c r="A35" s="5"/>
      <c r="B35" s="5"/>
      <c r="C35" s="25"/>
      <c r="D35" s="125" t="s">
        <v>44</v>
      </c>
      <c r="E35" s="27"/>
      <c r="H35" s="126" t="s">
        <v>45</v>
      </c>
      <c r="J35" s="112"/>
    </row>
    <row r="36" ht="13.5" customHeight="1">
      <c r="A36" s="127"/>
      <c r="B36" s="127"/>
      <c r="C36" s="128"/>
      <c r="D36" s="128"/>
      <c r="E36" s="128"/>
      <c r="F36" s="129"/>
      <c r="G36" s="129"/>
      <c r="H36" s="129"/>
      <c r="I36" s="129"/>
      <c r="J36" s="130"/>
    </row>
    <row r="37" ht="27.0" customHeight="1">
      <c r="B37" s="131" t="s">
        <v>46</v>
      </c>
      <c r="C37" s="132"/>
      <c r="D37" s="132"/>
      <c r="E37" s="132"/>
      <c r="F37" s="133"/>
      <c r="G37" s="133"/>
      <c r="H37" s="133"/>
      <c r="I37" s="133"/>
      <c r="J37" s="134"/>
    </row>
    <row r="38" ht="25.5" customHeight="1">
      <c r="A38" s="135" t="s">
        <v>47</v>
      </c>
      <c r="B38" s="136" t="s">
        <v>48</v>
      </c>
      <c r="C38" s="137" t="s">
        <v>49</v>
      </c>
      <c r="D38" s="137"/>
      <c r="E38" s="137"/>
      <c r="F38" s="138" t="str">
        <f>B23</f>
        <v>Základ pro sníženou DPH</v>
      </c>
      <c r="G38" s="138" t="str">
        <f>B25</f>
        <v>Základ pro základní DPH</v>
      </c>
      <c r="H38" s="139" t="s">
        <v>50</v>
      </c>
      <c r="I38" s="139" t="s">
        <v>51</v>
      </c>
      <c r="J38" s="140" t="s">
        <v>34</v>
      </c>
    </row>
    <row r="39" ht="25.5" hidden="1" customHeight="1">
      <c r="A39" s="135">
        <v>1.0</v>
      </c>
      <c r="B39" s="141" t="s">
        <v>52</v>
      </c>
      <c r="C39" s="142"/>
      <c r="D39" s="87"/>
      <c r="E39" s="87"/>
      <c r="F39" s="143">
        <f>'00 000 Naklady'!AE29+'IO 710 IO 710 Pol'!AE356+'IO 720a IO 720a Pol'!AE149+'IO 730 IO 730 Pol'!AE113+'IO 730a IO 730a Pol'!AE124+'IO 754a IO 754a Pol'!AE68+'IO 760b IO 760b Pol'!AE29+'IO 763 IO 763 Pol'!AE46+'SO 000 SO 000 Pol'!AE129+'SO 600 SO 600 Pol'!AE116+'SO 601 SO 601 Pol'!AE123+'SO 602 SO 602 Pol'!AE120+'SO 603 SO 603 Pol'!AE160+'SO 603a SO 603a Pol'!AE101+'SO 606 SO 606 Pol'!AE561+'SO 606a SO 606a Pol'!AE215+'SO 630 SO 630 Pol'!AE82+'SO 640 SO 640 Pol'!AE38+'SO 641 SO 641 Pol'!AE41</f>
        <v>0</v>
      </c>
      <c r="G39" s="143">
        <f>'00 000 Naklady'!AF29+'IO 710 IO 710 Pol'!AF356+'IO 720a IO 720a Pol'!AF149+'IO 730 IO 730 Pol'!AF113+'IO 730a IO 730a Pol'!AF124+'IO 754a IO 754a Pol'!AF68+'IO 760b IO 760b Pol'!AF29+'IO 763 IO 763 Pol'!AF46+'SO 000 SO 000 Pol'!AF129+'SO 600 SO 600 Pol'!AF116+'SO 601 SO 601 Pol'!AF123+'SO 602 SO 602 Pol'!AF120+'SO 603 SO 603 Pol'!AF160+'SO 603a SO 603a Pol'!AF101+'SO 606 SO 606 Pol'!AF561+'SO 606a SO 606a Pol'!AF215+'SO 630 SO 630 Pol'!AF82+'SO 640 SO 640 Pol'!AF38+'SO 641 SO 641 Pol'!AF41</f>
        <v>37333052.27</v>
      </c>
      <c r="H39" s="144">
        <f>(F39*Stavba!SazbaDPH1/100)+(G39*Stavba!SazbaDPH2/100)</f>
        <v>7839940.977</v>
      </c>
      <c r="I39" s="144">
        <f t="shared" ref="I39:I77" si="1">F39+G39+H39</f>
        <v>45172993.25</v>
      </c>
      <c r="J39" s="145">
        <f>IF(Stavba!CenaCelkemVypocet=0,"",I39/Stavba!CenaCelkemVypocet*100)</f>
        <v>100</v>
      </c>
    </row>
    <row r="40" ht="25.5" customHeight="1">
      <c r="A40" s="135">
        <v>2.0</v>
      </c>
      <c r="B40" s="146" t="s">
        <v>53</v>
      </c>
      <c r="C40" s="147" t="s">
        <v>54</v>
      </c>
      <c r="D40" s="87"/>
      <c r="E40" s="87"/>
      <c r="F40" s="148">
        <f>'00 000 Naklady'!AE29</f>
        <v>0</v>
      </c>
      <c r="G40" s="148">
        <f>'00 000 Naklady'!AF29</f>
        <v>568703</v>
      </c>
      <c r="H40" s="148">
        <f>(F40*Stavba!SazbaDPH1/100)+(G40*Stavba!SazbaDPH2/100)</f>
        <v>119427.63</v>
      </c>
      <c r="I40" s="148">
        <f t="shared" si="1"/>
        <v>688130.63</v>
      </c>
      <c r="J40" s="149">
        <f>IF(Stavba!CenaCelkemVypocet=0,"",I40/Stavba!CenaCelkemVypocet*100)</f>
        <v>1.523323075</v>
      </c>
    </row>
    <row r="41" ht="25.5" customHeight="1">
      <c r="A41" s="135">
        <v>3.0</v>
      </c>
      <c r="B41" s="150" t="s">
        <v>55</v>
      </c>
      <c r="C41" s="142" t="s">
        <v>54</v>
      </c>
      <c r="D41" s="87"/>
      <c r="E41" s="87"/>
      <c r="F41" s="144">
        <f>'00 000 Naklady'!AE29</f>
        <v>0</v>
      </c>
      <c r="G41" s="144">
        <f>'00 000 Naklady'!AF29</f>
        <v>568703</v>
      </c>
      <c r="H41" s="144">
        <f>(F41*Stavba!SazbaDPH1/100)+(G41*Stavba!SazbaDPH2/100)</f>
        <v>119427.63</v>
      </c>
      <c r="I41" s="144">
        <f t="shared" si="1"/>
        <v>688130.63</v>
      </c>
      <c r="J41" s="145">
        <f>IF(Stavba!CenaCelkemVypocet=0,"",I41/Stavba!CenaCelkemVypocet*100)</f>
        <v>1.523323075</v>
      </c>
    </row>
    <row r="42" ht="25.5" customHeight="1">
      <c r="A42" s="135">
        <v>2.0</v>
      </c>
      <c r="B42" s="146" t="s">
        <v>56</v>
      </c>
      <c r="C42" s="147" t="s">
        <v>57</v>
      </c>
      <c r="D42" s="87"/>
      <c r="E42" s="87"/>
      <c r="F42" s="148">
        <f>'IO 710 IO 710 Pol'!AE356</f>
        <v>0</v>
      </c>
      <c r="G42" s="148">
        <f>'IO 710 IO 710 Pol'!AF356</f>
        <v>5016734.54</v>
      </c>
      <c r="H42" s="148">
        <f>(F42*Stavba!SazbaDPH1/100)+(G42*Stavba!SazbaDPH2/100)</f>
        <v>1053514.253</v>
      </c>
      <c r="I42" s="148">
        <f t="shared" si="1"/>
        <v>6070248.793</v>
      </c>
      <c r="J42" s="149">
        <f>IF(Stavba!CenaCelkemVypocet=0,"",I42/Stavba!CenaCelkemVypocet*100)</f>
        <v>13.43778297</v>
      </c>
    </row>
    <row r="43" ht="25.5" customHeight="1">
      <c r="A43" s="135">
        <v>3.0</v>
      </c>
      <c r="B43" s="150" t="s">
        <v>56</v>
      </c>
      <c r="C43" s="142" t="s">
        <v>57</v>
      </c>
      <c r="D43" s="87"/>
      <c r="E43" s="87"/>
      <c r="F43" s="144">
        <f>'IO 710 IO 710 Pol'!AE356</f>
        <v>0</v>
      </c>
      <c r="G43" s="144">
        <f>'IO 710 IO 710 Pol'!AF356</f>
        <v>5016734.54</v>
      </c>
      <c r="H43" s="144">
        <f>(F43*Stavba!SazbaDPH1/100)+(G43*Stavba!SazbaDPH2/100)</f>
        <v>1053514.253</v>
      </c>
      <c r="I43" s="144">
        <f t="shared" si="1"/>
        <v>6070248.793</v>
      </c>
      <c r="J43" s="145">
        <f>IF(Stavba!CenaCelkemVypocet=0,"",I43/Stavba!CenaCelkemVypocet*100)</f>
        <v>13.43778297</v>
      </c>
    </row>
    <row r="44" ht="25.5" customHeight="1">
      <c r="A44" s="135">
        <v>2.0</v>
      </c>
      <c r="B44" s="146" t="s">
        <v>58</v>
      </c>
      <c r="C44" s="147" t="s">
        <v>59</v>
      </c>
      <c r="D44" s="87"/>
      <c r="E44" s="87"/>
      <c r="F44" s="148">
        <f>'IO 720a IO 720a Pol'!AE149</f>
        <v>0</v>
      </c>
      <c r="G44" s="148">
        <f>'IO 720a IO 720a Pol'!AF149</f>
        <v>110566.6</v>
      </c>
      <c r="H44" s="148">
        <f>(F44*Stavba!SazbaDPH1/100)+(G44*Stavba!SazbaDPH2/100)</f>
        <v>23218.986</v>
      </c>
      <c r="I44" s="148">
        <f t="shared" si="1"/>
        <v>133785.586</v>
      </c>
      <c r="J44" s="149">
        <f>IF(Stavba!CenaCelkemVypocet=0,"",I44/Stavba!CenaCelkemVypocet*100)</f>
        <v>0.2961627654</v>
      </c>
    </row>
    <row r="45" ht="25.5" customHeight="1">
      <c r="A45" s="135">
        <v>3.0</v>
      </c>
      <c r="B45" s="150" t="s">
        <v>58</v>
      </c>
      <c r="C45" s="142" t="s">
        <v>59</v>
      </c>
      <c r="D45" s="87"/>
      <c r="E45" s="87"/>
      <c r="F45" s="144">
        <f>'IO 720a IO 720a Pol'!AE149</f>
        <v>0</v>
      </c>
      <c r="G45" s="144">
        <f>'IO 720a IO 720a Pol'!AF149</f>
        <v>110566.6</v>
      </c>
      <c r="H45" s="144">
        <f>(F45*Stavba!SazbaDPH1/100)+(G45*Stavba!SazbaDPH2/100)</f>
        <v>23218.986</v>
      </c>
      <c r="I45" s="144">
        <f t="shared" si="1"/>
        <v>133785.586</v>
      </c>
      <c r="J45" s="145">
        <f>IF(Stavba!CenaCelkemVypocet=0,"",I45/Stavba!CenaCelkemVypocet*100)</f>
        <v>0.2961627654</v>
      </c>
    </row>
    <row r="46" ht="25.5" customHeight="1">
      <c r="A46" s="135">
        <v>2.0</v>
      </c>
      <c r="B46" s="146" t="s">
        <v>60</v>
      </c>
      <c r="C46" s="147" t="s">
        <v>61</v>
      </c>
      <c r="D46" s="87"/>
      <c r="E46" s="87"/>
      <c r="F46" s="148">
        <f>'IO 730 IO 730 Pol'!AE113</f>
        <v>0</v>
      </c>
      <c r="G46" s="148">
        <f>'IO 730 IO 730 Pol'!AF113</f>
        <v>484680.99</v>
      </c>
      <c r="H46" s="148">
        <f>(F46*Stavba!SazbaDPH1/100)+(G46*Stavba!SazbaDPH2/100)</f>
        <v>101783.0079</v>
      </c>
      <c r="I46" s="148">
        <f t="shared" si="1"/>
        <v>586463.9979</v>
      </c>
      <c r="J46" s="149">
        <f>IF(Stavba!CenaCelkemVypocet=0,"",I46/Stavba!CenaCelkemVypocet*100)</f>
        <v>1.298262426</v>
      </c>
    </row>
    <row r="47" ht="25.5" customHeight="1">
      <c r="A47" s="135">
        <v>3.0</v>
      </c>
      <c r="B47" s="150" t="s">
        <v>60</v>
      </c>
      <c r="C47" s="142" t="s">
        <v>61</v>
      </c>
      <c r="D47" s="87"/>
      <c r="E47" s="87"/>
      <c r="F47" s="144">
        <f>'IO 730 IO 730 Pol'!AE113</f>
        <v>0</v>
      </c>
      <c r="G47" s="144">
        <f>'IO 730 IO 730 Pol'!AF113</f>
        <v>484680.99</v>
      </c>
      <c r="H47" s="144">
        <f>(F47*Stavba!SazbaDPH1/100)+(G47*Stavba!SazbaDPH2/100)</f>
        <v>101783.0079</v>
      </c>
      <c r="I47" s="144">
        <f t="shared" si="1"/>
        <v>586463.9979</v>
      </c>
      <c r="J47" s="145">
        <f>IF(Stavba!CenaCelkemVypocet=0,"",I47/Stavba!CenaCelkemVypocet*100)</f>
        <v>1.298262426</v>
      </c>
    </row>
    <row r="48" ht="25.5" customHeight="1">
      <c r="A48" s="135">
        <v>2.0</v>
      </c>
      <c r="B48" s="146" t="s">
        <v>62</v>
      </c>
      <c r="C48" s="147" t="s">
        <v>63</v>
      </c>
      <c r="D48" s="87"/>
      <c r="E48" s="87"/>
      <c r="F48" s="148">
        <f>'IO 730a IO 730a Pol'!AE124</f>
        <v>0</v>
      </c>
      <c r="G48" s="148">
        <f>'IO 730a IO 730a Pol'!AF124</f>
        <v>233593.41</v>
      </c>
      <c r="H48" s="148">
        <f>(F48*Stavba!SazbaDPH1/100)+(G48*Stavba!SazbaDPH2/100)</f>
        <v>49054.6161</v>
      </c>
      <c r="I48" s="148">
        <f t="shared" si="1"/>
        <v>282648.0261</v>
      </c>
      <c r="J48" s="149">
        <f>IF(Stavba!CenaCelkemVypocet=0,"",I48/Stavba!CenaCelkemVypocet*100)</f>
        <v>0.6257013445</v>
      </c>
    </row>
    <row r="49" ht="25.5" customHeight="1">
      <c r="A49" s="135">
        <v>3.0</v>
      </c>
      <c r="B49" s="150" t="s">
        <v>62</v>
      </c>
      <c r="C49" s="142" t="s">
        <v>63</v>
      </c>
      <c r="D49" s="87"/>
      <c r="E49" s="87"/>
      <c r="F49" s="144">
        <f>'IO 730a IO 730a Pol'!AE124</f>
        <v>0</v>
      </c>
      <c r="G49" s="144">
        <f>'IO 730a IO 730a Pol'!AF124</f>
        <v>233593.41</v>
      </c>
      <c r="H49" s="144">
        <f>(F49*Stavba!SazbaDPH1/100)+(G49*Stavba!SazbaDPH2/100)</f>
        <v>49054.6161</v>
      </c>
      <c r="I49" s="144">
        <f t="shared" si="1"/>
        <v>282648.0261</v>
      </c>
      <c r="J49" s="145">
        <f>IF(Stavba!CenaCelkemVypocet=0,"",I49/Stavba!CenaCelkemVypocet*100)</f>
        <v>0.6257013445</v>
      </c>
    </row>
    <row r="50" ht="25.5" customHeight="1">
      <c r="A50" s="135">
        <v>2.0</v>
      </c>
      <c r="B50" s="146" t="s">
        <v>64</v>
      </c>
      <c r="C50" s="147" t="s">
        <v>65</v>
      </c>
      <c r="D50" s="87"/>
      <c r="E50" s="87"/>
      <c r="F50" s="148">
        <f>'IO 754a IO 754a Pol'!AE68</f>
        <v>0</v>
      </c>
      <c r="G50" s="148">
        <f>'IO 754a IO 754a Pol'!AF68</f>
        <v>979104.28</v>
      </c>
      <c r="H50" s="148">
        <f>(F50*Stavba!SazbaDPH1/100)+(G50*Stavba!SazbaDPH2/100)</f>
        <v>205611.8988</v>
      </c>
      <c r="I50" s="148">
        <f t="shared" si="1"/>
        <v>1184716.179</v>
      </c>
      <c r="J50" s="149">
        <f>IF(Stavba!CenaCelkemVypocet=0,"",I50/Stavba!CenaCelkemVypocet*100)</f>
        <v>2.622620494</v>
      </c>
    </row>
    <row r="51" ht="25.5" customHeight="1">
      <c r="A51" s="135">
        <v>3.0</v>
      </c>
      <c r="B51" s="150" t="s">
        <v>64</v>
      </c>
      <c r="C51" s="142" t="s">
        <v>65</v>
      </c>
      <c r="D51" s="87"/>
      <c r="E51" s="87"/>
      <c r="F51" s="144">
        <f>'IO 754a IO 754a Pol'!AE68</f>
        <v>0</v>
      </c>
      <c r="G51" s="144">
        <f>'IO 754a IO 754a Pol'!AF68</f>
        <v>979104.28</v>
      </c>
      <c r="H51" s="144">
        <f>(F51*Stavba!SazbaDPH1/100)+(G51*Stavba!SazbaDPH2/100)</f>
        <v>205611.8988</v>
      </c>
      <c r="I51" s="144">
        <f t="shared" si="1"/>
        <v>1184716.179</v>
      </c>
      <c r="J51" s="145">
        <f>IF(Stavba!CenaCelkemVypocet=0,"",I51/Stavba!CenaCelkemVypocet*100)</f>
        <v>2.622620494</v>
      </c>
    </row>
    <row r="52" ht="25.5" customHeight="1">
      <c r="A52" s="135">
        <v>2.0</v>
      </c>
      <c r="B52" s="146" t="s">
        <v>66</v>
      </c>
      <c r="C52" s="147" t="s">
        <v>67</v>
      </c>
      <c r="D52" s="87"/>
      <c r="E52" s="87"/>
      <c r="F52" s="148">
        <f>'IO 760b IO 760b Pol'!AE29</f>
        <v>0</v>
      </c>
      <c r="G52" s="148">
        <f>'IO 760b IO 760b Pol'!AF29</f>
        <v>335085.75</v>
      </c>
      <c r="H52" s="148">
        <f>(F52*Stavba!SazbaDPH1/100)+(G52*Stavba!SazbaDPH2/100)</f>
        <v>70368.0075</v>
      </c>
      <c r="I52" s="148">
        <f t="shared" si="1"/>
        <v>405453.7575</v>
      </c>
      <c r="J52" s="149">
        <f>IF(Stavba!CenaCelkemVypocet=0,"",I52/Stavba!CenaCelkemVypocet*100)</f>
        <v>0.8975578733</v>
      </c>
    </row>
    <row r="53" ht="25.5" customHeight="1">
      <c r="A53" s="135">
        <v>3.0</v>
      </c>
      <c r="B53" s="150" t="s">
        <v>66</v>
      </c>
      <c r="C53" s="142" t="s">
        <v>67</v>
      </c>
      <c r="D53" s="87"/>
      <c r="E53" s="87"/>
      <c r="F53" s="144">
        <f>'IO 760b IO 760b Pol'!AE29</f>
        <v>0</v>
      </c>
      <c r="G53" s="144">
        <f>'IO 760b IO 760b Pol'!AF29</f>
        <v>335085.75</v>
      </c>
      <c r="H53" s="144">
        <f>(F53*Stavba!SazbaDPH1/100)+(G53*Stavba!SazbaDPH2/100)</f>
        <v>70368.0075</v>
      </c>
      <c r="I53" s="144">
        <f t="shared" si="1"/>
        <v>405453.7575</v>
      </c>
      <c r="J53" s="145">
        <f>IF(Stavba!CenaCelkemVypocet=0,"",I53/Stavba!CenaCelkemVypocet*100)</f>
        <v>0.8975578733</v>
      </c>
    </row>
    <row r="54" ht="25.5" customHeight="1">
      <c r="A54" s="135">
        <v>2.0</v>
      </c>
      <c r="B54" s="146" t="s">
        <v>68</v>
      </c>
      <c r="C54" s="147" t="s">
        <v>69</v>
      </c>
      <c r="D54" s="87"/>
      <c r="E54" s="87"/>
      <c r="F54" s="148">
        <f>'IO 763 IO 763 Pol'!AE46</f>
        <v>0</v>
      </c>
      <c r="G54" s="148">
        <f>'IO 763 IO 763 Pol'!AF46</f>
        <v>265047.42</v>
      </c>
      <c r="H54" s="148">
        <f>(F54*Stavba!SazbaDPH1/100)+(G54*Stavba!SazbaDPH2/100)</f>
        <v>55659.9582</v>
      </c>
      <c r="I54" s="148">
        <f t="shared" si="1"/>
        <v>320707.3782</v>
      </c>
      <c r="J54" s="149">
        <f>IF(Stavba!CenaCelkemVypocet=0,"",I54/Stavba!CenaCelkemVypocet*100)</f>
        <v>0.7099537913</v>
      </c>
    </row>
    <row r="55" ht="25.5" customHeight="1">
      <c r="A55" s="135">
        <v>3.0</v>
      </c>
      <c r="B55" s="150" t="s">
        <v>68</v>
      </c>
      <c r="C55" s="142" t="s">
        <v>69</v>
      </c>
      <c r="D55" s="87"/>
      <c r="E55" s="87"/>
      <c r="F55" s="144">
        <f>'IO 763 IO 763 Pol'!AE46</f>
        <v>0</v>
      </c>
      <c r="G55" s="144">
        <f>'IO 763 IO 763 Pol'!AF46</f>
        <v>265047.42</v>
      </c>
      <c r="H55" s="144">
        <f>(F55*Stavba!SazbaDPH1/100)+(G55*Stavba!SazbaDPH2/100)</f>
        <v>55659.9582</v>
      </c>
      <c r="I55" s="144">
        <f t="shared" si="1"/>
        <v>320707.3782</v>
      </c>
      <c r="J55" s="145">
        <f>IF(Stavba!CenaCelkemVypocet=0,"",I55/Stavba!CenaCelkemVypocet*100)</f>
        <v>0.7099537913</v>
      </c>
    </row>
    <row r="56" ht="25.5" customHeight="1">
      <c r="A56" s="135">
        <v>2.0</v>
      </c>
      <c r="B56" s="146" t="s">
        <v>70</v>
      </c>
      <c r="C56" s="147" t="s">
        <v>71</v>
      </c>
      <c r="D56" s="87"/>
      <c r="E56" s="87"/>
      <c r="F56" s="148">
        <f>'SO 000 SO 000 Pol'!AE129</f>
        <v>0</v>
      </c>
      <c r="G56" s="148">
        <f>'SO 000 SO 000 Pol'!AF129</f>
        <v>19632225.91</v>
      </c>
      <c r="H56" s="148">
        <f>(F56*Stavba!SazbaDPH1/100)+(G56*Stavba!SazbaDPH2/100)</f>
        <v>4122767.441</v>
      </c>
      <c r="I56" s="148">
        <f t="shared" si="1"/>
        <v>23754993.35</v>
      </c>
      <c r="J56" s="149">
        <f>IF(Stavba!CenaCelkemVypocet=0,"",I56/Stavba!CenaCelkemVypocet*100)</f>
        <v>52.5867153</v>
      </c>
    </row>
    <row r="57" ht="25.5" customHeight="1">
      <c r="A57" s="135">
        <v>3.0</v>
      </c>
      <c r="B57" s="150" t="s">
        <v>70</v>
      </c>
      <c r="C57" s="142" t="s">
        <v>71</v>
      </c>
      <c r="D57" s="87"/>
      <c r="E57" s="87"/>
      <c r="F57" s="144">
        <f>'SO 000 SO 000 Pol'!AE129</f>
        <v>0</v>
      </c>
      <c r="G57" s="144">
        <f>'SO 000 SO 000 Pol'!AF129</f>
        <v>19632225.91</v>
      </c>
      <c r="H57" s="144">
        <f>(F57*Stavba!SazbaDPH1/100)+(G57*Stavba!SazbaDPH2/100)</f>
        <v>4122767.441</v>
      </c>
      <c r="I57" s="144">
        <f t="shared" si="1"/>
        <v>23754993.35</v>
      </c>
      <c r="J57" s="145">
        <f>IF(Stavba!CenaCelkemVypocet=0,"",I57/Stavba!CenaCelkemVypocet*100)</f>
        <v>52.5867153</v>
      </c>
    </row>
    <row r="58" ht="25.5" customHeight="1">
      <c r="A58" s="135">
        <v>2.0</v>
      </c>
      <c r="B58" s="146" t="s">
        <v>72</v>
      </c>
      <c r="C58" s="147" t="s">
        <v>73</v>
      </c>
      <c r="D58" s="87"/>
      <c r="E58" s="87"/>
      <c r="F58" s="148">
        <f>'SO 600 SO 600 Pol'!AE116</f>
        <v>0</v>
      </c>
      <c r="G58" s="148">
        <f>'SO 600 SO 600 Pol'!AF116</f>
        <v>1474494.24</v>
      </c>
      <c r="H58" s="148">
        <f>(F58*Stavba!SazbaDPH1/100)+(G58*Stavba!SazbaDPH2/100)</f>
        <v>309643.7904</v>
      </c>
      <c r="I58" s="148">
        <f t="shared" si="1"/>
        <v>1784138.03</v>
      </c>
      <c r="J58" s="149">
        <f>IF(Stavba!CenaCelkemVypocet=0,"",I58/Stavba!CenaCelkemVypocet*100)</f>
        <v>3.949567877</v>
      </c>
    </row>
    <row r="59" ht="25.5" customHeight="1">
      <c r="A59" s="135">
        <v>3.0</v>
      </c>
      <c r="B59" s="150" t="s">
        <v>72</v>
      </c>
      <c r="C59" s="142" t="s">
        <v>73</v>
      </c>
      <c r="D59" s="87"/>
      <c r="E59" s="87"/>
      <c r="F59" s="144">
        <f>'SO 600 SO 600 Pol'!AE116</f>
        <v>0</v>
      </c>
      <c r="G59" s="144">
        <f>'SO 600 SO 600 Pol'!AF116</f>
        <v>1474494.24</v>
      </c>
      <c r="H59" s="144">
        <f>(F59*Stavba!SazbaDPH1/100)+(G59*Stavba!SazbaDPH2/100)</f>
        <v>309643.7904</v>
      </c>
      <c r="I59" s="144">
        <f t="shared" si="1"/>
        <v>1784138.03</v>
      </c>
      <c r="J59" s="145">
        <f>IF(Stavba!CenaCelkemVypocet=0,"",I59/Stavba!CenaCelkemVypocet*100)</f>
        <v>3.949567877</v>
      </c>
    </row>
    <row r="60" ht="25.5" customHeight="1">
      <c r="A60" s="135">
        <v>2.0</v>
      </c>
      <c r="B60" s="146" t="s">
        <v>74</v>
      </c>
      <c r="C60" s="147" t="s">
        <v>75</v>
      </c>
      <c r="D60" s="87"/>
      <c r="E60" s="87"/>
      <c r="F60" s="148">
        <f>'SO 601 SO 601 Pol'!AE123</f>
        <v>0</v>
      </c>
      <c r="G60" s="148">
        <f>'SO 601 SO 601 Pol'!AF123</f>
        <v>311015.48</v>
      </c>
      <c r="H60" s="148">
        <f>(F60*Stavba!SazbaDPH1/100)+(G60*Stavba!SazbaDPH2/100)</f>
        <v>65313.2508</v>
      </c>
      <c r="I60" s="148">
        <f t="shared" si="1"/>
        <v>376328.7308</v>
      </c>
      <c r="J60" s="149">
        <f>IF(Stavba!CenaCelkemVypocet=0,"",I60/Stavba!CenaCelkemVypocet*100)</f>
        <v>0.8330834504</v>
      </c>
    </row>
    <row r="61" ht="25.5" customHeight="1">
      <c r="A61" s="135">
        <v>3.0</v>
      </c>
      <c r="B61" s="150" t="s">
        <v>74</v>
      </c>
      <c r="C61" s="142" t="s">
        <v>75</v>
      </c>
      <c r="D61" s="87"/>
      <c r="E61" s="87"/>
      <c r="F61" s="144">
        <f>'SO 601 SO 601 Pol'!AE123</f>
        <v>0</v>
      </c>
      <c r="G61" s="144">
        <f>'SO 601 SO 601 Pol'!AF123</f>
        <v>311015.48</v>
      </c>
      <c r="H61" s="144">
        <f>(F61*Stavba!SazbaDPH1/100)+(G61*Stavba!SazbaDPH2/100)</f>
        <v>65313.2508</v>
      </c>
      <c r="I61" s="144">
        <f t="shared" si="1"/>
        <v>376328.7308</v>
      </c>
      <c r="J61" s="145">
        <f>IF(Stavba!CenaCelkemVypocet=0,"",I61/Stavba!CenaCelkemVypocet*100)</f>
        <v>0.8330834504</v>
      </c>
    </row>
    <row r="62" ht="25.5" customHeight="1">
      <c r="A62" s="135">
        <v>2.0</v>
      </c>
      <c r="B62" s="146" t="s">
        <v>76</v>
      </c>
      <c r="C62" s="147" t="s">
        <v>77</v>
      </c>
      <c r="D62" s="87"/>
      <c r="E62" s="87"/>
      <c r="F62" s="148">
        <f>'SO 602 SO 602 Pol'!AE120</f>
        <v>0</v>
      </c>
      <c r="G62" s="148">
        <f>'SO 602 SO 602 Pol'!AF120</f>
        <v>245425.37</v>
      </c>
      <c r="H62" s="148">
        <f>(F62*Stavba!SazbaDPH1/100)+(G62*Stavba!SazbaDPH2/100)</f>
        <v>51539.3277</v>
      </c>
      <c r="I62" s="148">
        <f t="shared" si="1"/>
        <v>296964.6977</v>
      </c>
      <c r="J62" s="149">
        <f>IF(Stavba!CenaCelkemVypocet=0,"",I62/Stavba!CenaCelkemVypocet*100)</f>
        <v>0.6573943331</v>
      </c>
    </row>
    <row r="63" ht="25.5" customHeight="1">
      <c r="A63" s="135">
        <v>3.0</v>
      </c>
      <c r="B63" s="150" t="s">
        <v>76</v>
      </c>
      <c r="C63" s="142" t="s">
        <v>77</v>
      </c>
      <c r="D63" s="87"/>
      <c r="E63" s="87"/>
      <c r="F63" s="144">
        <f>'SO 602 SO 602 Pol'!AE120</f>
        <v>0</v>
      </c>
      <c r="G63" s="144">
        <f>'SO 602 SO 602 Pol'!AF120</f>
        <v>245425.37</v>
      </c>
      <c r="H63" s="144">
        <f>(F63*Stavba!SazbaDPH1/100)+(G63*Stavba!SazbaDPH2/100)</f>
        <v>51539.3277</v>
      </c>
      <c r="I63" s="144">
        <f t="shared" si="1"/>
        <v>296964.6977</v>
      </c>
      <c r="J63" s="145">
        <f>IF(Stavba!CenaCelkemVypocet=0,"",I63/Stavba!CenaCelkemVypocet*100)</f>
        <v>0.6573943331</v>
      </c>
    </row>
    <row r="64" ht="25.5" customHeight="1">
      <c r="A64" s="135">
        <v>2.0</v>
      </c>
      <c r="B64" s="146" t="s">
        <v>78</v>
      </c>
      <c r="C64" s="147" t="s">
        <v>79</v>
      </c>
      <c r="D64" s="87"/>
      <c r="E64" s="87"/>
      <c r="F64" s="148">
        <f>'SO 603 SO 603 Pol'!AE160</f>
        <v>0</v>
      </c>
      <c r="G64" s="148">
        <f>'SO 603 SO 603 Pol'!AF160</f>
        <v>1516809.51</v>
      </c>
      <c r="H64" s="148">
        <f>(F64*Stavba!SazbaDPH1/100)+(G64*Stavba!SazbaDPH2/100)</f>
        <v>318529.9971</v>
      </c>
      <c r="I64" s="148">
        <f t="shared" si="1"/>
        <v>1835339.507</v>
      </c>
      <c r="J64" s="149">
        <f>IF(Stavba!CenaCelkemVypocet=0,"",I64/Stavba!CenaCelkemVypocet*100)</f>
        <v>4.062913204</v>
      </c>
    </row>
    <row r="65" ht="25.5" customHeight="1">
      <c r="A65" s="135">
        <v>3.0</v>
      </c>
      <c r="B65" s="150" t="s">
        <v>78</v>
      </c>
      <c r="C65" s="142" t="s">
        <v>79</v>
      </c>
      <c r="D65" s="87"/>
      <c r="E65" s="87"/>
      <c r="F65" s="144">
        <f>'SO 603 SO 603 Pol'!AE160</f>
        <v>0</v>
      </c>
      <c r="G65" s="144">
        <f>'SO 603 SO 603 Pol'!AF160</f>
        <v>1516809.51</v>
      </c>
      <c r="H65" s="144">
        <f>(F65*Stavba!SazbaDPH1/100)+(G65*Stavba!SazbaDPH2/100)</f>
        <v>318529.9971</v>
      </c>
      <c r="I65" s="144">
        <f t="shared" si="1"/>
        <v>1835339.507</v>
      </c>
      <c r="J65" s="145">
        <f>IF(Stavba!CenaCelkemVypocet=0,"",I65/Stavba!CenaCelkemVypocet*100)</f>
        <v>4.062913204</v>
      </c>
    </row>
    <row r="66" ht="25.5" customHeight="1">
      <c r="A66" s="135">
        <v>2.0</v>
      </c>
      <c r="B66" s="146" t="s">
        <v>80</v>
      </c>
      <c r="C66" s="147" t="s">
        <v>81</v>
      </c>
      <c r="D66" s="87"/>
      <c r="E66" s="87"/>
      <c r="F66" s="148">
        <f>'SO 603a SO 603a Pol'!AE101</f>
        <v>0</v>
      </c>
      <c r="G66" s="148">
        <f>'SO 603a SO 603a Pol'!AF101</f>
        <v>136654.29</v>
      </c>
      <c r="H66" s="148">
        <f>(F66*Stavba!SazbaDPH1/100)+(G66*Stavba!SazbaDPH2/100)</f>
        <v>28697.4009</v>
      </c>
      <c r="I66" s="148">
        <f t="shared" si="1"/>
        <v>165351.6909</v>
      </c>
      <c r="J66" s="149">
        <f>IF(Stavba!CenaCelkemVypocet=0,"",I66/Stavba!CenaCelkemVypocet*100)</f>
        <v>0.3660410325</v>
      </c>
    </row>
    <row r="67" ht="25.5" customHeight="1">
      <c r="A67" s="135">
        <v>3.0</v>
      </c>
      <c r="B67" s="150" t="s">
        <v>80</v>
      </c>
      <c r="C67" s="142" t="s">
        <v>81</v>
      </c>
      <c r="D67" s="87"/>
      <c r="E67" s="87"/>
      <c r="F67" s="144">
        <f>'SO 603a SO 603a Pol'!AE101</f>
        <v>0</v>
      </c>
      <c r="G67" s="144">
        <f>'SO 603a SO 603a Pol'!AF101</f>
        <v>136654.29</v>
      </c>
      <c r="H67" s="144">
        <f>(F67*Stavba!SazbaDPH1/100)+(G67*Stavba!SazbaDPH2/100)</f>
        <v>28697.4009</v>
      </c>
      <c r="I67" s="144">
        <f t="shared" si="1"/>
        <v>165351.6909</v>
      </c>
      <c r="J67" s="145">
        <f>IF(Stavba!CenaCelkemVypocet=0,"",I67/Stavba!CenaCelkemVypocet*100)</f>
        <v>0.3660410325</v>
      </c>
    </row>
    <row r="68" ht="25.5" customHeight="1">
      <c r="A68" s="135">
        <v>2.0</v>
      </c>
      <c r="B68" s="146" t="s">
        <v>82</v>
      </c>
      <c r="C68" s="147" t="s">
        <v>83</v>
      </c>
      <c r="D68" s="87"/>
      <c r="E68" s="87"/>
      <c r="F68" s="148">
        <f>'SO 606 SO 606 Pol'!AE561</f>
        <v>0</v>
      </c>
      <c r="G68" s="148">
        <f>'SO 606 SO 606 Pol'!AF561</f>
        <v>3510522.53</v>
      </c>
      <c r="H68" s="148">
        <f>(F68*Stavba!SazbaDPH1/100)+(G68*Stavba!SazbaDPH2/100)</f>
        <v>737209.7313</v>
      </c>
      <c r="I68" s="148">
        <f t="shared" si="1"/>
        <v>4247732.261</v>
      </c>
      <c r="J68" s="149">
        <f>IF(Stavba!CenaCelkemVypocet=0,"",I68/Stavba!CenaCelkemVypocet*100)</f>
        <v>9.40325614</v>
      </c>
    </row>
    <row r="69" ht="25.5" customHeight="1">
      <c r="A69" s="135">
        <v>3.0</v>
      </c>
      <c r="B69" s="150" t="s">
        <v>82</v>
      </c>
      <c r="C69" s="142" t="s">
        <v>83</v>
      </c>
      <c r="D69" s="87"/>
      <c r="E69" s="87"/>
      <c r="F69" s="144">
        <f>'SO 606 SO 606 Pol'!AE561</f>
        <v>0</v>
      </c>
      <c r="G69" s="144">
        <f>'SO 606 SO 606 Pol'!AF561</f>
        <v>3510522.53</v>
      </c>
      <c r="H69" s="144">
        <f>(F69*Stavba!SazbaDPH1/100)+(G69*Stavba!SazbaDPH2/100)</f>
        <v>737209.7313</v>
      </c>
      <c r="I69" s="144">
        <f t="shared" si="1"/>
        <v>4247732.261</v>
      </c>
      <c r="J69" s="145">
        <f>IF(Stavba!CenaCelkemVypocet=0,"",I69/Stavba!CenaCelkemVypocet*100)</f>
        <v>9.40325614</v>
      </c>
    </row>
    <row r="70" ht="25.5" customHeight="1">
      <c r="A70" s="135">
        <v>2.0</v>
      </c>
      <c r="B70" s="146" t="s">
        <v>84</v>
      </c>
      <c r="C70" s="147" t="s">
        <v>83</v>
      </c>
      <c r="D70" s="87"/>
      <c r="E70" s="87"/>
      <c r="F70" s="148">
        <f>'SO 606a SO 606a Pol'!AE215</f>
        <v>0</v>
      </c>
      <c r="G70" s="148">
        <f>'SO 606a SO 606a Pol'!AF215</f>
        <v>255083.75</v>
      </c>
      <c r="H70" s="148">
        <f>(F70*Stavba!SazbaDPH1/100)+(G70*Stavba!SazbaDPH2/100)</f>
        <v>53567.5875</v>
      </c>
      <c r="I70" s="148">
        <f t="shared" si="1"/>
        <v>308651.3375</v>
      </c>
      <c r="J70" s="149">
        <f>IF(Stavba!CenaCelkemVypocet=0,"",I70/Stavba!CenaCelkemVypocet*100)</f>
        <v>0.6832651886</v>
      </c>
    </row>
    <row r="71" ht="25.5" customHeight="1">
      <c r="A71" s="135">
        <v>3.0</v>
      </c>
      <c r="B71" s="150" t="s">
        <v>84</v>
      </c>
      <c r="C71" s="142" t="s">
        <v>83</v>
      </c>
      <c r="D71" s="87"/>
      <c r="E71" s="87"/>
      <c r="F71" s="144">
        <f>'SO 606a SO 606a Pol'!AE215</f>
        <v>0</v>
      </c>
      <c r="G71" s="144">
        <f>'SO 606a SO 606a Pol'!AF215</f>
        <v>255083.75</v>
      </c>
      <c r="H71" s="144">
        <f>(F71*Stavba!SazbaDPH1/100)+(G71*Stavba!SazbaDPH2/100)</f>
        <v>53567.5875</v>
      </c>
      <c r="I71" s="144">
        <f t="shared" si="1"/>
        <v>308651.3375</v>
      </c>
      <c r="J71" s="145">
        <f>IF(Stavba!CenaCelkemVypocet=0,"",I71/Stavba!CenaCelkemVypocet*100)</f>
        <v>0.6832651886</v>
      </c>
    </row>
    <row r="72" ht="25.5" customHeight="1">
      <c r="A72" s="135">
        <v>2.0</v>
      </c>
      <c r="B72" s="146" t="s">
        <v>85</v>
      </c>
      <c r="C72" s="147" t="s">
        <v>86</v>
      </c>
      <c r="D72" s="87"/>
      <c r="E72" s="87"/>
      <c r="F72" s="148">
        <f>'SO 630 SO 630 Pol'!AE82</f>
        <v>0</v>
      </c>
      <c r="G72" s="148">
        <f>'SO 630 SO 630 Pol'!AF82</f>
        <v>1509634.76</v>
      </c>
      <c r="H72" s="148">
        <f>(F72*Stavba!SazbaDPH1/100)+(G72*Stavba!SazbaDPH2/100)</f>
        <v>317023.2996</v>
      </c>
      <c r="I72" s="148">
        <f t="shared" si="1"/>
        <v>1826658.06</v>
      </c>
      <c r="J72" s="149">
        <f>IF(Stavba!CenaCelkemVypocet=0,"",I72/Stavba!CenaCelkemVypocet*100)</f>
        <v>4.043694979</v>
      </c>
    </row>
    <row r="73" ht="25.5" customHeight="1">
      <c r="A73" s="135">
        <v>3.0</v>
      </c>
      <c r="B73" s="150" t="s">
        <v>85</v>
      </c>
      <c r="C73" s="142" t="s">
        <v>86</v>
      </c>
      <c r="D73" s="87"/>
      <c r="E73" s="87"/>
      <c r="F73" s="144">
        <f>'SO 630 SO 630 Pol'!AE82</f>
        <v>0</v>
      </c>
      <c r="G73" s="144">
        <f>'SO 630 SO 630 Pol'!AF82</f>
        <v>1509634.76</v>
      </c>
      <c r="H73" s="144">
        <f>(F73*Stavba!SazbaDPH1/100)+(G73*Stavba!SazbaDPH2/100)</f>
        <v>317023.2996</v>
      </c>
      <c r="I73" s="144">
        <f t="shared" si="1"/>
        <v>1826658.06</v>
      </c>
      <c r="J73" s="145">
        <f>IF(Stavba!CenaCelkemVypocet=0,"",I73/Stavba!CenaCelkemVypocet*100)</f>
        <v>4.043694979</v>
      </c>
    </row>
    <row r="74" ht="25.5" customHeight="1">
      <c r="A74" s="135">
        <v>2.0</v>
      </c>
      <c r="B74" s="146" t="s">
        <v>87</v>
      </c>
      <c r="C74" s="147" t="s">
        <v>88</v>
      </c>
      <c r="D74" s="87"/>
      <c r="E74" s="87"/>
      <c r="F74" s="148">
        <f>'SO 640 SO 640 Pol'!AE38</f>
        <v>0</v>
      </c>
      <c r="G74" s="148">
        <f>'SO 640 SO 640 Pol'!AF38</f>
        <v>83494.84</v>
      </c>
      <c r="H74" s="148">
        <f>(F74*Stavba!SazbaDPH1/100)+(G74*Stavba!SazbaDPH2/100)</f>
        <v>17533.9164</v>
      </c>
      <c r="I74" s="148">
        <f t="shared" si="1"/>
        <v>101028.7564</v>
      </c>
      <c r="J74" s="149">
        <f>IF(Stavba!CenaCelkemVypocet=0,"",I74/Stavba!CenaCelkemVypocet*100)</f>
        <v>0.2236485766</v>
      </c>
    </row>
    <row r="75" ht="25.5" customHeight="1">
      <c r="A75" s="135">
        <v>3.0</v>
      </c>
      <c r="B75" s="150" t="s">
        <v>87</v>
      </c>
      <c r="C75" s="142" t="s">
        <v>88</v>
      </c>
      <c r="D75" s="87"/>
      <c r="E75" s="87"/>
      <c r="F75" s="144">
        <f>'SO 640 SO 640 Pol'!AE38</f>
        <v>0</v>
      </c>
      <c r="G75" s="144">
        <f>'SO 640 SO 640 Pol'!AF38</f>
        <v>83494.84</v>
      </c>
      <c r="H75" s="144">
        <f>(F75*Stavba!SazbaDPH1/100)+(G75*Stavba!SazbaDPH2/100)</f>
        <v>17533.9164</v>
      </c>
      <c r="I75" s="144">
        <f t="shared" si="1"/>
        <v>101028.7564</v>
      </c>
      <c r="J75" s="145">
        <f>IF(Stavba!CenaCelkemVypocet=0,"",I75/Stavba!CenaCelkemVypocet*100)</f>
        <v>0.2236485766</v>
      </c>
    </row>
    <row r="76" ht="25.5" customHeight="1">
      <c r="A76" s="135">
        <v>2.0</v>
      </c>
      <c r="B76" s="146" t="s">
        <v>89</v>
      </c>
      <c r="C76" s="147" t="s">
        <v>90</v>
      </c>
      <c r="D76" s="87"/>
      <c r="E76" s="87"/>
      <c r="F76" s="148">
        <f>'SO 641 SO 641 Pol'!AE41</f>
        <v>0</v>
      </c>
      <c r="G76" s="148">
        <f>'SO 641 SO 641 Pol'!AF41</f>
        <v>664175.6</v>
      </c>
      <c r="H76" s="148">
        <f>(F76*Stavba!SazbaDPH1/100)+(G76*Stavba!SazbaDPH2/100)</f>
        <v>139476.876</v>
      </c>
      <c r="I76" s="148">
        <f t="shared" si="1"/>
        <v>803652.476</v>
      </c>
      <c r="J76" s="149">
        <f>IF(Stavba!CenaCelkemVypocet=0,"",I76/Stavba!CenaCelkemVypocet*100)</f>
        <v>1.779055179</v>
      </c>
    </row>
    <row r="77" ht="25.5" customHeight="1">
      <c r="A77" s="135">
        <v>3.0</v>
      </c>
      <c r="B77" s="150" t="s">
        <v>89</v>
      </c>
      <c r="C77" s="142" t="s">
        <v>90</v>
      </c>
      <c r="D77" s="87"/>
      <c r="E77" s="87"/>
      <c r="F77" s="144">
        <f>'SO 641 SO 641 Pol'!AE41</f>
        <v>0</v>
      </c>
      <c r="G77" s="144">
        <f>'SO 641 SO 641 Pol'!AF41</f>
        <v>664175.6</v>
      </c>
      <c r="H77" s="144">
        <f>(F77*Stavba!SazbaDPH1/100)+(G77*Stavba!SazbaDPH2/100)</f>
        <v>139476.876</v>
      </c>
      <c r="I77" s="144">
        <f t="shared" si="1"/>
        <v>803652.476</v>
      </c>
      <c r="J77" s="145">
        <f>IF(Stavba!CenaCelkemVypocet=0,"",I77/Stavba!CenaCelkemVypocet*100)</f>
        <v>1.779055179</v>
      </c>
    </row>
    <row r="78" ht="25.5" customHeight="1">
      <c r="A78" s="135"/>
      <c r="B78" s="151" t="s">
        <v>91</v>
      </c>
      <c r="C78" s="87"/>
      <c r="D78" s="87"/>
      <c r="E78" s="74"/>
      <c r="F78" s="152">
        <f>SUMIF(A39:A77,"=1",F39:F77)</f>
        <v>0</v>
      </c>
      <c r="G78" s="152">
        <f>SUMIF(A39:A77,"=1",G39:G77)</f>
        <v>37333052.27</v>
      </c>
      <c r="H78" s="152">
        <f>SUMIF(A39:A77,"=1",H39:H77)</f>
        <v>7839940.977</v>
      </c>
      <c r="I78" s="152">
        <f>SUMIF(A39:A77,"=1",I39:I77)</f>
        <v>45172993.25</v>
      </c>
      <c r="J78" s="153">
        <f>SUMIF(A39:A77,"=1",J39:J77)</f>
        <v>100</v>
      </c>
    </row>
    <row r="79" ht="12.75" customHeight="1">
      <c r="C79" s="25"/>
      <c r="D79" s="25"/>
      <c r="E79" s="25"/>
    </row>
    <row r="80" ht="12.75" customHeight="1">
      <c r="C80" s="25"/>
      <c r="D80" s="25"/>
      <c r="E80" s="25"/>
    </row>
    <row r="81" ht="12.75" customHeight="1">
      <c r="C81" s="25"/>
      <c r="D81" s="25"/>
      <c r="E81" s="25"/>
    </row>
    <row r="82" ht="12.75" customHeight="1">
      <c r="B82" s="154" t="s">
        <v>92</v>
      </c>
      <c r="C82" s="25"/>
      <c r="D82" s="25"/>
      <c r="E82" s="25"/>
    </row>
    <row r="83" ht="12.75" customHeight="1">
      <c r="C83" s="25"/>
      <c r="D83" s="25"/>
      <c r="E83" s="25"/>
    </row>
    <row r="84" ht="25.5" customHeight="1">
      <c r="A84" s="155"/>
      <c r="B84" s="156" t="s">
        <v>48</v>
      </c>
      <c r="C84" s="156" t="s">
        <v>49</v>
      </c>
      <c r="D84" s="157"/>
      <c r="E84" s="157"/>
      <c r="F84" s="158" t="s">
        <v>93</v>
      </c>
      <c r="G84" s="158"/>
      <c r="H84" s="158"/>
      <c r="I84" s="158" t="s">
        <v>24</v>
      </c>
      <c r="J84" s="158" t="s">
        <v>34</v>
      </c>
    </row>
    <row r="85" ht="36.75" customHeight="1">
      <c r="A85" s="159"/>
      <c r="B85" s="160" t="s">
        <v>94</v>
      </c>
      <c r="C85" s="161" t="s">
        <v>95</v>
      </c>
      <c r="D85" s="87"/>
      <c r="E85" s="87"/>
      <c r="F85" s="162" t="s">
        <v>25</v>
      </c>
      <c r="G85" s="163"/>
      <c r="H85" s="163"/>
      <c r="I85" s="163">
        <f>'IO 710 IO 710 Pol'!G8+'IO 720a IO 720a Pol'!G8+'IO 730 IO 730 Pol'!G8+'IO 730a IO 730a Pol'!G8+'SO 000 SO 000 Pol'!G8+'SO 600 SO 600 Pol'!G8+'SO 601 SO 601 Pol'!G8+'SO 602 SO 602 Pol'!G8+'SO 603 SO 603 Pol'!G8+'SO 603a SO 603a Pol'!G8+'SO 606 SO 606 Pol'!G8+'SO 606a SO 606a Pol'!G8</f>
        <v>22285464.14</v>
      </c>
      <c r="J85" s="164">
        <f>IF(I110=0,"",I85/I110*100)</f>
        <v>59.69365692</v>
      </c>
    </row>
    <row r="86" ht="36.75" customHeight="1">
      <c r="A86" s="159"/>
      <c r="B86" s="160" t="s">
        <v>96</v>
      </c>
      <c r="C86" s="161" t="s">
        <v>97</v>
      </c>
      <c r="D86" s="87"/>
      <c r="E86" s="87"/>
      <c r="F86" s="162" t="s">
        <v>25</v>
      </c>
      <c r="G86" s="163"/>
      <c r="H86" s="163"/>
      <c r="I86" s="163">
        <f>'IO 710 IO 710 Pol'!G157+'SO 000 SO 000 Pol'!G75</f>
        <v>634372.06</v>
      </c>
      <c r="J86" s="164">
        <f>IF(I110=0,"",I86/I110*100)</f>
        <v>1.699223668</v>
      </c>
    </row>
    <row r="87" ht="36.75" customHeight="1">
      <c r="A87" s="159"/>
      <c r="B87" s="160" t="s">
        <v>98</v>
      </c>
      <c r="C87" s="161" t="s">
        <v>99</v>
      </c>
      <c r="D87" s="87"/>
      <c r="E87" s="87"/>
      <c r="F87" s="162" t="s">
        <v>25</v>
      </c>
      <c r="G87" s="163"/>
      <c r="H87" s="163"/>
      <c r="I87" s="163">
        <f>'IO 720a IO 720a Pol'!G48+'SO 000 SO 000 Pol'!G88+'SO 603 SO 603 Pol'!G57+'SO 606 SO 606 Pol'!G273+'SO 606a SO 606a Pol'!G105</f>
        <v>652429.8</v>
      </c>
      <c r="J87" s="164">
        <f>IF(I110=0,"",I87/I110*100)</f>
        <v>1.747592978</v>
      </c>
    </row>
    <row r="88" ht="36.75" customHeight="1">
      <c r="A88" s="159"/>
      <c r="B88" s="160" t="s">
        <v>100</v>
      </c>
      <c r="C88" s="161" t="s">
        <v>101</v>
      </c>
      <c r="D88" s="87"/>
      <c r="E88" s="87"/>
      <c r="F88" s="162" t="s">
        <v>25</v>
      </c>
      <c r="G88" s="163"/>
      <c r="H88" s="163"/>
      <c r="I88" s="163">
        <f>'IO 710 IO 710 Pol'!G194+'IO 720a IO 720a Pol'!G52+'IO 730 IO 730 Pol'!G58+'IO 730a IO 730a Pol'!G58+'SO 600 SO 600 Pol'!G58+'SO 601 SO 601 Pol'!G58+'SO 602 SO 602 Pol'!G58+'SO 603 SO 603 Pol'!G61+'SO 603a SO 603a Pol'!G57+'SO 606 SO 606 Pol'!G286+'SO 606a SO 606a Pol'!G111</f>
        <v>177673.56</v>
      </c>
      <c r="J88" s="164">
        <f>IF(I110=0,"",I88/I110*100)</f>
        <v>0.4759149043</v>
      </c>
    </row>
    <row r="89" ht="36.75" customHeight="1">
      <c r="A89" s="159"/>
      <c r="B89" s="160" t="s">
        <v>102</v>
      </c>
      <c r="C89" s="161" t="s">
        <v>103</v>
      </c>
      <c r="D89" s="87"/>
      <c r="E89" s="87"/>
      <c r="F89" s="162" t="s">
        <v>25</v>
      </c>
      <c r="G89" s="163"/>
      <c r="H89" s="163"/>
      <c r="I89" s="163">
        <f>'IO 710 IO 710 Pol'!G198+'IO 720a IO 720a Pol'!G65+'SO 000 SO 000 Pol'!G93+'SO 603 SO 603 Pol'!G71+'SO 606 SO 606 Pol'!G296+'SO 606a SO 606a Pol'!G116</f>
        <v>861149.83</v>
      </c>
      <c r="J89" s="164">
        <f>IF(I110=0,"",I89/I110*100)</f>
        <v>2.306668696</v>
      </c>
    </row>
    <row r="90" ht="36.75" customHeight="1">
      <c r="A90" s="159"/>
      <c r="B90" s="160" t="s">
        <v>104</v>
      </c>
      <c r="C90" s="161" t="s">
        <v>105</v>
      </c>
      <c r="D90" s="87"/>
      <c r="E90" s="87"/>
      <c r="F90" s="162" t="s">
        <v>25</v>
      </c>
      <c r="G90" s="163"/>
      <c r="H90" s="163"/>
      <c r="I90" s="163">
        <f>'IO 720a IO 720a Pol'!G75+'SO 603 SO 603 Pol'!G81+'SO 603a SO 603a Pol'!G67+'SO 606 SO 606 Pol'!G306+'SO 606a SO 606a Pol'!G126</f>
        <v>135314.82</v>
      </c>
      <c r="J90" s="164">
        <f>IF(I110=0,"",I90/I110*100)</f>
        <v>0.3624531394</v>
      </c>
    </row>
    <row r="91" ht="36.75" customHeight="1">
      <c r="A91" s="159"/>
      <c r="B91" s="160" t="s">
        <v>106</v>
      </c>
      <c r="C91" s="161" t="s">
        <v>107</v>
      </c>
      <c r="D91" s="87"/>
      <c r="E91" s="87"/>
      <c r="F91" s="162" t="s">
        <v>25</v>
      </c>
      <c r="G91" s="163"/>
      <c r="H91" s="163"/>
      <c r="I91" s="163">
        <f>'IO 720a IO 720a Pol'!G95+'IO 730 IO 730 Pol'!G68+'IO 730a IO 730a Pol'!G72+'SO 600 SO 600 Pol'!G68+'SO 601 SO 601 Pol'!G72+'SO 602 SO 602 Pol'!G72+'SO 603 SO 603 Pol'!G104+'SO 603a SO 603a Pol'!G71+'SO 606 SO 606 Pol'!G367+'SO 606a SO 606a Pol'!G153</f>
        <v>2953922.52</v>
      </c>
      <c r="J91" s="164">
        <f>IF(I110=0,"",I91/I110*100)</f>
        <v>7.912352032</v>
      </c>
    </row>
    <row r="92" ht="36.75" customHeight="1">
      <c r="A92" s="159"/>
      <c r="B92" s="160" t="s">
        <v>108</v>
      </c>
      <c r="C92" s="161" t="s">
        <v>109</v>
      </c>
      <c r="D92" s="87"/>
      <c r="E92" s="87"/>
      <c r="F92" s="162" t="s">
        <v>25</v>
      </c>
      <c r="G92" s="163"/>
      <c r="H92" s="163"/>
      <c r="I92" s="163">
        <f>'IO 710 IO 710 Pol'!G238+'IO 720a IO 720a Pol'!G121+'SO 000 SO 000 Pol'!G100+'SO 603 SO 603 Pol'!G131+'SO 603a SO 603a Pol'!G89+'SO 606 SO 606 Pol'!G434+'SO 606a SO 606a Pol'!G187</f>
        <v>616974.14</v>
      </c>
      <c r="J92" s="164">
        <f>IF(I110=0,"",I92/I110*100)</f>
        <v>1.652621745</v>
      </c>
    </row>
    <row r="93" ht="36.75" customHeight="1">
      <c r="A93" s="159"/>
      <c r="B93" s="160" t="s">
        <v>110</v>
      </c>
      <c r="C93" s="161" t="s">
        <v>111</v>
      </c>
      <c r="D93" s="87"/>
      <c r="E93" s="87"/>
      <c r="F93" s="162" t="s">
        <v>25</v>
      </c>
      <c r="G93" s="163"/>
      <c r="H93" s="163"/>
      <c r="I93" s="163">
        <f>'SO 606 SO 606 Pol'!G516</f>
        <v>760350</v>
      </c>
      <c r="J93" s="164">
        <f>IF(I110=0,"",I93/I110*100)</f>
        <v>2.036667119</v>
      </c>
    </row>
    <row r="94" ht="36.75" customHeight="1">
      <c r="A94" s="159"/>
      <c r="B94" s="160" t="s">
        <v>112</v>
      </c>
      <c r="C94" s="161" t="s">
        <v>113</v>
      </c>
      <c r="D94" s="87"/>
      <c r="E94" s="87"/>
      <c r="F94" s="162" t="s">
        <v>25</v>
      </c>
      <c r="G94" s="163"/>
      <c r="H94" s="163"/>
      <c r="I94" s="163">
        <f>'SO 606 SO 606 Pol'!G525</f>
        <v>469339.7</v>
      </c>
      <c r="J94" s="164">
        <f>IF(I110=0,"",I94/I110*100)</f>
        <v>1.257169375</v>
      </c>
    </row>
    <row r="95" ht="36.75" customHeight="1">
      <c r="A95" s="159"/>
      <c r="B95" s="160" t="s">
        <v>114</v>
      </c>
      <c r="C95" s="161" t="s">
        <v>115</v>
      </c>
      <c r="D95" s="87"/>
      <c r="E95" s="87"/>
      <c r="F95" s="162" t="s">
        <v>25</v>
      </c>
      <c r="G95" s="163"/>
      <c r="H95" s="163"/>
      <c r="I95" s="163">
        <f>'SO 000 SO 000 Pol'!G102</f>
        <v>7828.85</v>
      </c>
      <c r="J95" s="164">
        <f>IF(I110=0,"",I95/I110*100)</f>
        <v>0.0209702918</v>
      </c>
    </row>
    <row r="96" ht="36.75" customHeight="1">
      <c r="A96" s="159"/>
      <c r="B96" s="160" t="s">
        <v>116</v>
      </c>
      <c r="C96" s="161" t="s">
        <v>117</v>
      </c>
      <c r="D96" s="87"/>
      <c r="E96" s="87"/>
      <c r="F96" s="162" t="s">
        <v>25</v>
      </c>
      <c r="G96" s="163"/>
      <c r="H96" s="163"/>
      <c r="I96" s="163">
        <f>'IO 710 IO 710 Pol'!G246</f>
        <v>5447.38</v>
      </c>
      <c r="J96" s="164">
        <f>IF(I110=0,"",I96/I110*100)</f>
        <v>0.01459130628</v>
      </c>
    </row>
    <row r="97" ht="36.75" customHeight="1">
      <c r="A97" s="159"/>
      <c r="B97" s="160" t="s">
        <v>118</v>
      </c>
      <c r="C97" s="161" t="s">
        <v>119</v>
      </c>
      <c r="D97" s="87"/>
      <c r="E97" s="87"/>
      <c r="F97" s="162" t="s">
        <v>25</v>
      </c>
      <c r="G97" s="163"/>
      <c r="H97" s="163"/>
      <c r="I97" s="163">
        <f>'IO 710 IO 710 Pol'!G261</f>
        <v>34248.15</v>
      </c>
      <c r="J97" s="164">
        <f>IF(I110=0,"",I97/I110*100)</f>
        <v>0.09173680671</v>
      </c>
    </row>
    <row r="98" ht="36.75" customHeight="1">
      <c r="A98" s="159"/>
      <c r="B98" s="160" t="s">
        <v>120</v>
      </c>
      <c r="C98" s="161" t="s">
        <v>121</v>
      </c>
      <c r="D98" s="87"/>
      <c r="E98" s="87"/>
      <c r="F98" s="162" t="s">
        <v>25</v>
      </c>
      <c r="G98" s="163"/>
      <c r="H98" s="163"/>
      <c r="I98" s="163">
        <f>'SO 603 SO 603 Pol'!G152+'SO 606a SO 606a Pol'!G207</f>
        <v>1719.92</v>
      </c>
      <c r="J98" s="164">
        <f>IF(I110=0,"",I98/I110*100)</f>
        <v>0.004606963255</v>
      </c>
    </row>
    <row r="99" ht="36.75" customHeight="1">
      <c r="A99" s="159"/>
      <c r="B99" s="160" t="s">
        <v>122</v>
      </c>
      <c r="C99" s="161" t="s">
        <v>123</v>
      </c>
      <c r="D99" s="87"/>
      <c r="E99" s="87"/>
      <c r="F99" s="162" t="s">
        <v>25</v>
      </c>
      <c r="G99" s="163"/>
      <c r="H99" s="163"/>
      <c r="I99" s="163">
        <f>'IO 710 IO 710 Pol'!G267+'IO 720a IO 720a Pol'!G143+'IO 730 IO 730 Pol'!G103+'IO 730a IO 730a Pol'!G114+'SO 000 SO 000 Pol'!G106+'SO 600 SO 600 Pol'!G106+'SO 601 SO 601 Pol'!G113+'SO 602 SO 602 Pol'!G110+'SO 603 SO 603 Pol'!G154+'SO 603a SO 603a Pol'!G95+'SO 606 SO 606 Pol'!G552+'SO 606a SO 606a Pol'!G209</f>
        <v>386772.07</v>
      </c>
      <c r="J99" s="164">
        <f>IF(I110=0,"",I99/I110*100)</f>
        <v>1.036004416</v>
      </c>
    </row>
    <row r="100" ht="36.75" customHeight="1">
      <c r="A100" s="159"/>
      <c r="B100" s="160" t="s">
        <v>124</v>
      </c>
      <c r="C100" s="161" t="s">
        <v>125</v>
      </c>
      <c r="D100" s="87"/>
      <c r="E100" s="87"/>
      <c r="F100" s="162" t="s">
        <v>26</v>
      </c>
      <c r="G100" s="163"/>
      <c r="H100" s="163"/>
      <c r="I100" s="163">
        <f>'IO 710 IO 710 Pol'!G272</f>
        <v>169520</v>
      </c>
      <c r="J100" s="164">
        <f>IF(I110=0,"",I100/I110*100)</f>
        <v>0.4540748471</v>
      </c>
    </row>
    <row r="101" ht="36.75" customHeight="1">
      <c r="A101" s="159"/>
      <c r="B101" s="160" t="s">
        <v>126</v>
      </c>
      <c r="C101" s="161" t="s">
        <v>127</v>
      </c>
      <c r="D101" s="87"/>
      <c r="E101" s="87"/>
      <c r="F101" s="162" t="s">
        <v>27</v>
      </c>
      <c r="G101" s="163"/>
      <c r="H101" s="163"/>
      <c r="I101" s="163">
        <f>'IO 710 IO 710 Pol'!G277+'IO 730 IO 730 Pol'!G108+'IO 730a IO 730a Pol'!G119+'IO 754a IO 754a Pol'!G8+'IO 760b IO 760b Pol'!G8+'IO 763 IO 763 Pol'!G8+'SO 600 SO 600 Pol'!G111+'SO 601 SO 601 Pol'!G118+'SO 602 SO 602 Pol'!G115+'SO 606 SO 606 Pol'!G558+'SO 630 SO 630 Pol'!G8+'SO 640 SO 640 Pol'!G8</f>
        <v>944002.44</v>
      </c>
      <c r="J101" s="164">
        <f>IF(I110=0,"",I101/I110*100)</f>
        <v>2.528597001</v>
      </c>
    </row>
    <row r="102" ht="36.75" customHeight="1">
      <c r="A102" s="159"/>
      <c r="B102" s="160" t="s">
        <v>128</v>
      </c>
      <c r="C102" s="161" t="s">
        <v>129</v>
      </c>
      <c r="D102" s="87"/>
      <c r="E102" s="87"/>
      <c r="F102" s="162" t="s">
        <v>27</v>
      </c>
      <c r="G102" s="163"/>
      <c r="H102" s="163"/>
      <c r="I102" s="163">
        <f>'IO 754a IO 754a Pol'!G13+'SO 630 SO 630 Pol'!G11</f>
        <v>74424.9</v>
      </c>
      <c r="J102" s="164">
        <f>IF(I110=0,"",I102/I110*100)</f>
        <v>0.1993539115</v>
      </c>
    </row>
    <row r="103" ht="36.75" customHeight="1">
      <c r="A103" s="159"/>
      <c r="B103" s="160" t="s">
        <v>130</v>
      </c>
      <c r="C103" s="161" t="s">
        <v>131</v>
      </c>
      <c r="D103" s="87"/>
      <c r="E103" s="87"/>
      <c r="F103" s="162" t="s">
        <v>27</v>
      </c>
      <c r="G103" s="163"/>
      <c r="H103" s="163"/>
      <c r="I103" s="163">
        <f>'SO 641 SO 641 Pol'!G8</f>
        <v>448662.6</v>
      </c>
      <c r="J103" s="164">
        <f>IF(I110=0,"",I103/I110*100)</f>
        <v>1.201783869</v>
      </c>
    </row>
    <row r="104" ht="36.75" customHeight="1">
      <c r="A104" s="159"/>
      <c r="B104" s="160" t="s">
        <v>132</v>
      </c>
      <c r="C104" s="161" t="s">
        <v>133</v>
      </c>
      <c r="D104" s="87"/>
      <c r="E104" s="87"/>
      <c r="F104" s="162" t="s">
        <v>27</v>
      </c>
      <c r="G104" s="163"/>
      <c r="H104" s="163"/>
      <c r="I104" s="163">
        <f>'IO 710 IO 710 Pol'!G281+'IO 754a IO 754a Pol'!G17+'IO 763 IO 763 Pol'!G11+'SO 630 SO 630 Pol'!G15+'SO 640 SO 640 Pol'!G11</f>
        <v>3111924.52</v>
      </c>
      <c r="J104" s="164">
        <f>IF(I110=0,"",I104/I110*100)</f>
        <v>8.335574861</v>
      </c>
    </row>
    <row r="105" ht="36.75" customHeight="1">
      <c r="A105" s="159"/>
      <c r="B105" s="160" t="s">
        <v>134</v>
      </c>
      <c r="C105" s="161" t="s">
        <v>135</v>
      </c>
      <c r="D105" s="87"/>
      <c r="E105" s="87"/>
      <c r="F105" s="162" t="s">
        <v>27</v>
      </c>
      <c r="G105" s="163"/>
      <c r="H105" s="163"/>
      <c r="I105" s="163">
        <f>'IO 754a IO 754a Pol'!G31+'SO 630 SO 630 Pol'!G29</f>
        <v>559162.3</v>
      </c>
      <c r="J105" s="164">
        <f>IF(I110=0,"",I105/I110*100)</f>
        <v>1.497767437</v>
      </c>
    </row>
    <row r="106" ht="36.75" customHeight="1">
      <c r="A106" s="159"/>
      <c r="B106" s="160" t="s">
        <v>136</v>
      </c>
      <c r="C106" s="161" t="s">
        <v>137</v>
      </c>
      <c r="D106" s="87"/>
      <c r="E106" s="87"/>
      <c r="F106" s="162" t="s">
        <v>27</v>
      </c>
      <c r="G106" s="163"/>
      <c r="H106" s="163"/>
      <c r="I106" s="163">
        <f>'IO 710 IO 710 Pol'!G330+'IO 754a IO 754a Pol'!G48+'IO 760b IO 760b Pol'!G25+'IO 763 IO 763 Pol'!G28+'SO 630 SO 630 Pol'!G62+'SO 640 SO 640 Pol'!G24+'SO 641 SO 641 Pol'!G24</f>
        <v>1453280.19</v>
      </c>
      <c r="J106" s="164">
        <f>IF(I110=0,"",I106/I110*100)</f>
        <v>3.892744101</v>
      </c>
    </row>
    <row r="107" ht="36.75" customHeight="1">
      <c r="A107" s="159"/>
      <c r="B107" s="160" t="s">
        <v>138</v>
      </c>
      <c r="C107" s="161" t="s">
        <v>139</v>
      </c>
      <c r="D107" s="87"/>
      <c r="E107" s="87"/>
      <c r="F107" s="162" t="s">
        <v>140</v>
      </c>
      <c r="G107" s="163"/>
      <c r="H107" s="163"/>
      <c r="I107" s="163">
        <f>'IO 710 IO 710 Pol'!G334+'SO 000 SO 000 Pol'!G111</f>
        <v>20365.38</v>
      </c>
      <c r="J107" s="164">
        <f>IF(I110=0,"",I107/I110*100)</f>
        <v>0.05455053568</v>
      </c>
    </row>
    <row r="108" ht="36.75" customHeight="1">
      <c r="A108" s="159"/>
      <c r="B108" s="160" t="s">
        <v>28</v>
      </c>
      <c r="C108" s="161" t="s">
        <v>29</v>
      </c>
      <c r="D108" s="87"/>
      <c r="E108" s="87"/>
      <c r="F108" s="162" t="s">
        <v>28</v>
      </c>
      <c r="G108" s="163"/>
      <c r="H108" s="163"/>
      <c r="I108" s="163">
        <f>'00 000 Naklady'!G8</f>
        <v>305766</v>
      </c>
      <c r="J108" s="164">
        <f>IF(I110=0,"",I108/I110*100)</f>
        <v>0.8190222374</v>
      </c>
    </row>
    <row r="109" ht="36.75" customHeight="1">
      <c r="A109" s="159"/>
      <c r="B109" s="160" t="s">
        <v>30</v>
      </c>
      <c r="C109" s="161" t="s">
        <v>31</v>
      </c>
      <c r="D109" s="87"/>
      <c r="E109" s="87"/>
      <c r="F109" s="162" t="s">
        <v>30</v>
      </c>
      <c r="G109" s="163"/>
      <c r="H109" s="163"/>
      <c r="I109" s="163">
        <f>'00 000 Naklady'!G18</f>
        <v>262937</v>
      </c>
      <c r="J109" s="164">
        <f>IF(I110=0,"",I109/I110*100)</f>
        <v>0.704300838</v>
      </c>
    </row>
    <row r="110" ht="25.5" customHeight="1">
      <c r="A110" s="165"/>
      <c r="B110" s="166" t="s">
        <v>51</v>
      </c>
      <c r="C110" s="167"/>
      <c r="D110" s="168"/>
      <c r="E110" s="168"/>
      <c r="F110" s="169"/>
      <c r="G110" s="170"/>
      <c r="H110" s="170"/>
      <c r="I110" s="170">
        <f t="shared" ref="I110:J110" si="2">SUM(I85:I109)</f>
        <v>37333052.27</v>
      </c>
      <c r="J110" s="171">
        <f t="shared" si="2"/>
        <v>100</v>
      </c>
    </row>
    <row r="111" ht="12.75" customHeight="1">
      <c r="C111" s="25"/>
      <c r="D111" s="25"/>
      <c r="E111" s="25"/>
      <c r="F111" s="172"/>
      <c r="G111" s="172"/>
      <c r="H111" s="172"/>
      <c r="I111" s="172"/>
      <c r="J111" s="173"/>
    </row>
    <row r="112" ht="12.75" customHeight="1">
      <c r="C112" s="25"/>
      <c r="D112" s="25"/>
      <c r="E112" s="25"/>
      <c r="F112" s="172"/>
      <c r="G112" s="172"/>
      <c r="H112" s="172"/>
      <c r="I112" s="172"/>
      <c r="J112" s="173"/>
    </row>
    <row r="113" ht="12.75" customHeight="1">
      <c r="C113" s="25"/>
      <c r="D113" s="25"/>
      <c r="E113" s="25"/>
      <c r="F113" s="172"/>
      <c r="G113" s="172"/>
      <c r="H113" s="172"/>
      <c r="I113" s="172"/>
      <c r="J113" s="173"/>
    </row>
    <row r="114" ht="12.75" customHeight="1">
      <c r="C114" s="25"/>
      <c r="D114" s="25"/>
      <c r="E114" s="25"/>
    </row>
    <row r="115" ht="12.75" customHeight="1">
      <c r="C115" s="25"/>
      <c r="D115" s="25"/>
      <c r="E115" s="25"/>
    </row>
    <row r="116" ht="12.75" customHeight="1">
      <c r="C116" s="25"/>
      <c r="D116" s="25"/>
      <c r="E116" s="25"/>
    </row>
    <row r="117" ht="12.75" customHeight="1">
      <c r="C117" s="25"/>
      <c r="D117" s="25"/>
      <c r="E117" s="25"/>
    </row>
    <row r="118" ht="12.75" customHeight="1">
      <c r="C118" s="25"/>
      <c r="D118" s="25"/>
      <c r="E118" s="25"/>
    </row>
    <row r="119" ht="12.75" customHeight="1">
      <c r="C119" s="25"/>
      <c r="D119" s="25"/>
      <c r="E119" s="25"/>
    </row>
    <row r="120" ht="12.75" customHeight="1">
      <c r="C120" s="25"/>
      <c r="D120" s="25"/>
      <c r="E120" s="25"/>
    </row>
    <row r="121" ht="12.75" customHeight="1">
      <c r="C121" s="25"/>
      <c r="D121" s="25"/>
      <c r="E121" s="25"/>
    </row>
    <row r="122" ht="12.75" customHeight="1">
      <c r="C122" s="25"/>
      <c r="D122" s="25"/>
      <c r="E122" s="25"/>
    </row>
    <row r="123" ht="12.75" customHeight="1">
      <c r="C123" s="25"/>
      <c r="D123" s="25"/>
      <c r="E123" s="25"/>
    </row>
    <row r="124" ht="12.75" customHeight="1">
      <c r="C124" s="25"/>
      <c r="D124" s="25"/>
      <c r="E124" s="25"/>
    </row>
    <row r="125" ht="12.75" customHeight="1">
      <c r="C125" s="25"/>
      <c r="D125" s="25"/>
      <c r="E125" s="25"/>
    </row>
    <row r="126" ht="12.75" customHeight="1">
      <c r="C126" s="25"/>
      <c r="D126" s="25"/>
      <c r="E126" s="25"/>
    </row>
    <row r="127" ht="12.75" customHeight="1">
      <c r="C127" s="25"/>
      <c r="D127" s="25"/>
      <c r="E127" s="25"/>
    </row>
    <row r="128" ht="12.75" customHeight="1">
      <c r="C128" s="25"/>
      <c r="D128" s="25"/>
      <c r="E128" s="25"/>
    </row>
    <row r="129" ht="12.75" customHeight="1">
      <c r="C129" s="25"/>
      <c r="D129" s="25"/>
      <c r="E129" s="25"/>
    </row>
    <row r="130" ht="12.75" customHeight="1">
      <c r="C130" s="25"/>
      <c r="D130" s="25"/>
      <c r="E130" s="25"/>
    </row>
    <row r="131" ht="12.75" customHeight="1">
      <c r="C131" s="25"/>
      <c r="D131" s="25"/>
      <c r="E131" s="25"/>
    </row>
    <row r="132" ht="12.75" customHeight="1">
      <c r="C132" s="25"/>
      <c r="D132" s="25"/>
      <c r="E132" s="25"/>
    </row>
    <row r="133" ht="12.75" customHeight="1">
      <c r="C133" s="25"/>
      <c r="D133" s="25"/>
      <c r="E133" s="25"/>
    </row>
    <row r="134" ht="12.75" customHeight="1">
      <c r="C134" s="25"/>
      <c r="D134" s="25"/>
      <c r="E134" s="25"/>
    </row>
    <row r="135" ht="12.75" customHeight="1">
      <c r="C135" s="25"/>
      <c r="D135" s="25"/>
      <c r="E135" s="25"/>
    </row>
    <row r="136" ht="12.75" customHeight="1">
      <c r="C136" s="25"/>
      <c r="D136" s="25"/>
      <c r="E136" s="25"/>
    </row>
    <row r="137" ht="12.75" customHeight="1">
      <c r="C137" s="25"/>
      <c r="D137" s="25"/>
      <c r="E137" s="25"/>
    </row>
    <row r="138" ht="12.75" customHeight="1">
      <c r="C138" s="25"/>
      <c r="D138" s="25"/>
      <c r="E138" s="25"/>
    </row>
    <row r="139" ht="12.75" customHeight="1">
      <c r="C139" s="25"/>
      <c r="D139" s="25"/>
      <c r="E139" s="25"/>
    </row>
    <row r="140" ht="12.75" customHeight="1">
      <c r="C140" s="25"/>
      <c r="D140" s="25"/>
      <c r="E140" s="25"/>
    </row>
    <row r="141" ht="12.75" customHeight="1">
      <c r="C141" s="25"/>
      <c r="D141" s="25"/>
      <c r="E141" s="25"/>
    </row>
    <row r="142" ht="12.75" customHeight="1">
      <c r="C142" s="25"/>
      <c r="D142" s="25"/>
      <c r="E142" s="25"/>
    </row>
    <row r="143" ht="12.75" customHeight="1">
      <c r="C143" s="25"/>
      <c r="D143" s="25"/>
      <c r="E143" s="25"/>
    </row>
    <row r="144" ht="12.75" customHeight="1">
      <c r="C144" s="25"/>
      <c r="D144" s="25"/>
      <c r="E144" s="25"/>
    </row>
    <row r="145" ht="12.75" customHeight="1">
      <c r="C145" s="25"/>
      <c r="D145" s="25"/>
      <c r="E145" s="25"/>
    </row>
    <row r="146" ht="12.75" customHeight="1">
      <c r="C146" s="25"/>
      <c r="D146" s="25"/>
      <c r="E146" s="25"/>
    </row>
    <row r="147" ht="12.75" customHeight="1">
      <c r="C147" s="25"/>
      <c r="D147" s="25"/>
      <c r="E147" s="25"/>
    </row>
    <row r="148" ht="12.75" customHeight="1">
      <c r="C148" s="25"/>
      <c r="D148" s="25"/>
      <c r="E148" s="25"/>
    </row>
    <row r="149" ht="12.75" customHeight="1">
      <c r="C149" s="25"/>
      <c r="D149" s="25"/>
      <c r="E149" s="25"/>
    </row>
    <row r="150" ht="12.75" customHeight="1">
      <c r="C150" s="25"/>
      <c r="D150" s="25"/>
      <c r="E150" s="25"/>
    </row>
    <row r="151" ht="12.75" customHeight="1">
      <c r="C151" s="25"/>
      <c r="D151" s="25"/>
      <c r="E151" s="25"/>
    </row>
    <row r="152" ht="12.75" customHeight="1">
      <c r="C152" s="25"/>
      <c r="D152" s="25"/>
      <c r="E152" s="25"/>
    </row>
    <row r="153" ht="12.75" customHeight="1">
      <c r="C153" s="25"/>
      <c r="D153" s="25"/>
      <c r="E153" s="25"/>
    </row>
    <row r="154" ht="12.75" customHeight="1">
      <c r="C154" s="25"/>
      <c r="D154" s="25"/>
      <c r="E154" s="25"/>
    </row>
    <row r="155" ht="12.75" customHeight="1">
      <c r="C155" s="25"/>
      <c r="D155" s="25"/>
      <c r="E155" s="25"/>
    </row>
    <row r="156" ht="12.75" customHeight="1">
      <c r="C156" s="25"/>
      <c r="D156" s="25"/>
      <c r="E156" s="25"/>
    </row>
    <row r="157" ht="12.75" customHeight="1">
      <c r="C157" s="25"/>
      <c r="D157" s="25"/>
      <c r="E157" s="25"/>
    </row>
    <row r="158" ht="12.75" customHeight="1">
      <c r="C158" s="25"/>
      <c r="D158" s="25"/>
      <c r="E158" s="25"/>
    </row>
    <row r="159" ht="12.75" customHeight="1">
      <c r="C159" s="25"/>
      <c r="D159" s="25"/>
      <c r="E159" s="25"/>
    </row>
    <row r="160" ht="12.75" customHeight="1">
      <c r="C160" s="25"/>
      <c r="D160" s="25"/>
      <c r="E160" s="25"/>
    </row>
    <row r="161" ht="12.75" customHeight="1">
      <c r="C161" s="25"/>
      <c r="D161" s="25"/>
      <c r="E161" s="25"/>
    </row>
    <row r="162" ht="12.75" customHeight="1">
      <c r="C162" s="25"/>
      <c r="D162" s="25"/>
      <c r="E162" s="25"/>
    </row>
    <row r="163" ht="12.75" customHeight="1">
      <c r="C163" s="25"/>
      <c r="D163" s="25"/>
      <c r="E163" s="25"/>
    </row>
    <row r="164" ht="12.75" customHeight="1">
      <c r="C164" s="25"/>
      <c r="D164" s="25"/>
      <c r="E164" s="25"/>
    </row>
    <row r="165" ht="12.75" customHeight="1">
      <c r="C165" s="25"/>
      <c r="D165" s="25"/>
      <c r="E165" s="25"/>
    </row>
    <row r="166" ht="12.75" customHeight="1">
      <c r="C166" s="25"/>
      <c r="D166" s="25"/>
      <c r="E166" s="25"/>
    </row>
    <row r="167" ht="12.75" customHeight="1">
      <c r="C167" s="25"/>
      <c r="D167" s="25"/>
      <c r="E167" s="25"/>
    </row>
    <row r="168" ht="12.75" customHeight="1">
      <c r="C168" s="25"/>
      <c r="D168" s="25"/>
      <c r="E168" s="25"/>
    </row>
    <row r="169" ht="12.75" customHeight="1">
      <c r="C169" s="25"/>
      <c r="D169" s="25"/>
      <c r="E169" s="25"/>
    </row>
    <row r="170" ht="12.75" customHeight="1">
      <c r="C170" s="25"/>
      <c r="D170" s="25"/>
      <c r="E170" s="25"/>
    </row>
    <row r="171" ht="12.75" customHeight="1">
      <c r="C171" s="25"/>
      <c r="D171" s="25"/>
      <c r="E171" s="25"/>
    </row>
    <row r="172" ht="12.75" customHeight="1">
      <c r="C172" s="25"/>
      <c r="D172" s="25"/>
      <c r="E172" s="25"/>
    </row>
    <row r="173" ht="12.75" customHeight="1">
      <c r="C173" s="25"/>
      <c r="D173" s="25"/>
      <c r="E173" s="25"/>
    </row>
    <row r="174" ht="12.75" customHeight="1">
      <c r="C174" s="25"/>
      <c r="D174" s="25"/>
      <c r="E174" s="25"/>
    </row>
    <row r="175" ht="12.75" customHeight="1">
      <c r="C175" s="25"/>
      <c r="D175" s="25"/>
      <c r="E175" s="25"/>
    </row>
    <row r="176" ht="12.75" customHeight="1">
      <c r="C176" s="25"/>
      <c r="D176" s="25"/>
      <c r="E176" s="25"/>
    </row>
    <row r="177" ht="12.75" customHeight="1">
      <c r="C177" s="25"/>
      <c r="D177" s="25"/>
      <c r="E177" s="25"/>
    </row>
    <row r="178" ht="12.75" customHeight="1">
      <c r="C178" s="25"/>
      <c r="D178" s="25"/>
      <c r="E178" s="25"/>
    </row>
    <row r="179" ht="12.75" customHeight="1">
      <c r="C179" s="25"/>
      <c r="D179" s="25"/>
      <c r="E179" s="25"/>
    </row>
    <row r="180" ht="12.75" customHeight="1">
      <c r="C180" s="25"/>
      <c r="D180" s="25"/>
      <c r="E180" s="25"/>
    </row>
    <row r="181" ht="12.75" customHeight="1">
      <c r="C181" s="25"/>
      <c r="D181" s="25"/>
      <c r="E181" s="25"/>
    </row>
    <row r="182" ht="12.75" customHeight="1">
      <c r="C182" s="25"/>
      <c r="D182" s="25"/>
      <c r="E182" s="25"/>
    </row>
    <row r="183" ht="12.75" customHeight="1">
      <c r="C183" s="25"/>
      <c r="D183" s="25"/>
      <c r="E183" s="25"/>
    </row>
    <row r="184" ht="12.75" customHeight="1">
      <c r="C184" s="25"/>
      <c r="D184" s="25"/>
      <c r="E184" s="25"/>
    </row>
    <row r="185" ht="12.75" customHeight="1">
      <c r="C185" s="25"/>
      <c r="D185" s="25"/>
      <c r="E185" s="25"/>
    </row>
    <row r="186" ht="12.75" customHeight="1">
      <c r="C186" s="25"/>
      <c r="D186" s="25"/>
      <c r="E186" s="25"/>
    </row>
    <row r="187" ht="12.75" customHeight="1">
      <c r="C187" s="25"/>
      <c r="D187" s="25"/>
      <c r="E187" s="25"/>
    </row>
    <row r="188" ht="12.75" customHeight="1">
      <c r="C188" s="25"/>
      <c r="D188" s="25"/>
      <c r="E188" s="25"/>
    </row>
    <row r="189" ht="12.75" customHeight="1">
      <c r="C189" s="25"/>
      <c r="D189" s="25"/>
      <c r="E189" s="25"/>
    </row>
    <row r="190" ht="12.75" customHeight="1">
      <c r="C190" s="25"/>
      <c r="D190" s="25"/>
      <c r="E190" s="25"/>
    </row>
    <row r="191" ht="12.75" customHeight="1">
      <c r="C191" s="25"/>
      <c r="D191" s="25"/>
      <c r="E191" s="25"/>
    </row>
    <row r="192" ht="12.75" customHeight="1">
      <c r="C192" s="25"/>
      <c r="D192" s="25"/>
      <c r="E192" s="25"/>
    </row>
    <row r="193" ht="12.75" customHeight="1">
      <c r="C193" s="25"/>
      <c r="D193" s="25"/>
      <c r="E193" s="25"/>
    </row>
    <row r="194" ht="12.75" customHeight="1">
      <c r="C194" s="25"/>
      <c r="D194" s="25"/>
      <c r="E194" s="25"/>
    </row>
    <row r="195" ht="12.75" customHeight="1">
      <c r="C195" s="25"/>
      <c r="D195" s="25"/>
      <c r="E195" s="25"/>
    </row>
    <row r="196" ht="12.75" customHeight="1">
      <c r="C196" s="25"/>
      <c r="D196" s="25"/>
      <c r="E196" s="25"/>
    </row>
    <row r="197" ht="12.75" customHeight="1">
      <c r="C197" s="25"/>
      <c r="D197" s="25"/>
      <c r="E197" s="25"/>
    </row>
    <row r="198" ht="12.75" customHeight="1">
      <c r="C198" s="25"/>
      <c r="D198" s="25"/>
      <c r="E198" s="25"/>
    </row>
    <row r="199" ht="12.75" customHeight="1">
      <c r="C199" s="25"/>
      <c r="D199" s="25"/>
      <c r="E199" s="25"/>
    </row>
    <row r="200" ht="12.75" customHeight="1">
      <c r="C200" s="25"/>
      <c r="D200" s="25"/>
      <c r="E200" s="25"/>
    </row>
    <row r="201" ht="12.75" customHeight="1">
      <c r="C201" s="25"/>
      <c r="D201" s="25"/>
      <c r="E201" s="25"/>
    </row>
    <row r="202" ht="12.75" customHeight="1">
      <c r="C202" s="25"/>
      <c r="D202" s="25"/>
      <c r="E202" s="25"/>
    </row>
    <row r="203" ht="12.75" customHeight="1">
      <c r="C203" s="25"/>
      <c r="D203" s="25"/>
      <c r="E203" s="25"/>
    </row>
    <row r="204" ht="12.75" customHeight="1">
      <c r="C204" s="25"/>
      <c r="D204" s="25"/>
      <c r="E204" s="25"/>
    </row>
    <row r="205" ht="12.75" customHeight="1">
      <c r="C205" s="25"/>
      <c r="D205" s="25"/>
      <c r="E205" s="25"/>
    </row>
    <row r="206" ht="12.75" customHeight="1">
      <c r="C206" s="25"/>
      <c r="D206" s="25"/>
      <c r="E206" s="25"/>
    </row>
    <row r="207" ht="12.75" customHeight="1">
      <c r="C207" s="25"/>
      <c r="D207" s="25"/>
      <c r="E207" s="25"/>
    </row>
    <row r="208" ht="12.75" customHeight="1">
      <c r="C208" s="25"/>
      <c r="D208" s="25"/>
      <c r="E208" s="25"/>
    </row>
    <row r="209" ht="12.75" customHeight="1">
      <c r="C209" s="25"/>
      <c r="D209" s="25"/>
      <c r="E209" s="25"/>
    </row>
    <row r="210" ht="12.75" customHeight="1">
      <c r="C210" s="25"/>
      <c r="D210" s="25"/>
      <c r="E210" s="25"/>
    </row>
    <row r="211" ht="12.75" customHeight="1">
      <c r="C211" s="25"/>
      <c r="D211" s="25"/>
      <c r="E211" s="25"/>
    </row>
    <row r="212" ht="12.75" customHeight="1">
      <c r="C212" s="25"/>
      <c r="D212" s="25"/>
      <c r="E212" s="25"/>
    </row>
    <row r="213" ht="12.75" customHeight="1">
      <c r="C213" s="25"/>
      <c r="D213" s="25"/>
      <c r="E213" s="25"/>
    </row>
    <row r="214" ht="12.75" customHeight="1">
      <c r="C214" s="25"/>
      <c r="D214" s="25"/>
      <c r="E214" s="25"/>
    </row>
    <row r="215" ht="12.75" customHeight="1">
      <c r="C215" s="25"/>
      <c r="D215" s="25"/>
      <c r="E215" s="25"/>
    </row>
    <row r="216" ht="12.75" customHeight="1">
      <c r="C216" s="25"/>
      <c r="D216" s="25"/>
      <c r="E216" s="25"/>
    </row>
    <row r="217" ht="12.75" customHeight="1">
      <c r="C217" s="25"/>
      <c r="D217" s="25"/>
      <c r="E217" s="25"/>
    </row>
    <row r="218" ht="12.75" customHeight="1">
      <c r="C218" s="25"/>
      <c r="D218" s="25"/>
      <c r="E218" s="25"/>
    </row>
    <row r="219" ht="12.75" customHeight="1">
      <c r="C219" s="25"/>
      <c r="D219" s="25"/>
      <c r="E219" s="25"/>
    </row>
    <row r="220" ht="12.75" customHeight="1">
      <c r="C220" s="25"/>
      <c r="D220" s="25"/>
      <c r="E220" s="25"/>
    </row>
    <row r="221" ht="12.75" customHeight="1">
      <c r="C221" s="25"/>
      <c r="D221" s="25"/>
      <c r="E221" s="25"/>
    </row>
    <row r="222" ht="12.75" customHeight="1">
      <c r="C222" s="25"/>
      <c r="D222" s="25"/>
      <c r="E222" s="25"/>
    </row>
    <row r="223" ht="12.75" customHeight="1">
      <c r="C223" s="25"/>
      <c r="D223" s="25"/>
      <c r="E223" s="25"/>
    </row>
    <row r="224" ht="12.75" customHeight="1">
      <c r="C224" s="25"/>
      <c r="D224" s="25"/>
      <c r="E224" s="25"/>
    </row>
    <row r="225" ht="12.75" customHeight="1">
      <c r="C225" s="25"/>
      <c r="D225" s="25"/>
      <c r="E225" s="25"/>
    </row>
    <row r="226" ht="12.75" customHeight="1">
      <c r="C226" s="25"/>
      <c r="D226" s="25"/>
      <c r="E226" s="25"/>
    </row>
    <row r="227" ht="12.75" customHeight="1">
      <c r="C227" s="25"/>
      <c r="D227" s="25"/>
      <c r="E227" s="25"/>
    </row>
    <row r="228" ht="12.75" customHeight="1">
      <c r="C228" s="25"/>
      <c r="D228" s="25"/>
      <c r="E228" s="25"/>
    </row>
    <row r="229" ht="12.75" customHeight="1">
      <c r="C229" s="25"/>
      <c r="D229" s="25"/>
      <c r="E229" s="25"/>
    </row>
    <row r="230" ht="12.75" customHeight="1">
      <c r="C230" s="25"/>
      <c r="D230" s="25"/>
      <c r="E230" s="25"/>
    </row>
    <row r="231" ht="12.75" customHeight="1">
      <c r="C231" s="25"/>
      <c r="D231" s="25"/>
      <c r="E231" s="25"/>
    </row>
    <row r="232" ht="12.75" customHeight="1">
      <c r="C232" s="25"/>
      <c r="D232" s="25"/>
      <c r="E232" s="25"/>
    </row>
    <row r="233" ht="12.75" customHeight="1">
      <c r="C233" s="25"/>
      <c r="D233" s="25"/>
      <c r="E233" s="25"/>
    </row>
    <row r="234" ht="12.75" customHeight="1">
      <c r="C234" s="25"/>
      <c r="D234" s="25"/>
      <c r="E234" s="25"/>
    </row>
    <row r="235" ht="12.75" customHeight="1">
      <c r="C235" s="25"/>
      <c r="D235" s="25"/>
      <c r="E235" s="25"/>
    </row>
    <row r="236" ht="12.75" customHeight="1">
      <c r="C236" s="25"/>
      <c r="D236" s="25"/>
      <c r="E236" s="25"/>
    </row>
    <row r="237" ht="12.75" customHeight="1">
      <c r="C237" s="25"/>
      <c r="D237" s="25"/>
      <c r="E237" s="25"/>
    </row>
    <row r="238" ht="12.75" customHeight="1">
      <c r="C238" s="25"/>
      <c r="D238" s="25"/>
      <c r="E238" s="25"/>
    </row>
    <row r="239" ht="12.75" customHeight="1">
      <c r="C239" s="25"/>
      <c r="D239" s="25"/>
      <c r="E239" s="25"/>
    </row>
    <row r="240" ht="12.75" customHeight="1">
      <c r="C240" s="25"/>
      <c r="D240" s="25"/>
      <c r="E240" s="25"/>
    </row>
    <row r="241" ht="12.75" customHeight="1">
      <c r="C241" s="25"/>
      <c r="D241" s="25"/>
      <c r="E241" s="25"/>
    </row>
    <row r="242" ht="12.75" customHeight="1">
      <c r="C242" s="25"/>
      <c r="D242" s="25"/>
      <c r="E242" s="25"/>
    </row>
    <row r="243" ht="12.75" customHeight="1">
      <c r="C243" s="25"/>
      <c r="D243" s="25"/>
      <c r="E243" s="25"/>
    </row>
    <row r="244" ht="12.75" customHeight="1">
      <c r="C244" s="25"/>
      <c r="D244" s="25"/>
      <c r="E244" s="25"/>
    </row>
    <row r="245" ht="12.75" customHeight="1">
      <c r="C245" s="25"/>
      <c r="D245" s="25"/>
      <c r="E245" s="25"/>
    </row>
    <row r="246" ht="12.75" customHeight="1">
      <c r="C246" s="25"/>
      <c r="D246" s="25"/>
      <c r="E246" s="25"/>
    </row>
    <row r="247" ht="12.75" customHeight="1">
      <c r="C247" s="25"/>
      <c r="D247" s="25"/>
      <c r="E247" s="25"/>
    </row>
    <row r="248" ht="12.75" customHeight="1">
      <c r="C248" s="25"/>
      <c r="D248" s="25"/>
      <c r="E248" s="25"/>
    </row>
    <row r="249" ht="12.75" customHeight="1">
      <c r="C249" s="25"/>
      <c r="D249" s="25"/>
      <c r="E249" s="25"/>
    </row>
    <row r="250" ht="12.75" customHeight="1">
      <c r="C250" s="25"/>
      <c r="D250" s="25"/>
      <c r="E250" s="25"/>
    </row>
    <row r="251" ht="12.75" customHeight="1">
      <c r="C251" s="25"/>
      <c r="D251" s="25"/>
      <c r="E251" s="25"/>
    </row>
    <row r="252" ht="12.75" customHeight="1">
      <c r="C252" s="25"/>
      <c r="D252" s="25"/>
      <c r="E252" s="25"/>
    </row>
    <row r="253" ht="12.75" customHeight="1">
      <c r="C253" s="25"/>
      <c r="D253" s="25"/>
      <c r="E253" s="25"/>
    </row>
    <row r="254" ht="12.75" customHeight="1">
      <c r="C254" s="25"/>
      <c r="D254" s="25"/>
      <c r="E254" s="25"/>
    </row>
    <row r="255" ht="12.75" customHeight="1">
      <c r="C255" s="25"/>
      <c r="D255" s="25"/>
      <c r="E255" s="25"/>
    </row>
    <row r="256" ht="12.75" customHeight="1">
      <c r="C256" s="25"/>
      <c r="D256" s="25"/>
      <c r="E256" s="25"/>
    </row>
    <row r="257" ht="12.75" customHeight="1">
      <c r="C257" s="25"/>
      <c r="D257" s="25"/>
      <c r="E257" s="25"/>
    </row>
    <row r="258" ht="12.75" customHeight="1">
      <c r="C258" s="25"/>
      <c r="D258" s="25"/>
      <c r="E258" s="25"/>
    </row>
    <row r="259" ht="12.75" customHeight="1">
      <c r="C259" s="25"/>
      <c r="D259" s="25"/>
      <c r="E259" s="25"/>
    </row>
    <row r="260" ht="12.75" customHeight="1">
      <c r="C260" s="25"/>
      <c r="D260" s="25"/>
      <c r="E260" s="25"/>
    </row>
    <row r="261" ht="12.75" customHeight="1">
      <c r="C261" s="25"/>
      <c r="D261" s="25"/>
      <c r="E261" s="25"/>
    </row>
    <row r="262" ht="12.75" customHeight="1">
      <c r="C262" s="25"/>
      <c r="D262" s="25"/>
      <c r="E262" s="25"/>
    </row>
    <row r="263" ht="12.75" customHeight="1">
      <c r="C263" s="25"/>
      <c r="D263" s="25"/>
      <c r="E263" s="25"/>
    </row>
    <row r="264" ht="12.75" customHeight="1">
      <c r="C264" s="25"/>
      <c r="D264" s="25"/>
      <c r="E264" s="25"/>
    </row>
    <row r="265" ht="12.75" customHeight="1">
      <c r="C265" s="25"/>
      <c r="D265" s="25"/>
      <c r="E265" s="25"/>
    </row>
    <row r="266" ht="12.75" customHeight="1">
      <c r="C266" s="25"/>
      <c r="D266" s="25"/>
      <c r="E266" s="25"/>
    </row>
    <row r="267" ht="12.75" customHeight="1">
      <c r="C267" s="25"/>
      <c r="D267" s="25"/>
      <c r="E267" s="25"/>
    </row>
    <row r="268" ht="12.75" customHeight="1">
      <c r="C268" s="25"/>
      <c r="D268" s="25"/>
      <c r="E268" s="25"/>
    </row>
    <row r="269" ht="12.75" customHeight="1">
      <c r="C269" s="25"/>
      <c r="D269" s="25"/>
      <c r="E269" s="25"/>
    </row>
    <row r="270" ht="12.75" customHeight="1">
      <c r="C270" s="25"/>
      <c r="D270" s="25"/>
      <c r="E270" s="25"/>
    </row>
    <row r="271" ht="12.75" customHeight="1">
      <c r="C271" s="25"/>
      <c r="D271" s="25"/>
      <c r="E271" s="25"/>
    </row>
    <row r="272" ht="12.75" customHeight="1">
      <c r="C272" s="25"/>
      <c r="D272" s="25"/>
      <c r="E272" s="25"/>
    </row>
    <row r="273" ht="12.75" customHeight="1">
      <c r="C273" s="25"/>
      <c r="D273" s="25"/>
      <c r="E273" s="25"/>
    </row>
    <row r="274" ht="12.75" customHeight="1">
      <c r="C274" s="25"/>
      <c r="D274" s="25"/>
      <c r="E274" s="25"/>
    </row>
    <row r="275" ht="12.75" customHeight="1">
      <c r="C275" s="25"/>
      <c r="D275" s="25"/>
      <c r="E275" s="25"/>
    </row>
    <row r="276" ht="12.75" customHeight="1">
      <c r="C276" s="25"/>
      <c r="D276" s="25"/>
      <c r="E276" s="25"/>
    </row>
    <row r="277" ht="12.75" customHeight="1">
      <c r="C277" s="25"/>
      <c r="D277" s="25"/>
      <c r="E277" s="25"/>
    </row>
    <row r="278" ht="12.75" customHeight="1">
      <c r="C278" s="25"/>
      <c r="D278" s="25"/>
      <c r="E278" s="25"/>
    </row>
    <row r="279" ht="12.75" customHeight="1">
      <c r="C279" s="25"/>
      <c r="D279" s="25"/>
      <c r="E279" s="25"/>
    </row>
    <row r="280" ht="12.75" customHeight="1">
      <c r="C280" s="25"/>
      <c r="D280" s="25"/>
      <c r="E280" s="25"/>
    </row>
    <row r="281" ht="12.75" customHeight="1">
      <c r="C281" s="25"/>
      <c r="D281" s="25"/>
      <c r="E281" s="25"/>
    </row>
    <row r="282" ht="12.75" customHeight="1">
      <c r="C282" s="25"/>
      <c r="D282" s="25"/>
      <c r="E282" s="25"/>
    </row>
    <row r="283" ht="12.75" customHeight="1">
      <c r="C283" s="25"/>
      <c r="D283" s="25"/>
      <c r="E283" s="25"/>
    </row>
    <row r="284" ht="12.75" customHeight="1">
      <c r="C284" s="25"/>
      <c r="D284" s="25"/>
      <c r="E284" s="25"/>
    </row>
    <row r="285" ht="12.75" customHeight="1">
      <c r="C285" s="25"/>
      <c r="D285" s="25"/>
      <c r="E285" s="25"/>
    </row>
    <row r="286" ht="12.75" customHeight="1">
      <c r="C286" s="25"/>
      <c r="D286" s="25"/>
      <c r="E286" s="25"/>
    </row>
    <row r="287" ht="12.75" customHeight="1">
      <c r="C287" s="25"/>
      <c r="D287" s="25"/>
      <c r="E287" s="25"/>
    </row>
    <row r="288" ht="12.75" customHeight="1">
      <c r="C288" s="25"/>
      <c r="D288" s="25"/>
      <c r="E288" s="25"/>
    </row>
    <row r="289" ht="12.75" customHeight="1">
      <c r="C289" s="25"/>
      <c r="D289" s="25"/>
      <c r="E289" s="25"/>
    </row>
    <row r="290" ht="12.75" customHeight="1">
      <c r="C290" s="25"/>
      <c r="D290" s="25"/>
      <c r="E290" s="25"/>
    </row>
    <row r="291" ht="12.75" customHeight="1">
      <c r="C291" s="25"/>
      <c r="D291" s="25"/>
      <c r="E291" s="25"/>
    </row>
    <row r="292" ht="12.75" customHeight="1">
      <c r="C292" s="25"/>
      <c r="D292" s="25"/>
      <c r="E292" s="25"/>
    </row>
    <row r="293" ht="12.75" customHeight="1">
      <c r="C293" s="25"/>
      <c r="D293" s="25"/>
      <c r="E293" s="25"/>
    </row>
    <row r="294" ht="12.75" customHeight="1">
      <c r="C294" s="25"/>
      <c r="D294" s="25"/>
      <c r="E294" s="25"/>
    </row>
    <row r="295" ht="12.75" customHeight="1">
      <c r="C295" s="25"/>
      <c r="D295" s="25"/>
      <c r="E295" s="25"/>
    </row>
    <row r="296" ht="12.75" customHeight="1">
      <c r="C296" s="25"/>
      <c r="D296" s="25"/>
      <c r="E296" s="25"/>
    </row>
    <row r="297" ht="12.75" customHeight="1">
      <c r="C297" s="25"/>
      <c r="D297" s="25"/>
      <c r="E297" s="25"/>
    </row>
    <row r="298" ht="12.75" customHeight="1">
      <c r="C298" s="25"/>
      <c r="D298" s="25"/>
      <c r="E298" s="25"/>
    </row>
    <row r="299" ht="12.75" customHeight="1">
      <c r="C299" s="25"/>
      <c r="D299" s="25"/>
      <c r="E299" s="25"/>
    </row>
    <row r="300" ht="12.75" customHeight="1">
      <c r="C300" s="25"/>
      <c r="D300" s="25"/>
      <c r="E300" s="25"/>
    </row>
    <row r="301" ht="12.75" customHeight="1">
      <c r="C301" s="25"/>
      <c r="D301" s="25"/>
      <c r="E301" s="25"/>
    </row>
    <row r="302" ht="12.75" customHeight="1">
      <c r="C302" s="25"/>
      <c r="D302" s="25"/>
      <c r="E302" s="25"/>
    </row>
    <row r="303" ht="12.75" customHeight="1">
      <c r="C303" s="25"/>
      <c r="D303" s="25"/>
      <c r="E303" s="25"/>
    </row>
    <row r="304" ht="12.75" customHeight="1">
      <c r="C304" s="25"/>
      <c r="D304" s="25"/>
      <c r="E304" s="25"/>
    </row>
    <row r="305" ht="12.75" customHeight="1">
      <c r="C305" s="25"/>
      <c r="D305" s="25"/>
      <c r="E305" s="25"/>
    </row>
    <row r="306" ht="12.75" customHeight="1">
      <c r="C306" s="25"/>
      <c r="D306" s="25"/>
      <c r="E306" s="25"/>
    </row>
    <row r="307" ht="12.75" customHeight="1">
      <c r="C307" s="25"/>
      <c r="D307" s="25"/>
      <c r="E307" s="25"/>
    </row>
    <row r="308" ht="12.75" customHeight="1">
      <c r="C308" s="25"/>
      <c r="D308" s="25"/>
      <c r="E308" s="25"/>
    </row>
    <row r="309" ht="12.75" customHeight="1">
      <c r="C309" s="25"/>
      <c r="D309" s="25"/>
      <c r="E309" s="25"/>
    </row>
    <row r="310" ht="12.75" customHeight="1">
      <c r="C310" s="25"/>
      <c r="D310" s="25"/>
      <c r="E310" s="25"/>
    </row>
    <row r="311" ht="12.75" customHeight="1">
      <c r="C311" s="25"/>
      <c r="D311" s="25"/>
      <c r="E311" s="25"/>
    </row>
    <row r="312" ht="12.75" customHeight="1">
      <c r="C312" s="25"/>
      <c r="D312" s="25"/>
      <c r="E312" s="25"/>
    </row>
    <row r="313" ht="12.75" customHeight="1">
      <c r="C313" s="25"/>
      <c r="D313" s="25"/>
      <c r="E313" s="25"/>
    </row>
    <row r="314" ht="12.75" customHeight="1">
      <c r="C314" s="25"/>
      <c r="D314" s="25"/>
      <c r="E314" s="25"/>
    </row>
    <row r="315" ht="12.75" customHeight="1">
      <c r="C315" s="25"/>
      <c r="D315" s="25"/>
      <c r="E315" s="25"/>
    </row>
    <row r="316" ht="12.75" customHeight="1">
      <c r="C316" s="25"/>
      <c r="D316" s="25"/>
      <c r="E316" s="25"/>
    </row>
    <row r="317" ht="12.75" customHeight="1">
      <c r="C317" s="25"/>
      <c r="D317" s="25"/>
      <c r="E317" s="25"/>
    </row>
    <row r="318" ht="12.75" customHeight="1">
      <c r="C318" s="25"/>
      <c r="D318" s="25"/>
      <c r="E318" s="25"/>
    </row>
    <row r="319" ht="12.75" customHeight="1">
      <c r="C319" s="25"/>
      <c r="D319" s="25"/>
      <c r="E319" s="25"/>
    </row>
    <row r="320" ht="12.75" customHeight="1">
      <c r="C320" s="25"/>
      <c r="D320" s="25"/>
      <c r="E320" s="25"/>
    </row>
    <row r="321" ht="12.75" customHeight="1">
      <c r="C321" s="25"/>
      <c r="D321" s="25"/>
      <c r="E321" s="25"/>
    </row>
    <row r="322" ht="12.75" customHeight="1">
      <c r="C322" s="25"/>
      <c r="D322" s="25"/>
      <c r="E322" s="25"/>
    </row>
    <row r="323" ht="12.75" customHeight="1">
      <c r="C323" s="25"/>
      <c r="D323" s="25"/>
      <c r="E323" s="25"/>
    </row>
    <row r="324" ht="12.75" customHeight="1">
      <c r="C324" s="25"/>
      <c r="D324" s="25"/>
      <c r="E324" s="25"/>
    </row>
    <row r="325" ht="12.75" customHeight="1">
      <c r="C325" s="25"/>
      <c r="D325" s="25"/>
      <c r="E325" s="25"/>
    </row>
    <row r="326" ht="12.75" customHeight="1">
      <c r="C326" s="25"/>
      <c r="D326" s="25"/>
      <c r="E326" s="25"/>
    </row>
    <row r="327" ht="12.75" customHeight="1">
      <c r="C327" s="25"/>
      <c r="D327" s="25"/>
      <c r="E327" s="25"/>
    </row>
    <row r="328" ht="12.75" customHeight="1">
      <c r="C328" s="25"/>
      <c r="D328" s="25"/>
      <c r="E328" s="25"/>
    </row>
    <row r="329" ht="12.75" customHeight="1">
      <c r="C329" s="25"/>
      <c r="D329" s="25"/>
      <c r="E329" s="25"/>
    </row>
    <row r="330" ht="12.75" customHeight="1">
      <c r="C330" s="25"/>
      <c r="D330" s="25"/>
      <c r="E330" s="25"/>
    </row>
    <row r="331" ht="12.75" customHeight="1">
      <c r="C331" s="25"/>
      <c r="D331" s="25"/>
      <c r="E331" s="25"/>
    </row>
    <row r="332" ht="12.75" customHeight="1">
      <c r="C332" s="25"/>
      <c r="D332" s="25"/>
      <c r="E332" s="25"/>
    </row>
    <row r="333" ht="12.75" customHeight="1">
      <c r="C333" s="25"/>
      <c r="D333" s="25"/>
      <c r="E333" s="25"/>
    </row>
    <row r="334" ht="12.75" customHeight="1">
      <c r="C334" s="25"/>
      <c r="D334" s="25"/>
      <c r="E334" s="25"/>
    </row>
    <row r="335" ht="12.75" customHeight="1">
      <c r="C335" s="25"/>
      <c r="D335" s="25"/>
      <c r="E335" s="25"/>
    </row>
    <row r="336" ht="12.75" customHeight="1">
      <c r="C336" s="25"/>
      <c r="D336" s="25"/>
      <c r="E336" s="25"/>
    </row>
    <row r="337" ht="12.75" customHeight="1">
      <c r="C337" s="25"/>
      <c r="D337" s="25"/>
      <c r="E337" s="25"/>
    </row>
    <row r="338" ht="12.75" customHeight="1">
      <c r="C338" s="25"/>
      <c r="D338" s="25"/>
      <c r="E338" s="25"/>
    </row>
    <row r="339" ht="12.75" customHeight="1">
      <c r="C339" s="25"/>
      <c r="D339" s="25"/>
      <c r="E339" s="25"/>
    </row>
    <row r="340" ht="12.75" customHeight="1">
      <c r="C340" s="25"/>
      <c r="D340" s="25"/>
      <c r="E340" s="25"/>
    </row>
    <row r="341" ht="12.75" customHeight="1">
      <c r="C341" s="25"/>
      <c r="D341" s="25"/>
      <c r="E341" s="25"/>
    </row>
    <row r="342" ht="12.75" customHeight="1">
      <c r="C342" s="25"/>
      <c r="D342" s="25"/>
      <c r="E342" s="25"/>
    </row>
    <row r="343" ht="12.75" customHeight="1">
      <c r="C343" s="25"/>
      <c r="D343" s="25"/>
      <c r="E343" s="25"/>
    </row>
    <row r="344" ht="12.75" customHeight="1">
      <c r="C344" s="25"/>
      <c r="D344" s="25"/>
      <c r="E344" s="25"/>
    </row>
    <row r="345" ht="12.75" customHeight="1">
      <c r="C345" s="25"/>
      <c r="D345" s="25"/>
      <c r="E345" s="25"/>
    </row>
    <row r="346" ht="12.75" customHeight="1">
      <c r="C346" s="25"/>
      <c r="D346" s="25"/>
      <c r="E346" s="25"/>
    </row>
    <row r="347" ht="12.75" customHeight="1">
      <c r="C347" s="25"/>
      <c r="D347" s="25"/>
      <c r="E347" s="25"/>
    </row>
    <row r="348" ht="12.75" customHeight="1">
      <c r="C348" s="25"/>
      <c r="D348" s="25"/>
      <c r="E348" s="25"/>
    </row>
    <row r="349" ht="12.75" customHeight="1">
      <c r="C349" s="25"/>
      <c r="D349" s="25"/>
      <c r="E349" s="25"/>
    </row>
    <row r="350" ht="12.75" customHeight="1">
      <c r="C350" s="25"/>
      <c r="D350" s="25"/>
      <c r="E350" s="25"/>
    </row>
    <row r="351" ht="12.75" customHeight="1">
      <c r="C351" s="25"/>
      <c r="D351" s="25"/>
      <c r="E351" s="25"/>
    </row>
    <row r="352" ht="12.75" customHeight="1">
      <c r="C352" s="25"/>
      <c r="D352" s="25"/>
      <c r="E352" s="25"/>
    </row>
    <row r="353" ht="12.75" customHeight="1">
      <c r="C353" s="25"/>
      <c r="D353" s="25"/>
      <c r="E353" s="25"/>
    </row>
    <row r="354" ht="12.75" customHeight="1">
      <c r="C354" s="25"/>
      <c r="D354" s="25"/>
      <c r="E354" s="25"/>
    </row>
    <row r="355" ht="12.75" customHeight="1">
      <c r="C355" s="25"/>
      <c r="D355" s="25"/>
      <c r="E355" s="25"/>
    </row>
    <row r="356" ht="12.75" customHeight="1">
      <c r="C356" s="25"/>
      <c r="D356" s="25"/>
      <c r="E356" s="25"/>
    </row>
    <row r="357" ht="12.75" customHeight="1">
      <c r="C357" s="25"/>
      <c r="D357" s="25"/>
      <c r="E357" s="25"/>
    </row>
    <row r="358" ht="12.75" customHeight="1">
      <c r="C358" s="25"/>
      <c r="D358" s="25"/>
      <c r="E358" s="25"/>
    </row>
    <row r="359" ht="12.75" customHeight="1">
      <c r="C359" s="25"/>
      <c r="D359" s="25"/>
      <c r="E359" s="25"/>
    </row>
    <row r="360" ht="12.75" customHeight="1">
      <c r="C360" s="25"/>
      <c r="D360" s="25"/>
      <c r="E360" s="25"/>
    </row>
    <row r="361" ht="12.75" customHeight="1">
      <c r="C361" s="25"/>
      <c r="D361" s="25"/>
      <c r="E361" s="25"/>
    </row>
    <row r="362" ht="12.75" customHeight="1">
      <c r="C362" s="25"/>
      <c r="D362" s="25"/>
      <c r="E362" s="25"/>
    </row>
    <row r="363" ht="12.75" customHeight="1">
      <c r="C363" s="25"/>
      <c r="D363" s="25"/>
      <c r="E363" s="25"/>
    </row>
    <row r="364" ht="12.75" customHeight="1">
      <c r="C364" s="25"/>
      <c r="D364" s="25"/>
      <c r="E364" s="25"/>
    </row>
    <row r="365" ht="12.75" customHeight="1">
      <c r="C365" s="25"/>
      <c r="D365" s="25"/>
      <c r="E365" s="25"/>
    </row>
    <row r="366" ht="12.75" customHeight="1">
      <c r="C366" s="25"/>
      <c r="D366" s="25"/>
      <c r="E366" s="25"/>
    </row>
    <row r="367" ht="12.75" customHeight="1">
      <c r="C367" s="25"/>
      <c r="D367" s="25"/>
      <c r="E367" s="25"/>
    </row>
    <row r="368" ht="12.75" customHeight="1">
      <c r="C368" s="25"/>
      <c r="D368" s="25"/>
      <c r="E368" s="25"/>
    </row>
    <row r="369" ht="12.75" customHeight="1">
      <c r="C369" s="25"/>
      <c r="D369" s="25"/>
      <c r="E369" s="25"/>
    </row>
    <row r="370" ht="12.75" customHeight="1">
      <c r="C370" s="25"/>
      <c r="D370" s="25"/>
      <c r="E370" s="25"/>
    </row>
    <row r="371" ht="12.75" customHeight="1">
      <c r="C371" s="25"/>
      <c r="D371" s="25"/>
      <c r="E371" s="25"/>
    </row>
    <row r="372" ht="12.75" customHeight="1">
      <c r="C372" s="25"/>
      <c r="D372" s="25"/>
      <c r="E372" s="25"/>
    </row>
    <row r="373" ht="12.75" customHeight="1">
      <c r="C373" s="25"/>
      <c r="D373" s="25"/>
      <c r="E373" s="25"/>
    </row>
    <row r="374" ht="12.75" customHeight="1">
      <c r="C374" s="25"/>
      <c r="D374" s="25"/>
      <c r="E374" s="25"/>
    </row>
    <row r="375" ht="12.75" customHeight="1">
      <c r="C375" s="25"/>
      <c r="D375" s="25"/>
      <c r="E375" s="25"/>
    </row>
    <row r="376" ht="12.75" customHeight="1">
      <c r="C376" s="25"/>
      <c r="D376" s="25"/>
      <c r="E376" s="25"/>
    </row>
    <row r="377" ht="12.75" customHeight="1">
      <c r="C377" s="25"/>
      <c r="D377" s="25"/>
      <c r="E377" s="25"/>
    </row>
    <row r="378" ht="12.75" customHeight="1">
      <c r="C378" s="25"/>
      <c r="D378" s="25"/>
      <c r="E378" s="25"/>
    </row>
    <row r="379" ht="12.75" customHeight="1">
      <c r="C379" s="25"/>
      <c r="D379" s="25"/>
      <c r="E379" s="25"/>
    </row>
    <row r="380" ht="12.75" customHeight="1">
      <c r="C380" s="25"/>
      <c r="D380" s="25"/>
      <c r="E380" s="25"/>
    </row>
    <row r="381" ht="12.75" customHeight="1">
      <c r="C381" s="25"/>
      <c r="D381" s="25"/>
      <c r="E381" s="25"/>
    </row>
    <row r="382" ht="12.75" customHeight="1">
      <c r="C382" s="25"/>
      <c r="D382" s="25"/>
      <c r="E382" s="25"/>
    </row>
    <row r="383" ht="12.75" customHeight="1">
      <c r="C383" s="25"/>
      <c r="D383" s="25"/>
      <c r="E383" s="25"/>
    </row>
    <row r="384" ht="12.75" customHeight="1">
      <c r="C384" s="25"/>
      <c r="D384" s="25"/>
      <c r="E384" s="25"/>
    </row>
    <row r="385" ht="12.75" customHeight="1">
      <c r="C385" s="25"/>
      <c r="D385" s="25"/>
      <c r="E385" s="25"/>
    </row>
    <row r="386" ht="12.75" customHeight="1">
      <c r="C386" s="25"/>
      <c r="D386" s="25"/>
      <c r="E386" s="25"/>
    </row>
    <row r="387" ht="12.75" customHeight="1">
      <c r="C387" s="25"/>
      <c r="D387" s="25"/>
      <c r="E387" s="25"/>
    </row>
    <row r="388" ht="12.75" customHeight="1">
      <c r="C388" s="25"/>
      <c r="D388" s="25"/>
      <c r="E388" s="25"/>
    </row>
    <row r="389" ht="12.75" customHeight="1">
      <c r="C389" s="25"/>
      <c r="D389" s="25"/>
      <c r="E389" s="25"/>
    </row>
    <row r="390" ht="12.75" customHeight="1">
      <c r="C390" s="25"/>
      <c r="D390" s="25"/>
      <c r="E390" s="25"/>
    </row>
    <row r="391" ht="12.75" customHeight="1">
      <c r="C391" s="25"/>
      <c r="D391" s="25"/>
      <c r="E391" s="25"/>
    </row>
    <row r="392" ht="12.75" customHeight="1">
      <c r="C392" s="25"/>
      <c r="D392" s="25"/>
      <c r="E392" s="25"/>
    </row>
    <row r="393" ht="12.75" customHeight="1">
      <c r="C393" s="25"/>
      <c r="D393" s="25"/>
      <c r="E393" s="25"/>
    </row>
    <row r="394" ht="12.75" customHeight="1">
      <c r="C394" s="25"/>
      <c r="D394" s="25"/>
      <c r="E394" s="25"/>
    </row>
    <row r="395" ht="12.75" customHeight="1">
      <c r="C395" s="25"/>
      <c r="D395" s="25"/>
      <c r="E395" s="25"/>
    </row>
    <row r="396" ht="12.75" customHeight="1">
      <c r="C396" s="25"/>
      <c r="D396" s="25"/>
      <c r="E396" s="25"/>
    </row>
    <row r="397" ht="12.75" customHeight="1">
      <c r="C397" s="25"/>
      <c r="D397" s="25"/>
      <c r="E397" s="25"/>
    </row>
    <row r="398" ht="12.75" customHeight="1">
      <c r="C398" s="25"/>
      <c r="D398" s="25"/>
      <c r="E398" s="25"/>
    </row>
    <row r="399" ht="12.75" customHeight="1">
      <c r="C399" s="25"/>
      <c r="D399" s="25"/>
      <c r="E399" s="25"/>
    </row>
    <row r="400" ht="12.75" customHeight="1">
      <c r="C400" s="25"/>
      <c r="D400" s="25"/>
      <c r="E400" s="25"/>
    </row>
    <row r="401" ht="12.75" customHeight="1">
      <c r="C401" s="25"/>
      <c r="D401" s="25"/>
      <c r="E401" s="25"/>
    </row>
    <row r="402" ht="12.75" customHeight="1">
      <c r="C402" s="25"/>
      <c r="D402" s="25"/>
      <c r="E402" s="25"/>
    </row>
    <row r="403" ht="12.75" customHeight="1">
      <c r="C403" s="25"/>
      <c r="D403" s="25"/>
      <c r="E403" s="25"/>
    </row>
    <row r="404" ht="12.75" customHeight="1">
      <c r="C404" s="25"/>
      <c r="D404" s="25"/>
      <c r="E404" s="25"/>
    </row>
    <row r="405" ht="12.75" customHeight="1">
      <c r="C405" s="25"/>
      <c r="D405" s="25"/>
      <c r="E405" s="25"/>
    </row>
    <row r="406" ht="12.75" customHeight="1">
      <c r="C406" s="25"/>
      <c r="D406" s="25"/>
      <c r="E406" s="25"/>
    </row>
    <row r="407" ht="12.75" customHeight="1">
      <c r="C407" s="25"/>
      <c r="D407" s="25"/>
      <c r="E407" s="25"/>
    </row>
    <row r="408" ht="12.75" customHeight="1">
      <c r="C408" s="25"/>
      <c r="D408" s="25"/>
      <c r="E408" s="25"/>
    </row>
    <row r="409" ht="12.75" customHeight="1">
      <c r="C409" s="25"/>
      <c r="D409" s="25"/>
      <c r="E409" s="25"/>
    </row>
    <row r="410" ht="12.75" customHeight="1">
      <c r="C410" s="25"/>
      <c r="D410" s="25"/>
      <c r="E410" s="25"/>
    </row>
    <row r="411" ht="12.75" customHeight="1">
      <c r="C411" s="25"/>
      <c r="D411" s="25"/>
      <c r="E411" s="25"/>
    </row>
    <row r="412" ht="12.75" customHeight="1">
      <c r="C412" s="25"/>
      <c r="D412" s="25"/>
      <c r="E412" s="25"/>
    </row>
    <row r="413" ht="12.75" customHeight="1">
      <c r="C413" s="25"/>
      <c r="D413" s="25"/>
      <c r="E413" s="25"/>
    </row>
    <row r="414" ht="12.75" customHeight="1">
      <c r="C414" s="25"/>
      <c r="D414" s="25"/>
      <c r="E414" s="25"/>
    </row>
    <row r="415" ht="12.75" customHeight="1">
      <c r="C415" s="25"/>
      <c r="D415" s="25"/>
      <c r="E415" s="25"/>
    </row>
    <row r="416" ht="12.75" customHeight="1">
      <c r="C416" s="25"/>
      <c r="D416" s="25"/>
      <c r="E416" s="25"/>
    </row>
    <row r="417" ht="12.75" customHeight="1">
      <c r="C417" s="25"/>
      <c r="D417" s="25"/>
      <c r="E417" s="25"/>
    </row>
    <row r="418" ht="12.75" customHeight="1">
      <c r="C418" s="25"/>
      <c r="D418" s="25"/>
      <c r="E418" s="25"/>
    </row>
    <row r="419" ht="12.75" customHeight="1">
      <c r="C419" s="25"/>
      <c r="D419" s="25"/>
      <c r="E419" s="25"/>
    </row>
    <row r="420" ht="12.75" customHeight="1">
      <c r="C420" s="25"/>
      <c r="D420" s="25"/>
      <c r="E420" s="25"/>
    </row>
    <row r="421" ht="12.75" customHeight="1">
      <c r="C421" s="25"/>
      <c r="D421" s="25"/>
      <c r="E421" s="25"/>
    </row>
    <row r="422" ht="12.75" customHeight="1">
      <c r="C422" s="25"/>
      <c r="D422" s="25"/>
      <c r="E422" s="25"/>
    </row>
    <row r="423" ht="12.75" customHeight="1">
      <c r="C423" s="25"/>
      <c r="D423" s="25"/>
      <c r="E423" s="25"/>
    </row>
    <row r="424" ht="12.75" customHeight="1">
      <c r="C424" s="25"/>
      <c r="D424" s="25"/>
      <c r="E424" s="25"/>
    </row>
    <row r="425" ht="12.75" customHeight="1">
      <c r="C425" s="25"/>
      <c r="D425" s="25"/>
      <c r="E425" s="25"/>
    </row>
    <row r="426" ht="12.75" customHeight="1">
      <c r="C426" s="25"/>
      <c r="D426" s="25"/>
      <c r="E426" s="25"/>
    </row>
    <row r="427" ht="12.75" customHeight="1">
      <c r="C427" s="25"/>
      <c r="D427" s="25"/>
      <c r="E427" s="25"/>
    </row>
    <row r="428" ht="12.75" customHeight="1">
      <c r="C428" s="25"/>
      <c r="D428" s="25"/>
      <c r="E428" s="25"/>
    </row>
    <row r="429" ht="12.75" customHeight="1">
      <c r="C429" s="25"/>
      <c r="D429" s="25"/>
      <c r="E429" s="25"/>
    </row>
    <row r="430" ht="12.75" customHeight="1">
      <c r="C430" s="25"/>
      <c r="D430" s="25"/>
      <c r="E430" s="25"/>
    </row>
    <row r="431" ht="12.75" customHeight="1">
      <c r="C431" s="25"/>
      <c r="D431" s="25"/>
      <c r="E431" s="25"/>
    </row>
    <row r="432" ht="12.75" customHeight="1">
      <c r="C432" s="25"/>
      <c r="D432" s="25"/>
      <c r="E432" s="25"/>
    </row>
    <row r="433" ht="12.75" customHeight="1">
      <c r="C433" s="25"/>
      <c r="D433" s="25"/>
      <c r="E433" s="25"/>
    </row>
    <row r="434" ht="12.75" customHeight="1">
      <c r="C434" s="25"/>
      <c r="D434" s="25"/>
      <c r="E434" s="25"/>
    </row>
    <row r="435" ht="12.75" customHeight="1">
      <c r="C435" s="25"/>
      <c r="D435" s="25"/>
      <c r="E435" s="25"/>
    </row>
    <row r="436" ht="12.75" customHeight="1">
      <c r="C436" s="25"/>
      <c r="D436" s="25"/>
      <c r="E436" s="25"/>
    </row>
    <row r="437" ht="12.75" customHeight="1">
      <c r="C437" s="25"/>
      <c r="D437" s="25"/>
      <c r="E437" s="25"/>
    </row>
    <row r="438" ht="12.75" customHeight="1">
      <c r="C438" s="25"/>
      <c r="D438" s="25"/>
      <c r="E438" s="25"/>
    </row>
    <row r="439" ht="12.75" customHeight="1">
      <c r="C439" s="25"/>
      <c r="D439" s="25"/>
      <c r="E439" s="25"/>
    </row>
    <row r="440" ht="12.75" customHeight="1">
      <c r="C440" s="25"/>
      <c r="D440" s="25"/>
      <c r="E440" s="25"/>
    </row>
    <row r="441" ht="12.75" customHeight="1">
      <c r="C441" s="25"/>
      <c r="D441" s="25"/>
      <c r="E441" s="25"/>
    </row>
    <row r="442" ht="12.75" customHeight="1">
      <c r="C442" s="25"/>
      <c r="D442" s="25"/>
      <c r="E442" s="25"/>
    </row>
    <row r="443" ht="12.75" customHeight="1">
      <c r="C443" s="25"/>
      <c r="D443" s="25"/>
      <c r="E443" s="25"/>
    </row>
    <row r="444" ht="12.75" customHeight="1">
      <c r="C444" s="25"/>
      <c r="D444" s="25"/>
      <c r="E444" s="25"/>
    </row>
    <row r="445" ht="12.75" customHeight="1">
      <c r="C445" s="25"/>
      <c r="D445" s="25"/>
      <c r="E445" s="25"/>
    </row>
    <row r="446" ht="12.75" customHeight="1">
      <c r="C446" s="25"/>
      <c r="D446" s="25"/>
      <c r="E446" s="25"/>
    </row>
    <row r="447" ht="12.75" customHeight="1">
      <c r="C447" s="25"/>
      <c r="D447" s="25"/>
      <c r="E447" s="25"/>
    </row>
    <row r="448" ht="12.75" customHeight="1">
      <c r="C448" s="25"/>
      <c r="D448" s="25"/>
      <c r="E448" s="25"/>
    </row>
    <row r="449" ht="12.75" customHeight="1">
      <c r="C449" s="25"/>
      <c r="D449" s="25"/>
      <c r="E449" s="25"/>
    </row>
    <row r="450" ht="12.75" customHeight="1">
      <c r="C450" s="25"/>
      <c r="D450" s="25"/>
      <c r="E450" s="25"/>
    </row>
    <row r="451" ht="12.75" customHeight="1">
      <c r="C451" s="25"/>
      <c r="D451" s="25"/>
      <c r="E451" s="25"/>
    </row>
    <row r="452" ht="12.75" customHeight="1">
      <c r="C452" s="25"/>
      <c r="D452" s="25"/>
      <c r="E452" s="25"/>
    </row>
    <row r="453" ht="12.75" customHeight="1">
      <c r="C453" s="25"/>
      <c r="D453" s="25"/>
      <c r="E453" s="25"/>
    </row>
    <row r="454" ht="12.75" customHeight="1">
      <c r="C454" s="25"/>
      <c r="D454" s="25"/>
      <c r="E454" s="25"/>
    </row>
    <row r="455" ht="12.75" customHeight="1">
      <c r="C455" s="25"/>
      <c r="D455" s="25"/>
      <c r="E455" s="25"/>
    </row>
    <row r="456" ht="12.75" customHeight="1">
      <c r="C456" s="25"/>
      <c r="D456" s="25"/>
      <c r="E456" s="25"/>
    </row>
    <row r="457" ht="12.75" customHeight="1">
      <c r="C457" s="25"/>
      <c r="D457" s="25"/>
      <c r="E457" s="25"/>
    </row>
    <row r="458" ht="12.75" customHeight="1">
      <c r="C458" s="25"/>
      <c r="D458" s="25"/>
      <c r="E458" s="25"/>
    </row>
    <row r="459" ht="12.75" customHeight="1">
      <c r="C459" s="25"/>
      <c r="D459" s="25"/>
      <c r="E459" s="25"/>
    </row>
    <row r="460" ht="12.75" customHeight="1">
      <c r="C460" s="25"/>
      <c r="D460" s="25"/>
      <c r="E460" s="25"/>
    </row>
    <row r="461" ht="12.75" customHeight="1">
      <c r="C461" s="25"/>
      <c r="D461" s="25"/>
      <c r="E461" s="25"/>
    </row>
    <row r="462" ht="12.75" customHeight="1">
      <c r="C462" s="25"/>
      <c r="D462" s="25"/>
      <c r="E462" s="25"/>
    </row>
    <row r="463" ht="12.75" customHeight="1">
      <c r="C463" s="25"/>
      <c r="D463" s="25"/>
      <c r="E463" s="25"/>
    </row>
    <row r="464" ht="12.75" customHeight="1">
      <c r="C464" s="25"/>
      <c r="D464" s="25"/>
      <c r="E464" s="25"/>
    </row>
    <row r="465" ht="12.75" customHeight="1">
      <c r="C465" s="25"/>
      <c r="D465" s="25"/>
      <c r="E465" s="25"/>
    </row>
    <row r="466" ht="12.75" customHeight="1">
      <c r="C466" s="25"/>
      <c r="D466" s="25"/>
      <c r="E466" s="25"/>
    </row>
    <row r="467" ht="12.75" customHeight="1">
      <c r="C467" s="25"/>
      <c r="D467" s="25"/>
      <c r="E467" s="25"/>
    </row>
    <row r="468" ht="12.75" customHeight="1">
      <c r="C468" s="25"/>
      <c r="D468" s="25"/>
      <c r="E468" s="25"/>
    </row>
    <row r="469" ht="12.75" customHeight="1">
      <c r="C469" s="25"/>
      <c r="D469" s="25"/>
      <c r="E469" s="25"/>
    </row>
    <row r="470" ht="12.75" customHeight="1">
      <c r="C470" s="25"/>
      <c r="D470" s="25"/>
      <c r="E470" s="25"/>
    </row>
    <row r="471" ht="12.75" customHeight="1">
      <c r="C471" s="25"/>
      <c r="D471" s="25"/>
      <c r="E471" s="25"/>
    </row>
    <row r="472" ht="12.75" customHeight="1">
      <c r="C472" s="25"/>
      <c r="D472" s="25"/>
      <c r="E472" s="25"/>
    </row>
    <row r="473" ht="12.75" customHeight="1">
      <c r="C473" s="25"/>
      <c r="D473" s="25"/>
      <c r="E473" s="25"/>
    </row>
    <row r="474" ht="12.75" customHeight="1">
      <c r="C474" s="25"/>
      <c r="D474" s="25"/>
      <c r="E474" s="25"/>
    </row>
    <row r="475" ht="12.75" customHeight="1">
      <c r="C475" s="25"/>
      <c r="D475" s="25"/>
      <c r="E475" s="25"/>
    </row>
    <row r="476" ht="12.75" customHeight="1">
      <c r="C476" s="25"/>
      <c r="D476" s="25"/>
      <c r="E476" s="25"/>
    </row>
    <row r="477" ht="12.75" customHeight="1">
      <c r="C477" s="25"/>
      <c r="D477" s="25"/>
      <c r="E477" s="25"/>
    </row>
    <row r="478" ht="12.75" customHeight="1">
      <c r="C478" s="25"/>
      <c r="D478" s="25"/>
      <c r="E478" s="25"/>
    </row>
    <row r="479" ht="12.75" customHeight="1">
      <c r="C479" s="25"/>
      <c r="D479" s="25"/>
      <c r="E479" s="25"/>
    </row>
    <row r="480" ht="12.75" customHeight="1">
      <c r="C480" s="25"/>
      <c r="D480" s="25"/>
      <c r="E480" s="25"/>
    </row>
    <row r="481" ht="12.75" customHeight="1">
      <c r="C481" s="25"/>
      <c r="D481" s="25"/>
      <c r="E481" s="25"/>
    </row>
    <row r="482" ht="12.75" customHeight="1">
      <c r="C482" s="25"/>
      <c r="D482" s="25"/>
      <c r="E482" s="25"/>
    </row>
    <row r="483" ht="12.75" customHeight="1">
      <c r="C483" s="25"/>
      <c r="D483" s="25"/>
      <c r="E483" s="25"/>
    </row>
    <row r="484" ht="12.75" customHeight="1">
      <c r="C484" s="25"/>
      <c r="D484" s="25"/>
      <c r="E484" s="25"/>
    </row>
    <row r="485" ht="12.75" customHeight="1">
      <c r="C485" s="25"/>
      <c r="D485" s="25"/>
      <c r="E485" s="25"/>
    </row>
    <row r="486" ht="12.75" customHeight="1">
      <c r="C486" s="25"/>
      <c r="D486" s="25"/>
      <c r="E486" s="25"/>
    </row>
    <row r="487" ht="12.75" customHeight="1">
      <c r="C487" s="25"/>
      <c r="D487" s="25"/>
      <c r="E487" s="25"/>
    </row>
    <row r="488" ht="12.75" customHeight="1">
      <c r="C488" s="25"/>
      <c r="D488" s="25"/>
      <c r="E488" s="25"/>
    </row>
    <row r="489" ht="12.75" customHeight="1">
      <c r="C489" s="25"/>
      <c r="D489" s="25"/>
      <c r="E489" s="25"/>
    </row>
    <row r="490" ht="12.75" customHeight="1">
      <c r="C490" s="25"/>
      <c r="D490" s="25"/>
      <c r="E490" s="25"/>
    </row>
    <row r="491" ht="12.75" customHeight="1">
      <c r="C491" s="25"/>
      <c r="D491" s="25"/>
      <c r="E491" s="25"/>
    </row>
    <row r="492" ht="12.75" customHeight="1">
      <c r="C492" s="25"/>
      <c r="D492" s="25"/>
      <c r="E492" s="25"/>
    </row>
    <row r="493" ht="12.75" customHeight="1">
      <c r="C493" s="25"/>
      <c r="D493" s="25"/>
      <c r="E493" s="25"/>
    </row>
    <row r="494" ht="12.75" customHeight="1">
      <c r="C494" s="25"/>
      <c r="D494" s="25"/>
      <c r="E494" s="25"/>
    </row>
    <row r="495" ht="12.75" customHeight="1">
      <c r="C495" s="25"/>
      <c r="D495" s="25"/>
      <c r="E495" s="25"/>
    </row>
    <row r="496" ht="12.75" customHeight="1">
      <c r="C496" s="25"/>
      <c r="D496" s="25"/>
      <c r="E496" s="25"/>
    </row>
    <row r="497" ht="12.75" customHeight="1">
      <c r="C497" s="25"/>
      <c r="D497" s="25"/>
      <c r="E497" s="25"/>
    </row>
    <row r="498" ht="12.75" customHeight="1">
      <c r="C498" s="25"/>
      <c r="D498" s="25"/>
      <c r="E498" s="25"/>
    </row>
    <row r="499" ht="12.75" customHeight="1">
      <c r="C499" s="25"/>
      <c r="D499" s="25"/>
      <c r="E499" s="25"/>
    </row>
    <row r="500" ht="12.75" customHeight="1">
      <c r="C500" s="25"/>
      <c r="D500" s="25"/>
      <c r="E500" s="25"/>
    </row>
    <row r="501" ht="12.75" customHeight="1">
      <c r="C501" s="25"/>
      <c r="D501" s="25"/>
      <c r="E501" s="25"/>
    </row>
    <row r="502" ht="12.75" customHeight="1">
      <c r="C502" s="25"/>
      <c r="D502" s="25"/>
      <c r="E502" s="25"/>
    </row>
    <row r="503" ht="12.75" customHeight="1">
      <c r="C503" s="25"/>
      <c r="D503" s="25"/>
      <c r="E503" s="25"/>
    </row>
    <row r="504" ht="12.75" customHeight="1">
      <c r="C504" s="25"/>
      <c r="D504" s="25"/>
      <c r="E504" s="25"/>
    </row>
    <row r="505" ht="12.75" customHeight="1">
      <c r="C505" s="25"/>
      <c r="D505" s="25"/>
      <c r="E505" s="25"/>
    </row>
    <row r="506" ht="12.75" customHeight="1">
      <c r="C506" s="25"/>
      <c r="D506" s="25"/>
      <c r="E506" s="25"/>
    </row>
    <row r="507" ht="12.75" customHeight="1">
      <c r="C507" s="25"/>
      <c r="D507" s="25"/>
      <c r="E507" s="25"/>
    </row>
    <row r="508" ht="12.75" customHeight="1">
      <c r="C508" s="25"/>
      <c r="D508" s="25"/>
      <c r="E508" s="25"/>
    </row>
    <row r="509" ht="12.75" customHeight="1">
      <c r="C509" s="25"/>
      <c r="D509" s="25"/>
      <c r="E509" s="25"/>
    </row>
    <row r="510" ht="12.75" customHeight="1">
      <c r="C510" s="25"/>
      <c r="D510" s="25"/>
      <c r="E510" s="25"/>
    </row>
    <row r="511" ht="12.75" customHeight="1">
      <c r="C511" s="25"/>
      <c r="D511" s="25"/>
      <c r="E511" s="25"/>
    </row>
    <row r="512" ht="12.75" customHeight="1">
      <c r="C512" s="25"/>
      <c r="D512" s="25"/>
      <c r="E512" s="25"/>
    </row>
    <row r="513" ht="12.75" customHeight="1">
      <c r="C513" s="25"/>
      <c r="D513" s="25"/>
      <c r="E513" s="25"/>
    </row>
    <row r="514" ht="12.75" customHeight="1">
      <c r="C514" s="25"/>
      <c r="D514" s="25"/>
      <c r="E514" s="25"/>
    </row>
    <row r="515" ht="12.75" customHeight="1">
      <c r="C515" s="25"/>
      <c r="D515" s="25"/>
      <c r="E515" s="25"/>
    </row>
    <row r="516" ht="12.75" customHeight="1">
      <c r="C516" s="25"/>
      <c r="D516" s="25"/>
      <c r="E516" s="25"/>
    </row>
    <row r="517" ht="12.75" customHeight="1">
      <c r="C517" s="25"/>
      <c r="D517" s="25"/>
      <c r="E517" s="25"/>
    </row>
    <row r="518" ht="12.75" customHeight="1">
      <c r="C518" s="25"/>
      <c r="D518" s="25"/>
      <c r="E518" s="25"/>
    </row>
    <row r="519" ht="12.75" customHeight="1">
      <c r="C519" s="25"/>
      <c r="D519" s="25"/>
      <c r="E519" s="25"/>
    </row>
    <row r="520" ht="12.75" customHeight="1">
      <c r="C520" s="25"/>
      <c r="D520" s="25"/>
      <c r="E520" s="25"/>
    </row>
    <row r="521" ht="12.75" customHeight="1">
      <c r="C521" s="25"/>
      <c r="D521" s="25"/>
      <c r="E521" s="25"/>
    </row>
    <row r="522" ht="12.75" customHeight="1">
      <c r="C522" s="25"/>
      <c r="D522" s="25"/>
      <c r="E522" s="25"/>
    </row>
    <row r="523" ht="12.75" customHeight="1">
      <c r="C523" s="25"/>
      <c r="D523" s="25"/>
      <c r="E523" s="25"/>
    </row>
    <row r="524" ht="12.75" customHeight="1">
      <c r="C524" s="25"/>
      <c r="D524" s="25"/>
      <c r="E524" s="25"/>
    </row>
    <row r="525" ht="12.75" customHeight="1">
      <c r="C525" s="25"/>
      <c r="D525" s="25"/>
      <c r="E525" s="25"/>
    </row>
    <row r="526" ht="12.75" customHeight="1">
      <c r="C526" s="25"/>
      <c r="D526" s="25"/>
      <c r="E526" s="25"/>
    </row>
    <row r="527" ht="12.75" customHeight="1">
      <c r="C527" s="25"/>
      <c r="D527" s="25"/>
      <c r="E527" s="25"/>
    </row>
    <row r="528" ht="12.75" customHeight="1">
      <c r="C528" s="25"/>
      <c r="D528" s="25"/>
      <c r="E528" s="25"/>
    </row>
    <row r="529" ht="12.75" customHeight="1">
      <c r="C529" s="25"/>
      <c r="D529" s="25"/>
      <c r="E529" s="25"/>
    </row>
    <row r="530" ht="12.75" customHeight="1">
      <c r="C530" s="25"/>
      <c r="D530" s="25"/>
      <c r="E530" s="25"/>
    </row>
    <row r="531" ht="12.75" customHeight="1">
      <c r="C531" s="25"/>
      <c r="D531" s="25"/>
      <c r="E531" s="25"/>
    </row>
    <row r="532" ht="12.75" customHeight="1">
      <c r="C532" s="25"/>
      <c r="D532" s="25"/>
      <c r="E532" s="25"/>
    </row>
    <row r="533" ht="12.75" customHeight="1">
      <c r="C533" s="25"/>
      <c r="D533" s="25"/>
      <c r="E533" s="25"/>
    </row>
    <row r="534" ht="12.75" customHeight="1">
      <c r="C534" s="25"/>
      <c r="D534" s="25"/>
      <c r="E534" s="25"/>
    </row>
    <row r="535" ht="12.75" customHeight="1">
      <c r="C535" s="25"/>
      <c r="D535" s="25"/>
      <c r="E535" s="25"/>
    </row>
    <row r="536" ht="12.75" customHeight="1">
      <c r="C536" s="25"/>
      <c r="D536" s="25"/>
      <c r="E536" s="25"/>
    </row>
    <row r="537" ht="12.75" customHeight="1">
      <c r="C537" s="25"/>
      <c r="D537" s="25"/>
      <c r="E537" s="25"/>
    </row>
    <row r="538" ht="12.75" customHeight="1">
      <c r="C538" s="25"/>
      <c r="D538" s="25"/>
      <c r="E538" s="25"/>
    </row>
    <row r="539" ht="12.75" customHeight="1">
      <c r="C539" s="25"/>
      <c r="D539" s="25"/>
      <c r="E539" s="25"/>
    </row>
    <row r="540" ht="12.75" customHeight="1">
      <c r="C540" s="25"/>
      <c r="D540" s="25"/>
      <c r="E540" s="25"/>
    </row>
    <row r="541" ht="12.75" customHeight="1">
      <c r="C541" s="25"/>
      <c r="D541" s="25"/>
      <c r="E541" s="25"/>
    </row>
    <row r="542" ht="12.75" customHeight="1">
      <c r="C542" s="25"/>
      <c r="D542" s="25"/>
      <c r="E542" s="25"/>
    </row>
    <row r="543" ht="12.75" customHeight="1">
      <c r="C543" s="25"/>
      <c r="D543" s="25"/>
      <c r="E543" s="25"/>
    </row>
    <row r="544" ht="12.75" customHeight="1">
      <c r="C544" s="25"/>
      <c r="D544" s="25"/>
      <c r="E544" s="25"/>
    </row>
    <row r="545" ht="12.75" customHeight="1">
      <c r="C545" s="25"/>
      <c r="D545" s="25"/>
      <c r="E545" s="25"/>
    </row>
    <row r="546" ht="12.75" customHeight="1">
      <c r="C546" s="25"/>
      <c r="D546" s="25"/>
      <c r="E546" s="25"/>
    </row>
    <row r="547" ht="12.75" customHeight="1">
      <c r="C547" s="25"/>
      <c r="D547" s="25"/>
      <c r="E547" s="25"/>
    </row>
    <row r="548" ht="12.75" customHeight="1">
      <c r="C548" s="25"/>
      <c r="D548" s="25"/>
      <c r="E548" s="25"/>
    </row>
    <row r="549" ht="12.75" customHeight="1">
      <c r="C549" s="25"/>
      <c r="D549" s="25"/>
      <c r="E549" s="25"/>
    </row>
    <row r="550" ht="12.75" customHeight="1">
      <c r="C550" s="25"/>
      <c r="D550" s="25"/>
      <c r="E550" s="25"/>
    </row>
    <row r="551" ht="12.75" customHeight="1">
      <c r="C551" s="25"/>
      <c r="D551" s="25"/>
      <c r="E551" s="25"/>
    </row>
    <row r="552" ht="12.75" customHeight="1">
      <c r="C552" s="25"/>
      <c r="D552" s="25"/>
      <c r="E552" s="25"/>
    </row>
    <row r="553" ht="12.75" customHeight="1">
      <c r="C553" s="25"/>
      <c r="D553" s="25"/>
      <c r="E553" s="25"/>
    </row>
    <row r="554" ht="12.75" customHeight="1">
      <c r="C554" s="25"/>
      <c r="D554" s="25"/>
      <c r="E554" s="25"/>
    </row>
    <row r="555" ht="12.75" customHeight="1">
      <c r="C555" s="25"/>
      <c r="D555" s="25"/>
      <c r="E555" s="25"/>
    </row>
    <row r="556" ht="12.75" customHeight="1">
      <c r="C556" s="25"/>
      <c r="D556" s="25"/>
      <c r="E556" s="25"/>
    </row>
    <row r="557" ht="12.75" customHeight="1">
      <c r="C557" s="25"/>
      <c r="D557" s="25"/>
      <c r="E557" s="25"/>
    </row>
    <row r="558" ht="12.75" customHeight="1">
      <c r="C558" s="25"/>
      <c r="D558" s="25"/>
      <c r="E558" s="25"/>
    </row>
    <row r="559" ht="12.75" customHeight="1">
      <c r="C559" s="25"/>
      <c r="D559" s="25"/>
      <c r="E559" s="25"/>
    </row>
    <row r="560" ht="12.75" customHeight="1">
      <c r="C560" s="25"/>
      <c r="D560" s="25"/>
      <c r="E560" s="25"/>
    </row>
    <row r="561" ht="12.75" customHeight="1">
      <c r="C561" s="25"/>
      <c r="D561" s="25"/>
      <c r="E561" s="25"/>
    </row>
    <row r="562" ht="12.75" customHeight="1">
      <c r="C562" s="25"/>
      <c r="D562" s="25"/>
      <c r="E562" s="25"/>
    </row>
    <row r="563" ht="12.75" customHeight="1">
      <c r="C563" s="25"/>
      <c r="D563" s="25"/>
      <c r="E563" s="25"/>
    </row>
    <row r="564" ht="12.75" customHeight="1">
      <c r="C564" s="25"/>
      <c r="D564" s="25"/>
      <c r="E564" s="25"/>
    </row>
    <row r="565" ht="12.75" customHeight="1">
      <c r="C565" s="25"/>
      <c r="D565" s="25"/>
      <c r="E565" s="25"/>
    </row>
    <row r="566" ht="12.75" customHeight="1">
      <c r="C566" s="25"/>
      <c r="D566" s="25"/>
      <c r="E566" s="25"/>
    </row>
    <row r="567" ht="12.75" customHeight="1">
      <c r="C567" s="25"/>
      <c r="D567" s="25"/>
      <c r="E567" s="25"/>
    </row>
    <row r="568" ht="12.75" customHeight="1">
      <c r="C568" s="25"/>
      <c r="D568" s="25"/>
      <c r="E568" s="25"/>
    </row>
    <row r="569" ht="12.75" customHeight="1">
      <c r="C569" s="25"/>
      <c r="D569" s="25"/>
      <c r="E569" s="25"/>
    </row>
    <row r="570" ht="12.75" customHeight="1">
      <c r="C570" s="25"/>
      <c r="D570" s="25"/>
      <c r="E570" s="25"/>
    </row>
    <row r="571" ht="12.75" customHeight="1">
      <c r="C571" s="25"/>
      <c r="D571" s="25"/>
      <c r="E571" s="25"/>
    </row>
    <row r="572" ht="12.75" customHeight="1">
      <c r="C572" s="25"/>
      <c r="D572" s="25"/>
      <c r="E572" s="25"/>
    </row>
    <row r="573" ht="12.75" customHeight="1">
      <c r="C573" s="25"/>
      <c r="D573" s="25"/>
      <c r="E573" s="25"/>
    </row>
    <row r="574" ht="12.75" customHeight="1">
      <c r="C574" s="25"/>
      <c r="D574" s="25"/>
      <c r="E574" s="25"/>
    </row>
    <row r="575" ht="12.75" customHeight="1">
      <c r="C575" s="25"/>
      <c r="D575" s="25"/>
      <c r="E575" s="25"/>
    </row>
    <row r="576" ht="12.75" customHeight="1">
      <c r="C576" s="25"/>
      <c r="D576" s="25"/>
      <c r="E576" s="25"/>
    </row>
    <row r="577" ht="12.75" customHeight="1">
      <c r="C577" s="25"/>
      <c r="D577" s="25"/>
      <c r="E577" s="25"/>
    </row>
    <row r="578" ht="12.75" customHeight="1">
      <c r="C578" s="25"/>
      <c r="D578" s="25"/>
      <c r="E578" s="25"/>
    </row>
    <row r="579" ht="12.75" customHeight="1">
      <c r="C579" s="25"/>
      <c r="D579" s="25"/>
      <c r="E579" s="25"/>
    </row>
    <row r="580" ht="12.75" customHeight="1">
      <c r="C580" s="25"/>
      <c r="D580" s="25"/>
      <c r="E580" s="25"/>
    </row>
    <row r="581" ht="12.75" customHeight="1">
      <c r="C581" s="25"/>
      <c r="D581" s="25"/>
      <c r="E581" s="25"/>
    </row>
    <row r="582" ht="12.75" customHeight="1">
      <c r="C582" s="25"/>
      <c r="D582" s="25"/>
      <c r="E582" s="25"/>
    </row>
    <row r="583" ht="12.75" customHeight="1">
      <c r="C583" s="25"/>
      <c r="D583" s="25"/>
      <c r="E583" s="25"/>
    </row>
    <row r="584" ht="12.75" customHeight="1">
      <c r="C584" s="25"/>
      <c r="D584" s="25"/>
      <c r="E584" s="25"/>
    </row>
    <row r="585" ht="12.75" customHeight="1">
      <c r="C585" s="25"/>
      <c r="D585" s="25"/>
      <c r="E585" s="25"/>
    </row>
    <row r="586" ht="12.75" customHeight="1">
      <c r="C586" s="25"/>
      <c r="D586" s="25"/>
      <c r="E586" s="25"/>
    </row>
    <row r="587" ht="12.75" customHeight="1">
      <c r="C587" s="25"/>
      <c r="D587" s="25"/>
      <c r="E587" s="25"/>
    </row>
    <row r="588" ht="12.75" customHeight="1">
      <c r="C588" s="25"/>
      <c r="D588" s="25"/>
      <c r="E588" s="25"/>
    </row>
    <row r="589" ht="12.75" customHeight="1">
      <c r="C589" s="25"/>
      <c r="D589" s="25"/>
      <c r="E589" s="25"/>
    </row>
    <row r="590" ht="12.75" customHeight="1">
      <c r="C590" s="25"/>
      <c r="D590" s="25"/>
      <c r="E590" s="25"/>
    </row>
    <row r="591" ht="12.75" customHeight="1">
      <c r="C591" s="25"/>
      <c r="D591" s="25"/>
      <c r="E591" s="25"/>
    </row>
    <row r="592" ht="12.75" customHeight="1">
      <c r="C592" s="25"/>
      <c r="D592" s="25"/>
      <c r="E592" s="25"/>
    </row>
    <row r="593" ht="12.75" customHeight="1">
      <c r="C593" s="25"/>
      <c r="D593" s="25"/>
      <c r="E593" s="25"/>
    </row>
    <row r="594" ht="12.75" customHeight="1">
      <c r="C594" s="25"/>
      <c r="D594" s="25"/>
      <c r="E594" s="25"/>
    </row>
    <row r="595" ht="12.75" customHeight="1">
      <c r="C595" s="25"/>
      <c r="D595" s="25"/>
      <c r="E595" s="25"/>
    </row>
    <row r="596" ht="12.75" customHeight="1">
      <c r="C596" s="25"/>
      <c r="D596" s="25"/>
      <c r="E596" s="25"/>
    </row>
    <row r="597" ht="12.75" customHeight="1">
      <c r="C597" s="25"/>
      <c r="D597" s="25"/>
      <c r="E597" s="25"/>
    </row>
    <row r="598" ht="12.75" customHeight="1">
      <c r="C598" s="25"/>
      <c r="D598" s="25"/>
      <c r="E598" s="25"/>
    </row>
    <row r="599" ht="12.75" customHeight="1">
      <c r="C599" s="25"/>
      <c r="D599" s="25"/>
      <c r="E599" s="25"/>
    </row>
    <row r="600" ht="12.75" customHeight="1">
      <c r="C600" s="25"/>
      <c r="D600" s="25"/>
      <c r="E600" s="25"/>
    </row>
    <row r="601" ht="12.75" customHeight="1">
      <c r="C601" s="25"/>
      <c r="D601" s="25"/>
      <c r="E601" s="25"/>
    </row>
    <row r="602" ht="12.75" customHeight="1">
      <c r="C602" s="25"/>
      <c r="D602" s="25"/>
      <c r="E602" s="25"/>
    </row>
    <row r="603" ht="12.75" customHeight="1">
      <c r="C603" s="25"/>
      <c r="D603" s="25"/>
      <c r="E603" s="25"/>
    </row>
    <row r="604" ht="12.75" customHeight="1">
      <c r="C604" s="25"/>
      <c r="D604" s="25"/>
      <c r="E604" s="25"/>
    </row>
    <row r="605" ht="12.75" customHeight="1">
      <c r="C605" s="25"/>
      <c r="D605" s="25"/>
      <c r="E605" s="25"/>
    </row>
    <row r="606" ht="12.75" customHeight="1">
      <c r="C606" s="25"/>
      <c r="D606" s="25"/>
      <c r="E606" s="25"/>
    </row>
    <row r="607" ht="12.75" customHeight="1">
      <c r="C607" s="25"/>
      <c r="D607" s="25"/>
      <c r="E607" s="25"/>
    </row>
    <row r="608" ht="12.75" customHeight="1">
      <c r="C608" s="25"/>
      <c r="D608" s="25"/>
      <c r="E608" s="25"/>
    </row>
    <row r="609" ht="12.75" customHeight="1">
      <c r="C609" s="25"/>
      <c r="D609" s="25"/>
      <c r="E609" s="25"/>
    </row>
    <row r="610" ht="12.75" customHeight="1">
      <c r="C610" s="25"/>
      <c r="D610" s="25"/>
      <c r="E610" s="25"/>
    </row>
    <row r="611" ht="12.75" customHeight="1">
      <c r="C611" s="25"/>
      <c r="D611" s="25"/>
      <c r="E611" s="25"/>
    </row>
    <row r="612" ht="12.75" customHeight="1">
      <c r="C612" s="25"/>
      <c r="D612" s="25"/>
      <c r="E612" s="25"/>
    </row>
    <row r="613" ht="12.75" customHeight="1">
      <c r="C613" s="25"/>
      <c r="D613" s="25"/>
      <c r="E613" s="25"/>
    </row>
    <row r="614" ht="12.75" customHeight="1">
      <c r="C614" s="25"/>
      <c r="D614" s="25"/>
      <c r="E614" s="25"/>
    </row>
    <row r="615" ht="12.75" customHeight="1">
      <c r="C615" s="25"/>
      <c r="D615" s="25"/>
      <c r="E615" s="25"/>
    </row>
    <row r="616" ht="12.75" customHeight="1">
      <c r="C616" s="25"/>
      <c r="D616" s="25"/>
      <c r="E616" s="25"/>
    </row>
    <row r="617" ht="12.75" customHeight="1">
      <c r="C617" s="25"/>
      <c r="D617" s="25"/>
      <c r="E617" s="25"/>
    </row>
    <row r="618" ht="12.75" customHeight="1">
      <c r="C618" s="25"/>
      <c r="D618" s="25"/>
      <c r="E618" s="25"/>
    </row>
    <row r="619" ht="12.75" customHeight="1">
      <c r="C619" s="25"/>
      <c r="D619" s="25"/>
      <c r="E619" s="25"/>
    </row>
    <row r="620" ht="12.75" customHeight="1">
      <c r="C620" s="25"/>
      <c r="D620" s="25"/>
      <c r="E620" s="25"/>
    </row>
    <row r="621" ht="12.75" customHeight="1">
      <c r="C621" s="25"/>
      <c r="D621" s="25"/>
      <c r="E621" s="25"/>
    </row>
    <row r="622" ht="12.75" customHeight="1">
      <c r="C622" s="25"/>
      <c r="D622" s="25"/>
      <c r="E622" s="25"/>
    </row>
    <row r="623" ht="12.75" customHeight="1">
      <c r="C623" s="25"/>
      <c r="D623" s="25"/>
      <c r="E623" s="25"/>
    </row>
    <row r="624" ht="12.75" customHeight="1">
      <c r="C624" s="25"/>
      <c r="D624" s="25"/>
      <c r="E624" s="25"/>
    </row>
    <row r="625" ht="12.75" customHeight="1">
      <c r="C625" s="25"/>
      <c r="D625" s="25"/>
      <c r="E625" s="25"/>
    </row>
    <row r="626" ht="12.75" customHeight="1">
      <c r="C626" s="25"/>
      <c r="D626" s="25"/>
      <c r="E626" s="25"/>
    </row>
    <row r="627" ht="12.75" customHeight="1">
      <c r="C627" s="25"/>
      <c r="D627" s="25"/>
      <c r="E627" s="25"/>
    </row>
    <row r="628" ht="12.75" customHeight="1">
      <c r="C628" s="25"/>
      <c r="D628" s="25"/>
      <c r="E628" s="25"/>
    </row>
    <row r="629" ht="12.75" customHeight="1">
      <c r="C629" s="25"/>
      <c r="D629" s="25"/>
      <c r="E629" s="25"/>
    </row>
    <row r="630" ht="12.75" customHeight="1">
      <c r="C630" s="25"/>
      <c r="D630" s="25"/>
      <c r="E630" s="25"/>
    </row>
    <row r="631" ht="12.75" customHeight="1">
      <c r="C631" s="25"/>
      <c r="D631" s="25"/>
      <c r="E631" s="25"/>
    </row>
    <row r="632" ht="12.75" customHeight="1">
      <c r="C632" s="25"/>
      <c r="D632" s="25"/>
      <c r="E632" s="25"/>
    </row>
    <row r="633" ht="12.75" customHeight="1">
      <c r="C633" s="25"/>
      <c r="D633" s="25"/>
      <c r="E633" s="25"/>
    </row>
    <row r="634" ht="12.75" customHeight="1">
      <c r="C634" s="25"/>
      <c r="D634" s="25"/>
      <c r="E634" s="25"/>
    </row>
    <row r="635" ht="12.75" customHeight="1">
      <c r="C635" s="25"/>
      <c r="D635" s="25"/>
      <c r="E635" s="25"/>
    </row>
    <row r="636" ht="12.75" customHeight="1">
      <c r="C636" s="25"/>
      <c r="D636" s="25"/>
      <c r="E636" s="25"/>
    </row>
    <row r="637" ht="12.75" customHeight="1">
      <c r="C637" s="25"/>
      <c r="D637" s="25"/>
      <c r="E637" s="25"/>
    </row>
    <row r="638" ht="12.75" customHeight="1">
      <c r="C638" s="25"/>
      <c r="D638" s="25"/>
      <c r="E638" s="25"/>
    </row>
    <row r="639" ht="12.75" customHeight="1">
      <c r="C639" s="25"/>
      <c r="D639" s="25"/>
      <c r="E639" s="25"/>
    </row>
    <row r="640" ht="12.75" customHeight="1">
      <c r="C640" s="25"/>
      <c r="D640" s="25"/>
      <c r="E640" s="25"/>
    </row>
    <row r="641" ht="12.75" customHeight="1">
      <c r="C641" s="25"/>
      <c r="D641" s="25"/>
      <c r="E641" s="25"/>
    </row>
    <row r="642" ht="12.75" customHeight="1">
      <c r="C642" s="25"/>
      <c r="D642" s="25"/>
      <c r="E642" s="25"/>
    </row>
    <row r="643" ht="12.75" customHeight="1">
      <c r="C643" s="25"/>
      <c r="D643" s="25"/>
      <c r="E643" s="25"/>
    </row>
    <row r="644" ht="12.75" customHeight="1">
      <c r="C644" s="25"/>
      <c r="D644" s="25"/>
      <c r="E644" s="25"/>
    </row>
    <row r="645" ht="12.75" customHeight="1">
      <c r="C645" s="25"/>
      <c r="D645" s="25"/>
      <c r="E645" s="25"/>
    </row>
    <row r="646" ht="12.75" customHeight="1">
      <c r="C646" s="25"/>
      <c r="D646" s="25"/>
      <c r="E646" s="25"/>
    </row>
    <row r="647" ht="12.75" customHeight="1">
      <c r="C647" s="25"/>
      <c r="D647" s="25"/>
      <c r="E647" s="25"/>
    </row>
    <row r="648" ht="12.75" customHeight="1">
      <c r="C648" s="25"/>
      <c r="D648" s="25"/>
      <c r="E648" s="25"/>
    </row>
    <row r="649" ht="12.75" customHeight="1">
      <c r="C649" s="25"/>
      <c r="D649" s="25"/>
      <c r="E649" s="25"/>
    </row>
    <row r="650" ht="12.75" customHeight="1">
      <c r="C650" s="25"/>
      <c r="D650" s="25"/>
      <c r="E650" s="25"/>
    </row>
    <row r="651" ht="12.75" customHeight="1">
      <c r="C651" s="25"/>
      <c r="D651" s="25"/>
      <c r="E651" s="25"/>
    </row>
    <row r="652" ht="12.75" customHeight="1">
      <c r="C652" s="25"/>
      <c r="D652" s="25"/>
      <c r="E652" s="25"/>
    </row>
    <row r="653" ht="12.75" customHeight="1">
      <c r="C653" s="25"/>
      <c r="D653" s="25"/>
      <c r="E653" s="25"/>
    </row>
    <row r="654" ht="12.75" customHeight="1">
      <c r="C654" s="25"/>
      <c r="D654" s="25"/>
      <c r="E654" s="25"/>
    </row>
    <row r="655" ht="12.75" customHeight="1">
      <c r="C655" s="25"/>
      <c r="D655" s="25"/>
      <c r="E655" s="25"/>
    </row>
    <row r="656" ht="12.75" customHeight="1">
      <c r="C656" s="25"/>
      <c r="D656" s="25"/>
      <c r="E656" s="25"/>
    </row>
    <row r="657" ht="12.75" customHeight="1">
      <c r="C657" s="25"/>
      <c r="D657" s="25"/>
      <c r="E657" s="25"/>
    </row>
    <row r="658" ht="12.75" customHeight="1">
      <c r="C658" s="25"/>
      <c r="D658" s="25"/>
      <c r="E658" s="25"/>
    </row>
    <row r="659" ht="12.75" customHeight="1">
      <c r="C659" s="25"/>
      <c r="D659" s="25"/>
      <c r="E659" s="25"/>
    </row>
    <row r="660" ht="12.75" customHeight="1">
      <c r="C660" s="25"/>
      <c r="D660" s="25"/>
      <c r="E660" s="25"/>
    </row>
    <row r="661" ht="12.75" customHeight="1">
      <c r="C661" s="25"/>
      <c r="D661" s="25"/>
      <c r="E661" s="25"/>
    </row>
    <row r="662" ht="12.75" customHeight="1">
      <c r="C662" s="25"/>
      <c r="D662" s="25"/>
      <c r="E662" s="25"/>
    </row>
    <row r="663" ht="12.75" customHeight="1">
      <c r="C663" s="25"/>
      <c r="D663" s="25"/>
      <c r="E663" s="25"/>
    </row>
    <row r="664" ht="12.75" customHeight="1">
      <c r="C664" s="25"/>
      <c r="D664" s="25"/>
      <c r="E664" s="25"/>
    </row>
    <row r="665" ht="12.75" customHeight="1">
      <c r="C665" s="25"/>
      <c r="D665" s="25"/>
      <c r="E665" s="25"/>
    </row>
    <row r="666" ht="12.75" customHeight="1">
      <c r="C666" s="25"/>
      <c r="D666" s="25"/>
      <c r="E666" s="25"/>
    </row>
    <row r="667" ht="12.75" customHeight="1">
      <c r="C667" s="25"/>
      <c r="D667" s="25"/>
      <c r="E667" s="25"/>
    </row>
    <row r="668" ht="12.75" customHeight="1">
      <c r="C668" s="25"/>
      <c r="D668" s="25"/>
      <c r="E668" s="25"/>
    </row>
    <row r="669" ht="12.75" customHeight="1">
      <c r="C669" s="25"/>
      <c r="D669" s="25"/>
      <c r="E669" s="25"/>
    </row>
    <row r="670" ht="12.75" customHeight="1">
      <c r="C670" s="25"/>
      <c r="D670" s="25"/>
      <c r="E670" s="25"/>
    </row>
    <row r="671" ht="12.75" customHeight="1">
      <c r="C671" s="25"/>
      <c r="D671" s="25"/>
      <c r="E671" s="25"/>
    </row>
    <row r="672" ht="12.75" customHeight="1">
      <c r="C672" s="25"/>
      <c r="D672" s="25"/>
      <c r="E672" s="25"/>
    </row>
    <row r="673" ht="12.75" customHeight="1">
      <c r="C673" s="25"/>
      <c r="D673" s="25"/>
      <c r="E673" s="25"/>
    </row>
    <row r="674" ht="12.75" customHeight="1">
      <c r="C674" s="25"/>
      <c r="D674" s="25"/>
      <c r="E674" s="25"/>
    </row>
    <row r="675" ht="12.75" customHeight="1">
      <c r="C675" s="25"/>
      <c r="D675" s="25"/>
      <c r="E675" s="25"/>
    </row>
    <row r="676" ht="12.75" customHeight="1">
      <c r="C676" s="25"/>
      <c r="D676" s="25"/>
      <c r="E676" s="25"/>
    </row>
    <row r="677" ht="12.75" customHeight="1">
      <c r="C677" s="25"/>
      <c r="D677" s="25"/>
      <c r="E677" s="25"/>
    </row>
    <row r="678" ht="12.75" customHeight="1">
      <c r="C678" s="25"/>
      <c r="D678" s="25"/>
      <c r="E678" s="25"/>
    </row>
    <row r="679" ht="12.75" customHeight="1">
      <c r="C679" s="25"/>
      <c r="D679" s="25"/>
      <c r="E679" s="25"/>
    </row>
    <row r="680" ht="12.75" customHeight="1">
      <c r="C680" s="25"/>
      <c r="D680" s="25"/>
      <c r="E680" s="25"/>
    </row>
    <row r="681" ht="12.75" customHeight="1">
      <c r="C681" s="25"/>
      <c r="D681" s="25"/>
      <c r="E681" s="25"/>
    </row>
    <row r="682" ht="12.75" customHeight="1">
      <c r="C682" s="25"/>
      <c r="D682" s="25"/>
      <c r="E682" s="25"/>
    </row>
    <row r="683" ht="12.75" customHeight="1">
      <c r="C683" s="25"/>
      <c r="D683" s="25"/>
      <c r="E683" s="25"/>
    </row>
    <row r="684" ht="12.75" customHeight="1">
      <c r="C684" s="25"/>
      <c r="D684" s="25"/>
      <c r="E684" s="25"/>
    </row>
    <row r="685" ht="12.75" customHeight="1">
      <c r="C685" s="25"/>
      <c r="D685" s="25"/>
      <c r="E685" s="25"/>
    </row>
    <row r="686" ht="12.75" customHeight="1">
      <c r="C686" s="25"/>
      <c r="D686" s="25"/>
      <c r="E686" s="25"/>
    </row>
    <row r="687" ht="12.75" customHeight="1">
      <c r="C687" s="25"/>
      <c r="D687" s="25"/>
      <c r="E687" s="25"/>
    </row>
    <row r="688" ht="12.75" customHeight="1">
      <c r="C688" s="25"/>
      <c r="D688" s="25"/>
      <c r="E688" s="25"/>
    </row>
    <row r="689" ht="12.75" customHeight="1">
      <c r="C689" s="25"/>
      <c r="D689" s="25"/>
      <c r="E689" s="25"/>
    </row>
    <row r="690" ht="12.75" customHeight="1">
      <c r="C690" s="25"/>
      <c r="D690" s="25"/>
      <c r="E690" s="25"/>
    </row>
    <row r="691" ht="12.75" customHeight="1">
      <c r="C691" s="25"/>
      <c r="D691" s="25"/>
      <c r="E691" s="25"/>
    </row>
    <row r="692" ht="12.75" customHeight="1">
      <c r="C692" s="25"/>
      <c r="D692" s="25"/>
      <c r="E692" s="25"/>
    </row>
    <row r="693" ht="12.75" customHeight="1">
      <c r="C693" s="25"/>
      <c r="D693" s="25"/>
      <c r="E693" s="25"/>
    </row>
    <row r="694" ht="12.75" customHeight="1">
      <c r="C694" s="25"/>
      <c r="D694" s="25"/>
      <c r="E694" s="25"/>
    </row>
    <row r="695" ht="12.75" customHeight="1">
      <c r="C695" s="25"/>
      <c r="D695" s="25"/>
      <c r="E695" s="25"/>
    </row>
    <row r="696" ht="12.75" customHeight="1">
      <c r="C696" s="25"/>
      <c r="D696" s="25"/>
      <c r="E696" s="25"/>
    </row>
    <row r="697" ht="12.75" customHeight="1">
      <c r="C697" s="25"/>
      <c r="D697" s="25"/>
      <c r="E697" s="25"/>
    </row>
    <row r="698" ht="12.75" customHeight="1">
      <c r="C698" s="25"/>
      <c r="D698" s="25"/>
      <c r="E698" s="25"/>
    </row>
    <row r="699" ht="12.75" customHeight="1">
      <c r="C699" s="25"/>
      <c r="D699" s="25"/>
      <c r="E699" s="25"/>
    </row>
    <row r="700" ht="12.75" customHeight="1">
      <c r="C700" s="25"/>
      <c r="D700" s="25"/>
      <c r="E700" s="25"/>
    </row>
    <row r="701" ht="12.75" customHeight="1">
      <c r="C701" s="25"/>
      <c r="D701" s="25"/>
      <c r="E701" s="25"/>
    </row>
    <row r="702" ht="12.75" customHeight="1">
      <c r="C702" s="25"/>
      <c r="D702" s="25"/>
      <c r="E702" s="25"/>
    </row>
    <row r="703" ht="12.75" customHeight="1">
      <c r="C703" s="25"/>
      <c r="D703" s="25"/>
      <c r="E703" s="25"/>
    </row>
    <row r="704" ht="12.75" customHeight="1">
      <c r="C704" s="25"/>
      <c r="D704" s="25"/>
      <c r="E704" s="25"/>
    </row>
    <row r="705" ht="12.75" customHeight="1">
      <c r="C705" s="25"/>
      <c r="D705" s="25"/>
      <c r="E705" s="25"/>
    </row>
    <row r="706" ht="12.75" customHeight="1">
      <c r="C706" s="25"/>
      <c r="D706" s="25"/>
      <c r="E706" s="25"/>
    </row>
    <row r="707" ht="12.75" customHeight="1">
      <c r="C707" s="25"/>
      <c r="D707" s="25"/>
      <c r="E707" s="25"/>
    </row>
    <row r="708" ht="12.75" customHeight="1">
      <c r="C708" s="25"/>
      <c r="D708" s="25"/>
      <c r="E708" s="25"/>
    </row>
    <row r="709" ht="12.75" customHeight="1">
      <c r="C709" s="25"/>
      <c r="D709" s="25"/>
      <c r="E709" s="25"/>
    </row>
    <row r="710" ht="12.75" customHeight="1">
      <c r="C710" s="25"/>
      <c r="D710" s="25"/>
      <c r="E710" s="25"/>
    </row>
    <row r="711" ht="12.75" customHeight="1">
      <c r="C711" s="25"/>
      <c r="D711" s="25"/>
      <c r="E711" s="25"/>
    </row>
    <row r="712" ht="12.75" customHeight="1">
      <c r="C712" s="25"/>
      <c r="D712" s="25"/>
      <c r="E712" s="25"/>
    </row>
    <row r="713" ht="12.75" customHeight="1">
      <c r="C713" s="25"/>
      <c r="D713" s="25"/>
      <c r="E713" s="25"/>
    </row>
    <row r="714" ht="12.75" customHeight="1">
      <c r="C714" s="25"/>
      <c r="D714" s="25"/>
      <c r="E714" s="25"/>
    </row>
    <row r="715" ht="12.75" customHeight="1">
      <c r="C715" s="25"/>
      <c r="D715" s="25"/>
      <c r="E715" s="25"/>
    </row>
    <row r="716" ht="12.75" customHeight="1">
      <c r="C716" s="25"/>
      <c r="D716" s="25"/>
      <c r="E716" s="25"/>
    </row>
    <row r="717" ht="12.75" customHeight="1">
      <c r="C717" s="25"/>
      <c r="D717" s="25"/>
      <c r="E717" s="25"/>
    </row>
    <row r="718" ht="12.75" customHeight="1">
      <c r="C718" s="25"/>
      <c r="D718" s="25"/>
      <c r="E718" s="25"/>
    </row>
    <row r="719" ht="12.75" customHeight="1">
      <c r="C719" s="25"/>
      <c r="D719" s="25"/>
      <c r="E719" s="25"/>
    </row>
    <row r="720" ht="12.75" customHeight="1">
      <c r="C720" s="25"/>
      <c r="D720" s="25"/>
      <c r="E720" s="25"/>
    </row>
    <row r="721" ht="12.75" customHeight="1">
      <c r="C721" s="25"/>
      <c r="D721" s="25"/>
      <c r="E721" s="25"/>
    </row>
    <row r="722" ht="12.75" customHeight="1">
      <c r="C722" s="25"/>
      <c r="D722" s="25"/>
      <c r="E722" s="25"/>
    </row>
    <row r="723" ht="12.75" customHeight="1">
      <c r="C723" s="25"/>
      <c r="D723" s="25"/>
      <c r="E723" s="25"/>
    </row>
    <row r="724" ht="12.75" customHeight="1">
      <c r="C724" s="25"/>
      <c r="D724" s="25"/>
      <c r="E724" s="25"/>
    </row>
    <row r="725" ht="12.75" customHeight="1">
      <c r="C725" s="25"/>
      <c r="D725" s="25"/>
      <c r="E725" s="25"/>
    </row>
    <row r="726" ht="12.75" customHeight="1">
      <c r="C726" s="25"/>
      <c r="D726" s="25"/>
      <c r="E726" s="25"/>
    </row>
    <row r="727" ht="12.75" customHeight="1">
      <c r="C727" s="25"/>
      <c r="D727" s="25"/>
      <c r="E727" s="25"/>
    </row>
    <row r="728" ht="12.75" customHeight="1">
      <c r="C728" s="25"/>
      <c r="D728" s="25"/>
      <c r="E728" s="25"/>
    </row>
    <row r="729" ht="12.75" customHeight="1">
      <c r="C729" s="25"/>
      <c r="D729" s="25"/>
      <c r="E729" s="25"/>
    </row>
    <row r="730" ht="12.75" customHeight="1">
      <c r="C730" s="25"/>
      <c r="D730" s="25"/>
      <c r="E730" s="25"/>
    </row>
    <row r="731" ht="12.75" customHeight="1">
      <c r="C731" s="25"/>
      <c r="D731" s="25"/>
      <c r="E731" s="25"/>
    </row>
    <row r="732" ht="12.75" customHeight="1">
      <c r="C732" s="25"/>
      <c r="D732" s="25"/>
      <c r="E732" s="25"/>
    </row>
    <row r="733" ht="12.75" customHeight="1">
      <c r="C733" s="25"/>
      <c r="D733" s="25"/>
      <c r="E733" s="25"/>
    </row>
    <row r="734" ht="12.75" customHeight="1">
      <c r="C734" s="25"/>
      <c r="D734" s="25"/>
      <c r="E734" s="25"/>
    </row>
    <row r="735" ht="12.75" customHeight="1">
      <c r="C735" s="25"/>
      <c r="D735" s="25"/>
      <c r="E735" s="25"/>
    </row>
    <row r="736" ht="12.75" customHeight="1">
      <c r="C736" s="25"/>
      <c r="D736" s="25"/>
      <c r="E736" s="25"/>
    </row>
    <row r="737" ht="12.75" customHeight="1">
      <c r="C737" s="25"/>
      <c r="D737" s="25"/>
      <c r="E737" s="25"/>
    </row>
    <row r="738" ht="12.75" customHeight="1">
      <c r="C738" s="25"/>
      <c r="D738" s="25"/>
      <c r="E738" s="25"/>
    </row>
    <row r="739" ht="12.75" customHeight="1">
      <c r="C739" s="25"/>
      <c r="D739" s="25"/>
      <c r="E739" s="25"/>
    </row>
    <row r="740" ht="12.75" customHeight="1">
      <c r="C740" s="25"/>
      <c r="D740" s="25"/>
      <c r="E740" s="25"/>
    </row>
    <row r="741" ht="12.75" customHeight="1">
      <c r="C741" s="25"/>
      <c r="D741" s="25"/>
      <c r="E741" s="25"/>
    </row>
    <row r="742" ht="12.75" customHeight="1">
      <c r="C742" s="25"/>
      <c r="D742" s="25"/>
      <c r="E742" s="25"/>
    </row>
    <row r="743" ht="12.75" customHeight="1">
      <c r="C743" s="25"/>
      <c r="D743" s="25"/>
      <c r="E743" s="25"/>
    </row>
    <row r="744" ht="12.75" customHeight="1">
      <c r="C744" s="25"/>
      <c r="D744" s="25"/>
      <c r="E744" s="25"/>
    </row>
    <row r="745" ht="12.75" customHeight="1">
      <c r="C745" s="25"/>
      <c r="D745" s="25"/>
      <c r="E745" s="25"/>
    </row>
    <row r="746" ht="12.75" customHeight="1">
      <c r="C746" s="25"/>
      <c r="D746" s="25"/>
      <c r="E746" s="25"/>
    </row>
    <row r="747" ht="12.75" customHeight="1">
      <c r="C747" s="25"/>
      <c r="D747" s="25"/>
      <c r="E747" s="25"/>
    </row>
    <row r="748" ht="12.75" customHeight="1">
      <c r="C748" s="25"/>
      <c r="D748" s="25"/>
      <c r="E748" s="25"/>
    </row>
    <row r="749" ht="12.75" customHeight="1">
      <c r="C749" s="25"/>
      <c r="D749" s="25"/>
      <c r="E749" s="25"/>
    </row>
    <row r="750" ht="12.75" customHeight="1">
      <c r="C750" s="25"/>
      <c r="D750" s="25"/>
      <c r="E750" s="25"/>
    </row>
    <row r="751" ht="12.75" customHeight="1">
      <c r="C751" s="25"/>
      <c r="D751" s="25"/>
      <c r="E751" s="25"/>
    </row>
    <row r="752" ht="12.75" customHeight="1">
      <c r="C752" s="25"/>
      <c r="D752" s="25"/>
      <c r="E752" s="25"/>
    </row>
    <row r="753" ht="12.75" customHeight="1">
      <c r="C753" s="25"/>
      <c r="D753" s="25"/>
      <c r="E753" s="25"/>
    </row>
    <row r="754" ht="12.75" customHeight="1">
      <c r="C754" s="25"/>
      <c r="D754" s="25"/>
      <c r="E754" s="25"/>
    </row>
    <row r="755" ht="12.75" customHeight="1">
      <c r="C755" s="25"/>
      <c r="D755" s="25"/>
      <c r="E755" s="25"/>
    </row>
    <row r="756" ht="12.75" customHeight="1">
      <c r="C756" s="25"/>
      <c r="D756" s="25"/>
      <c r="E756" s="25"/>
    </row>
    <row r="757" ht="12.75" customHeight="1">
      <c r="C757" s="25"/>
      <c r="D757" s="25"/>
      <c r="E757" s="25"/>
    </row>
    <row r="758" ht="12.75" customHeight="1">
      <c r="C758" s="25"/>
      <c r="D758" s="25"/>
      <c r="E758" s="25"/>
    </row>
    <row r="759" ht="12.75" customHeight="1">
      <c r="C759" s="25"/>
      <c r="D759" s="25"/>
      <c r="E759" s="25"/>
    </row>
    <row r="760" ht="12.75" customHeight="1">
      <c r="C760" s="25"/>
      <c r="D760" s="25"/>
      <c r="E760" s="25"/>
    </row>
    <row r="761" ht="12.75" customHeight="1">
      <c r="C761" s="25"/>
      <c r="D761" s="25"/>
      <c r="E761" s="25"/>
    </row>
    <row r="762" ht="12.75" customHeight="1">
      <c r="C762" s="25"/>
      <c r="D762" s="25"/>
      <c r="E762" s="25"/>
    </row>
    <row r="763" ht="12.75" customHeight="1">
      <c r="C763" s="25"/>
      <c r="D763" s="25"/>
      <c r="E763" s="25"/>
    </row>
    <row r="764" ht="12.75" customHeight="1">
      <c r="C764" s="25"/>
      <c r="D764" s="25"/>
      <c r="E764" s="25"/>
    </row>
    <row r="765" ht="12.75" customHeight="1">
      <c r="C765" s="25"/>
      <c r="D765" s="25"/>
      <c r="E765" s="25"/>
    </row>
    <row r="766" ht="12.75" customHeight="1">
      <c r="C766" s="25"/>
      <c r="D766" s="25"/>
      <c r="E766" s="25"/>
    </row>
    <row r="767" ht="12.75" customHeight="1">
      <c r="C767" s="25"/>
      <c r="D767" s="25"/>
      <c r="E767" s="25"/>
    </row>
    <row r="768" ht="12.75" customHeight="1">
      <c r="C768" s="25"/>
      <c r="D768" s="25"/>
      <c r="E768" s="25"/>
    </row>
    <row r="769" ht="12.75" customHeight="1">
      <c r="C769" s="25"/>
      <c r="D769" s="25"/>
      <c r="E769" s="25"/>
    </row>
    <row r="770" ht="12.75" customHeight="1">
      <c r="C770" s="25"/>
      <c r="D770" s="25"/>
      <c r="E770" s="25"/>
    </row>
    <row r="771" ht="12.75" customHeight="1">
      <c r="C771" s="25"/>
      <c r="D771" s="25"/>
      <c r="E771" s="25"/>
    </row>
    <row r="772" ht="12.75" customHeight="1">
      <c r="C772" s="25"/>
      <c r="D772" s="25"/>
      <c r="E772" s="25"/>
    </row>
    <row r="773" ht="12.75" customHeight="1">
      <c r="C773" s="25"/>
      <c r="D773" s="25"/>
      <c r="E773" s="25"/>
    </row>
    <row r="774" ht="12.75" customHeight="1">
      <c r="C774" s="25"/>
      <c r="D774" s="25"/>
      <c r="E774" s="25"/>
    </row>
    <row r="775" ht="12.75" customHeight="1">
      <c r="C775" s="25"/>
      <c r="D775" s="25"/>
      <c r="E775" s="25"/>
    </row>
    <row r="776" ht="12.75" customHeight="1">
      <c r="C776" s="25"/>
      <c r="D776" s="25"/>
      <c r="E776" s="25"/>
    </row>
    <row r="777" ht="12.75" customHeight="1">
      <c r="C777" s="25"/>
      <c r="D777" s="25"/>
      <c r="E777" s="25"/>
    </row>
    <row r="778" ht="12.75" customHeight="1">
      <c r="C778" s="25"/>
      <c r="D778" s="25"/>
      <c r="E778" s="25"/>
    </row>
    <row r="779" ht="12.75" customHeight="1">
      <c r="C779" s="25"/>
      <c r="D779" s="25"/>
      <c r="E779" s="25"/>
    </row>
    <row r="780" ht="12.75" customHeight="1">
      <c r="C780" s="25"/>
      <c r="D780" s="25"/>
      <c r="E780" s="25"/>
    </row>
    <row r="781" ht="12.75" customHeight="1">
      <c r="C781" s="25"/>
      <c r="D781" s="25"/>
      <c r="E781" s="25"/>
    </row>
    <row r="782" ht="12.75" customHeight="1">
      <c r="C782" s="25"/>
      <c r="D782" s="25"/>
      <c r="E782" s="25"/>
    </row>
    <row r="783" ht="12.75" customHeight="1">
      <c r="C783" s="25"/>
      <c r="D783" s="25"/>
      <c r="E783" s="25"/>
    </row>
    <row r="784" ht="12.75" customHeight="1">
      <c r="C784" s="25"/>
      <c r="D784" s="25"/>
      <c r="E784" s="25"/>
    </row>
    <row r="785" ht="12.75" customHeight="1">
      <c r="C785" s="25"/>
      <c r="D785" s="25"/>
      <c r="E785" s="25"/>
    </row>
    <row r="786" ht="12.75" customHeight="1">
      <c r="C786" s="25"/>
      <c r="D786" s="25"/>
      <c r="E786" s="25"/>
    </row>
    <row r="787" ht="12.75" customHeight="1">
      <c r="C787" s="25"/>
      <c r="D787" s="25"/>
      <c r="E787" s="25"/>
    </row>
    <row r="788" ht="12.75" customHeight="1">
      <c r="C788" s="25"/>
      <c r="D788" s="25"/>
      <c r="E788" s="25"/>
    </row>
    <row r="789" ht="12.75" customHeight="1">
      <c r="C789" s="25"/>
      <c r="D789" s="25"/>
      <c r="E789" s="25"/>
    </row>
    <row r="790" ht="12.75" customHeight="1">
      <c r="C790" s="25"/>
      <c r="D790" s="25"/>
      <c r="E790" s="25"/>
    </row>
    <row r="791" ht="12.75" customHeight="1">
      <c r="C791" s="25"/>
      <c r="D791" s="25"/>
      <c r="E791" s="25"/>
    </row>
    <row r="792" ht="12.75" customHeight="1">
      <c r="C792" s="25"/>
      <c r="D792" s="25"/>
      <c r="E792" s="25"/>
    </row>
    <row r="793" ht="12.75" customHeight="1">
      <c r="C793" s="25"/>
      <c r="D793" s="25"/>
      <c r="E793" s="25"/>
    </row>
    <row r="794" ht="12.75" customHeight="1">
      <c r="C794" s="25"/>
      <c r="D794" s="25"/>
      <c r="E794" s="25"/>
    </row>
    <row r="795" ht="12.75" customHeight="1">
      <c r="C795" s="25"/>
      <c r="D795" s="25"/>
      <c r="E795" s="25"/>
    </row>
    <row r="796" ht="12.75" customHeight="1">
      <c r="C796" s="25"/>
      <c r="D796" s="25"/>
      <c r="E796" s="25"/>
    </row>
    <row r="797" ht="12.75" customHeight="1">
      <c r="C797" s="25"/>
      <c r="D797" s="25"/>
      <c r="E797" s="25"/>
    </row>
    <row r="798" ht="12.75" customHeight="1">
      <c r="C798" s="25"/>
      <c r="D798" s="25"/>
      <c r="E798" s="25"/>
    </row>
    <row r="799" ht="12.75" customHeight="1">
      <c r="C799" s="25"/>
      <c r="D799" s="25"/>
      <c r="E799" s="25"/>
    </row>
    <row r="800" ht="12.75" customHeight="1">
      <c r="C800" s="25"/>
      <c r="D800" s="25"/>
      <c r="E800" s="25"/>
    </row>
    <row r="801" ht="12.75" customHeight="1">
      <c r="C801" s="25"/>
      <c r="D801" s="25"/>
      <c r="E801" s="25"/>
    </row>
    <row r="802" ht="12.75" customHeight="1">
      <c r="C802" s="25"/>
      <c r="D802" s="25"/>
      <c r="E802" s="25"/>
    </row>
    <row r="803" ht="12.75" customHeight="1">
      <c r="C803" s="25"/>
      <c r="D803" s="25"/>
      <c r="E803" s="25"/>
    </row>
    <row r="804" ht="12.75" customHeight="1">
      <c r="C804" s="25"/>
      <c r="D804" s="25"/>
      <c r="E804" s="25"/>
    </row>
    <row r="805" ht="12.75" customHeight="1">
      <c r="C805" s="25"/>
      <c r="D805" s="25"/>
      <c r="E805" s="25"/>
    </row>
    <row r="806" ht="12.75" customHeight="1">
      <c r="C806" s="25"/>
      <c r="D806" s="25"/>
      <c r="E806" s="25"/>
    </row>
    <row r="807" ht="12.75" customHeight="1">
      <c r="C807" s="25"/>
      <c r="D807" s="25"/>
      <c r="E807" s="25"/>
    </row>
    <row r="808" ht="12.75" customHeight="1">
      <c r="C808" s="25"/>
      <c r="D808" s="25"/>
      <c r="E808" s="25"/>
    </row>
    <row r="809" ht="12.75" customHeight="1">
      <c r="C809" s="25"/>
      <c r="D809" s="25"/>
      <c r="E809" s="25"/>
    </row>
    <row r="810" ht="12.75" customHeight="1">
      <c r="C810" s="25"/>
      <c r="D810" s="25"/>
      <c r="E810" s="25"/>
    </row>
    <row r="811" ht="12.75" customHeight="1">
      <c r="C811" s="25"/>
      <c r="D811" s="25"/>
      <c r="E811" s="25"/>
    </row>
    <row r="812" ht="12.75" customHeight="1">
      <c r="C812" s="25"/>
      <c r="D812" s="25"/>
      <c r="E812" s="25"/>
    </row>
    <row r="813" ht="12.75" customHeight="1">
      <c r="C813" s="25"/>
      <c r="D813" s="25"/>
      <c r="E813" s="25"/>
    </row>
    <row r="814" ht="12.75" customHeight="1">
      <c r="C814" s="25"/>
      <c r="D814" s="25"/>
      <c r="E814" s="25"/>
    </row>
    <row r="815" ht="12.75" customHeight="1">
      <c r="C815" s="25"/>
      <c r="D815" s="25"/>
      <c r="E815" s="25"/>
    </row>
    <row r="816" ht="12.75" customHeight="1">
      <c r="C816" s="25"/>
      <c r="D816" s="25"/>
      <c r="E816" s="25"/>
    </row>
    <row r="817" ht="12.75" customHeight="1">
      <c r="C817" s="25"/>
      <c r="D817" s="25"/>
      <c r="E817" s="25"/>
    </row>
    <row r="818" ht="12.75" customHeight="1">
      <c r="C818" s="25"/>
      <c r="D818" s="25"/>
      <c r="E818" s="25"/>
    </row>
    <row r="819" ht="12.75" customHeight="1">
      <c r="C819" s="25"/>
      <c r="D819" s="25"/>
      <c r="E819" s="25"/>
    </row>
    <row r="820" ht="12.75" customHeight="1">
      <c r="C820" s="25"/>
      <c r="D820" s="25"/>
      <c r="E820" s="25"/>
    </row>
    <row r="821" ht="12.75" customHeight="1">
      <c r="C821" s="25"/>
      <c r="D821" s="25"/>
      <c r="E821" s="25"/>
    </row>
    <row r="822" ht="12.75" customHeight="1">
      <c r="C822" s="25"/>
      <c r="D822" s="25"/>
      <c r="E822" s="25"/>
    </row>
    <row r="823" ht="12.75" customHeight="1">
      <c r="C823" s="25"/>
      <c r="D823" s="25"/>
      <c r="E823" s="25"/>
    </row>
    <row r="824" ht="12.75" customHeight="1">
      <c r="C824" s="25"/>
      <c r="D824" s="25"/>
      <c r="E824" s="25"/>
    </row>
    <row r="825" ht="12.75" customHeight="1">
      <c r="C825" s="25"/>
      <c r="D825" s="25"/>
      <c r="E825" s="25"/>
    </row>
    <row r="826" ht="12.75" customHeight="1">
      <c r="C826" s="25"/>
      <c r="D826" s="25"/>
      <c r="E826" s="25"/>
    </row>
    <row r="827" ht="12.75" customHeight="1">
      <c r="C827" s="25"/>
      <c r="D827" s="25"/>
      <c r="E827" s="25"/>
    </row>
    <row r="828" ht="12.75" customHeight="1">
      <c r="C828" s="25"/>
      <c r="D828" s="25"/>
      <c r="E828" s="25"/>
    </row>
    <row r="829" ht="12.75" customHeight="1">
      <c r="C829" s="25"/>
      <c r="D829" s="25"/>
      <c r="E829" s="25"/>
    </row>
    <row r="830" ht="12.75" customHeight="1">
      <c r="C830" s="25"/>
      <c r="D830" s="25"/>
      <c r="E830" s="25"/>
    </row>
    <row r="831" ht="12.75" customHeight="1">
      <c r="C831" s="25"/>
      <c r="D831" s="25"/>
      <c r="E831" s="25"/>
    </row>
    <row r="832" ht="12.75" customHeight="1">
      <c r="C832" s="25"/>
      <c r="D832" s="25"/>
      <c r="E832" s="25"/>
    </row>
    <row r="833" ht="12.75" customHeight="1">
      <c r="C833" s="25"/>
      <c r="D833" s="25"/>
      <c r="E833" s="25"/>
    </row>
    <row r="834" ht="12.75" customHeight="1">
      <c r="C834" s="25"/>
      <c r="D834" s="25"/>
      <c r="E834" s="25"/>
    </row>
    <row r="835" ht="12.75" customHeight="1">
      <c r="C835" s="25"/>
      <c r="D835" s="25"/>
      <c r="E835" s="25"/>
    </row>
    <row r="836" ht="12.75" customHeight="1">
      <c r="C836" s="25"/>
      <c r="D836" s="25"/>
      <c r="E836" s="25"/>
    </row>
    <row r="837" ht="12.75" customHeight="1">
      <c r="C837" s="25"/>
      <c r="D837" s="25"/>
      <c r="E837" s="25"/>
    </row>
    <row r="838" ht="12.75" customHeight="1">
      <c r="C838" s="25"/>
      <c r="D838" s="25"/>
      <c r="E838" s="25"/>
    </row>
    <row r="839" ht="12.75" customHeight="1">
      <c r="C839" s="25"/>
      <c r="D839" s="25"/>
      <c r="E839" s="25"/>
    </row>
    <row r="840" ht="12.75" customHeight="1">
      <c r="C840" s="25"/>
      <c r="D840" s="25"/>
      <c r="E840" s="25"/>
    </row>
    <row r="841" ht="12.75" customHeight="1">
      <c r="C841" s="25"/>
      <c r="D841" s="25"/>
      <c r="E841" s="25"/>
    </row>
    <row r="842" ht="12.75" customHeight="1">
      <c r="C842" s="25"/>
      <c r="D842" s="25"/>
      <c r="E842" s="25"/>
    </row>
    <row r="843" ht="12.75" customHeight="1">
      <c r="C843" s="25"/>
      <c r="D843" s="25"/>
      <c r="E843" s="25"/>
    </row>
    <row r="844" ht="12.75" customHeight="1">
      <c r="C844" s="25"/>
      <c r="D844" s="25"/>
      <c r="E844" s="25"/>
    </row>
    <row r="845" ht="12.75" customHeight="1">
      <c r="C845" s="25"/>
      <c r="D845" s="25"/>
      <c r="E845" s="25"/>
    </row>
    <row r="846" ht="12.75" customHeight="1">
      <c r="C846" s="25"/>
      <c r="D846" s="25"/>
      <c r="E846" s="25"/>
    </row>
    <row r="847" ht="12.75" customHeight="1">
      <c r="C847" s="25"/>
      <c r="D847" s="25"/>
      <c r="E847" s="25"/>
    </row>
    <row r="848" ht="12.75" customHeight="1">
      <c r="C848" s="25"/>
      <c r="D848" s="25"/>
      <c r="E848" s="25"/>
    </row>
    <row r="849" ht="12.75" customHeight="1">
      <c r="C849" s="25"/>
      <c r="D849" s="25"/>
      <c r="E849" s="25"/>
    </row>
    <row r="850" ht="12.75" customHeight="1">
      <c r="C850" s="25"/>
      <c r="D850" s="25"/>
      <c r="E850" s="25"/>
    </row>
    <row r="851" ht="12.75" customHeight="1">
      <c r="C851" s="25"/>
      <c r="D851" s="25"/>
      <c r="E851" s="25"/>
    </row>
    <row r="852" ht="12.75" customHeight="1">
      <c r="C852" s="25"/>
      <c r="D852" s="25"/>
      <c r="E852" s="25"/>
    </row>
    <row r="853" ht="12.75" customHeight="1">
      <c r="C853" s="25"/>
      <c r="D853" s="25"/>
      <c r="E853" s="25"/>
    </row>
    <row r="854" ht="12.75" customHeight="1">
      <c r="C854" s="25"/>
      <c r="D854" s="25"/>
      <c r="E854" s="25"/>
    </row>
    <row r="855" ht="12.75" customHeight="1">
      <c r="C855" s="25"/>
      <c r="D855" s="25"/>
      <c r="E855" s="25"/>
    </row>
    <row r="856" ht="12.75" customHeight="1">
      <c r="C856" s="25"/>
      <c r="D856" s="25"/>
      <c r="E856" s="25"/>
    </row>
    <row r="857" ht="12.75" customHeight="1">
      <c r="C857" s="25"/>
      <c r="D857" s="25"/>
      <c r="E857" s="25"/>
    </row>
    <row r="858" ht="12.75" customHeight="1">
      <c r="C858" s="25"/>
      <c r="D858" s="25"/>
      <c r="E858" s="25"/>
    </row>
    <row r="859" ht="12.75" customHeight="1">
      <c r="C859" s="25"/>
      <c r="D859" s="25"/>
      <c r="E859" s="25"/>
    </row>
    <row r="860" ht="12.75" customHeight="1">
      <c r="C860" s="25"/>
      <c r="D860" s="25"/>
      <c r="E860" s="25"/>
    </row>
    <row r="861" ht="12.75" customHeight="1">
      <c r="C861" s="25"/>
      <c r="D861" s="25"/>
      <c r="E861" s="25"/>
    </row>
    <row r="862" ht="12.75" customHeight="1">
      <c r="C862" s="25"/>
      <c r="D862" s="25"/>
      <c r="E862" s="25"/>
    </row>
    <row r="863" ht="12.75" customHeight="1">
      <c r="C863" s="25"/>
      <c r="D863" s="25"/>
      <c r="E863" s="25"/>
    </row>
    <row r="864" ht="12.75" customHeight="1">
      <c r="C864" s="25"/>
      <c r="D864" s="25"/>
      <c r="E864" s="25"/>
    </row>
    <row r="865" ht="12.75" customHeight="1">
      <c r="C865" s="25"/>
      <c r="D865" s="25"/>
      <c r="E865" s="25"/>
    </row>
    <row r="866" ht="12.75" customHeight="1">
      <c r="C866" s="25"/>
      <c r="D866" s="25"/>
      <c r="E866" s="25"/>
    </row>
    <row r="867" ht="12.75" customHeight="1">
      <c r="C867" s="25"/>
      <c r="D867" s="25"/>
      <c r="E867" s="25"/>
    </row>
    <row r="868" ht="12.75" customHeight="1">
      <c r="C868" s="25"/>
      <c r="D868" s="25"/>
      <c r="E868" s="25"/>
    </row>
    <row r="869" ht="12.75" customHeight="1">
      <c r="C869" s="25"/>
      <c r="D869" s="25"/>
      <c r="E869" s="25"/>
    </row>
    <row r="870" ht="12.75" customHeight="1">
      <c r="C870" s="25"/>
      <c r="D870" s="25"/>
      <c r="E870" s="25"/>
    </row>
    <row r="871" ht="12.75" customHeight="1">
      <c r="C871" s="25"/>
      <c r="D871" s="25"/>
      <c r="E871" s="25"/>
    </row>
    <row r="872" ht="12.75" customHeight="1">
      <c r="C872" s="25"/>
      <c r="D872" s="25"/>
      <c r="E872" s="25"/>
    </row>
    <row r="873" ht="12.75" customHeight="1">
      <c r="C873" s="25"/>
      <c r="D873" s="25"/>
      <c r="E873" s="25"/>
    </row>
    <row r="874" ht="12.75" customHeight="1">
      <c r="C874" s="25"/>
      <c r="D874" s="25"/>
      <c r="E874" s="25"/>
    </row>
    <row r="875" ht="12.75" customHeight="1">
      <c r="C875" s="25"/>
      <c r="D875" s="25"/>
      <c r="E875" s="25"/>
    </row>
    <row r="876" ht="12.75" customHeight="1">
      <c r="C876" s="25"/>
      <c r="D876" s="25"/>
      <c r="E876" s="25"/>
    </row>
    <row r="877" ht="12.75" customHeight="1">
      <c r="C877" s="25"/>
      <c r="D877" s="25"/>
      <c r="E877" s="25"/>
    </row>
    <row r="878" ht="12.75" customHeight="1">
      <c r="C878" s="25"/>
      <c r="D878" s="25"/>
      <c r="E878" s="25"/>
    </row>
    <row r="879" ht="12.75" customHeight="1">
      <c r="C879" s="25"/>
      <c r="D879" s="25"/>
      <c r="E879" s="25"/>
    </row>
    <row r="880" ht="12.75" customHeight="1">
      <c r="C880" s="25"/>
      <c r="D880" s="25"/>
      <c r="E880" s="25"/>
    </row>
    <row r="881" ht="12.75" customHeight="1">
      <c r="C881" s="25"/>
      <c r="D881" s="25"/>
      <c r="E881" s="25"/>
    </row>
    <row r="882" ht="12.75" customHeight="1">
      <c r="C882" s="25"/>
      <c r="D882" s="25"/>
      <c r="E882" s="25"/>
    </row>
    <row r="883" ht="12.75" customHeight="1">
      <c r="C883" s="25"/>
      <c r="D883" s="25"/>
      <c r="E883" s="25"/>
    </row>
    <row r="884" ht="12.75" customHeight="1">
      <c r="C884" s="25"/>
      <c r="D884" s="25"/>
      <c r="E884" s="25"/>
    </row>
    <row r="885" ht="12.75" customHeight="1">
      <c r="C885" s="25"/>
      <c r="D885" s="25"/>
      <c r="E885" s="25"/>
    </row>
    <row r="886" ht="12.75" customHeight="1">
      <c r="C886" s="25"/>
      <c r="D886" s="25"/>
      <c r="E886" s="25"/>
    </row>
    <row r="887" ht="12.75" customHeight="1">
      <c r="C887" s="25"/>
      <c r="D887" s="25"/>
      <c r="E887" s="25"/>
    </row>
    <row r="888" ht="12.75" customHeight="1">
      <c r="C888" s="25"/>
      <c r="D888" s="25"/>
      <c r="E888" s="25"/>
    </row>
    <row r="889" ht="12.75" customHeight="1">
      <c r="C889" s="25"/>
      <c r="D889" s="25"/>
      <c r="E889" s="25"/>
    </row>
    <row r="890" ht="12.75" customHeight="1">
      <c r="C890" s="25"/>
      <c r="D890" s="25"/>
      <c r="E890" s="25"/>
    </row>
    <row r="891" ht="12.75" customHeight="1">
      <c r="C891" s="25"/>
      <c r="D891" s="25"/>
      <c r="E891" s="25"/>
    </row>
    <row r="892" ht="12.75" customHeight="1">
      <c r="C892" s="25"/>
      <c r="D892" s="25"/>
      <c r="E892" s="25"/>
    </row>
    <row r="893" ht="12.75" customHeight="1">
      <c r="C893" s="25"/>
      <c r="D893" s="25"/>
      <c r="E893" s="25"/>
    </row>
    <row r="894" ht="12.75" customHeight="1">
      <c r="C894" s="25"/>
      <c r="D894" s="25"/>
      <c r="E894" s="25"/>
    </row>
    <row r="895" ht="12.75" customHeight="1">
      <c r="C895" s="25"/>
      <c r="D895" s="25"/>
      <c r="E895" s="25"/>
    </row>
    <row r="896" ht="12.75" customHeight="1">
      <c r="C896" s="25"/>
      <c r="D896" s="25"/>
      <c r="E896" s="25"/>
    </row>
    <row r="897" ht="12.75" customHeight="1">
      <c r="C897" s="25"/>
      <c r="D897" s="25"/>
      <c r="E897" s="25"/>
    </row>
    <row r="898" ht="12.75" customHeight="1">
      <c r="C898" s="25"/>
      <c r="D898" s="25"/>
      <c r="E898" s="25"/>
    </row>
    <row r="899" ht="12.75" customHeight="1">
      <c r="C899" s="25"/>
      <c r="D899" s="25"/>
      <c r="E899" s="25"/>
    </row>
    <row r="900" ht="12.75" customHeight="1">
      <c r="C900" s="25"/>
      <c r="D900" s="25"/>
      <c r="E900" s="25"/>
    </row>
    <row r="901" ht="12.75" customHeight="1">
      <c r="C901" s="25"/>
      <c r="D901" s="25"/>
      <c r="E901" s="25"/>
    </row>
    <row r="902" ht="12.75" customHeight="1">
      <c r="C902" s="25"/>
      <c r="D902" s="25"/>
      <c r="E902" s="25"/>
    </row>
    <row r="903" ht="12.75" customHeight="1">
      <c r="C903" s="25"/>
      <c r="D903" s="25"/>
      <c r="E903" s="25"/>
    </row>
    <row r="904" ht="12.75" customHeight="1">
      <c r="C904" s="25"/>
      <c r="D904" s="25"/>
      <c r="E904" s="25"/>
    </row>
    <row r="905" ht="12.75" customHeight="1">
      <c r="C905" s="25"/>
      <c r="D905" s="25"/>
      <c r="E905" s="25"/>
    </row>
    <row r="906" ht="12.75" customHeight="1">
      <c r="C906" s="25"/>
      <c r="D906" s="25"/>
      <c r="E906" s="25"/>
    </row>
    <row r="907" ht="12.75" customHeight="1">
      <c r="C907" s="25"/>
      <c r="D907" s="25"/>
      <c r="E907" s="25"/>
    </row>
    <row r="908" ht="12.75" customHeight="1">
      <c r="C908" s="25"/>
      <c r="D908" s="25"/>
      <c r="E908" s="25"/>
    </row>
    <row r="909" ht="12.75" customHeight="1">
      <c r="C909" s="25"/>
      <c r="D909" s="25"/>
      <c r="E909" s="25"/>
    </row>
    <row r="910" ht="12.75" customHeight="1">
      <c r="C910" s="25"/>
      <c r="D910" s="25"/>
      <c r="E910" s="25"/>
    </row>
    <row r="911" ht="12.75" customHeight="1">
      <c r="C911" s="25"/>
      <c r="D911" s="25"/>
      <c r="E911" s="25"/>
    </row>
    <row r="912" ht="12.75" customHeight="1">
      <c r="C912" s="25"/>
      <c r="D912" s="25"/>
      <c r="E912" s="25"/>
    </row>
    <row r="913" ht="12.75" customHeight="1">
      <c r="C913" s="25"/>
      <c r="D913" s="25"/>
      <c r="E913" s="25"/>
    </row>
    <row r="914" ht="12.75" customHeight="1">
      <c r="C914" s="25"/>
      <c r="D914" s="25"/>
      <c r="E914" s="25"/>
    </row>
    <row r="915" ht="12.75" customHeight="1">
      <c r="C915" s="25"/>
      <c r="D915" s="25"/>
      <c r="E915" s="25"/>
    </row>
    <row r="916" ht="12.75" customHeight="1">
      <c r="C916" s="25"/>
      <c r="D916" s="25"/>
      <c r="E916" s="25"/>
    </row>
    <row r="917" ht="12.75" customHeight="1">
      <c r="C917" s="25"/>
      <c r="D917" s="25"/>
      <c r="E917" s="25"/>
    </row>
    <row r="918" ht="12.75" customHeight="1">
      <c r="C918" s="25"/>
      <c r="D918" s="25"/>
      <c r="E918" s="25"/>
    </row>
    <row r="919" ht="12.75" customHeight="1">
      <c r="C919" s="25"/>
      <c r="D919" s="25"/>
      <c r="E919" s="25"/>
    </row>
    <row r="920" ht="12.75" customHeight="1">
      <c r="C920" s="25"/>
      <c r="D920" s="25"/>
      <c r="E920" s="25"/>
    </row>
    <row r="921" ht="12.75" customHeight="1">
      <c r="C921" s="25"/>
      <c r="D921" s="25"/>
      <c r="E921" s="25"/>
    </row>
    <row r="922" ht="12.75" customHeight="1">
      <c r="C922" s="25"/>
      <c r="D922" s="25"/>
      <c r="E922" s="25"/>
    </row>
    <row r="923" ht="12.75" customHeight="1">
      <c r="C923" s="25"/>
      <c r="D923" s="25"/>
      <c r="E923" s="25"/>
    </row>
    <row r="924" ht="12.75" customHeight="1">
      <c r="C924" s="25"/>
      <c r="D924" s="25"/>
      <c r="E924" s="25"/>
    </row>
    <row r="925" ht="12.75" customHeight="1">
      <c r="C925" s="25"/>
      <c r="D925" s="25"/>
      <c r="E925" s="25"/>
    </row>
    <row r="926" ht="12.75" customHeight="1">
      <c r="C926" s="25"/>
      <c r="D926" s="25"/>
      <c r="E926" s="25"/>
    </row>
    <row r="927" ht="12.75" customHeight="1">
      <c r="C927" s="25"/>
      <c r="D927" s="25"/>
      <c r="E927" s="25"/>
    </row>
    <row r="928" ht="12.75" customHeight="1">
      <c r="C928" s="25"/>
      <c r="D928" s="25"/>
      <c r="E928" s="25"/>
    </row>
    <row r="929" ht="12.75" customHeight="1">
      <c r="C929" s="25"/>
      <c r="D929" s="25"/>
      <c r="E929" s="25"/>
    </row>
    <row r="930" ht="12.75" customHeight="1">
      <c r="C930" s="25"/>
      <c r="D930" s="25"/>
      <c r="E930" s="25"/>
    </row>
    <row r="931" ht="12.75" customHeight="1">
      <c r="C931" s="25"/>
      <c r="D931" s="25"/>
      <c r="E931" s="25"/>
    </row>
    <row r="932" ht="12.75" customHeight="1">
      <c r="C932" s="25"/>
      <c r="D932" s="25"/>
      <c r="E932" s="25"/>
    </row>
    <row r="933" ht="12.75" customHeight="1">
      <c r="C933" s="25"/>
      <c r="D933" s="25"/>
      <c r="E933" s="25"/>
    </row>
    <row r="934" ht="12.75" customHeight="1">
      <c r="C934" s="25"/>
      <c r="D934" s="25"/>
      <c r="E934" s="25"/>
    </row>
    <row r="935" ht="12.75" customHeight="1">
      <c r="C935" s="25"/>
      <c r="D935" s="25"/>
      <c r="E935" s="25"/>
    </row>
    <row r="936" ht="12.75" customHeight="1">
      <c r="C936" s="25"/>
      <c r="D936" s="25"/>
      <c r="E936" s="25"/>
    </row>
    <row r="937" ht="12.75" customHeight="1">
      <c r="C937" s="25"/>
      <c r="D937" s="25"/>
      <c r="E937" s="25"/>
    </row>
    <row r="938" ht="12.75" customHeight="1">
      <c r="C938" s="25"/>
      <c r="D938" s="25"/>
      <c r="E938" s="25"/>
    </row>
    <row r="939" ht="12.75" customHeight="1">
      <c r="C939" s="25"/>
      <c r="D939" s="25"/>
      <c r="E939" s="25"/>
    </row>
    <row r="940" ht="12.75" customHeight="1">
      <c r="C940" s="25"/>
      <c r="D940" s="25"/>
      <c r="E940" s="25"/>
    </row>
    <row r="941" ht="12.75" customHeight="1">
      <c r="C941" s="25"/>
      <c r="D941" s="25"/>
      <c r="E941" s="25"/>
    </row>
    <row r="942" ht="12.75" customHeight="1">
      <c r="C942" s="25"/>
      <c r="D942" s="25"/>
      <c r="E942" s="25"/>
    </row>
    <row r="943" ht="12.75" customHeight="1">
      <c r="C943" s="25"/>
      <c r="D943" s="25"/>
      <c r="E943" s="25"/>
    </row>
    <row r="944" ht="12.75" customHeight="1">
      <c r="C944" s="25"/>
      <c r="D944" s="25"/>
      <c r="E944" s="25"/>
    </row>
    <row r="945" ht="12.75" customHeight="1">
      <c r="C945" s="25"/>
      <c r="D945" s="25"/>
      <c r="E945" s="25"/>
    </row>
    <row r="946" ht="12.75" customHeight="1">
      <c r="C946" s="25"/>
      <c r="D946" s="25"/>
      <c r="E946" s="25"/>
    </row>
    <row r="947" ht="12.75" customHeight="1">
      <c r="C947" s="25"/>
      <c r="D947" s="25"/>
      <c r="E947" s="25"/>
    </row>
    <row r="948" ht="12.75" customHeight="1">
      <c r="C948" s="25"/>
      <c r="D948" s="25"/>
      <c r="E948" s="25"/>
    </row>
    <row r="949" ht="12.75" customHeight="1">
      <c r="C949" s="25"/>
      <c r="D949" s="25"/>
      <c r="E949" s="25"/>
    </row>
    <row r="950" ht="12.75" customHeight="1">
      <c r="C950" s="25"/>
      <c r="D950" s="25"/>
      <c r="E950" s="25"/>
    </row>
    <row r="951" ht="12.75" customHeight="1">
      <c r="C951" s="25"/>
      <c r="D951" s="25"/>
      <c r="E951" s="25"/>
    </row>
    <row r="952" ht="12.75" customHeight="1">
      <c r="C952" s="25"/>
      <c r="D952" s="25"/>
      <c r="E952" s="25"/>
    </row>
    <row r="953" ht="12.75" customHeight="1">
      <c r="C953" s="25"/>
      <c r="D953" s="25"/>
      <c r="E953" s="25"/>
    </row>
    <row r="954" ht="12.75" customHeight="1">
      <c r="C954" s="25"/>
      <c r="D954" s="25"/>
      <c r="E954" s="25"/>
    </row>
    <row r="955" ht="12.75" customHeight="1">
      <c r="C955" s="25"/>
      <c r="D955" s="25"/>
      <c r="E955" s="25"/>
    </row>
    <row r="956" ht="12.75" customHeight="1">
      <c r="C956" s="25"/>
      <c r="D956" s="25"/>
      <c r="E956" s="25"/>
    </row>
    <row r="957" ht="12.75" customHeight="1">
      <c r="C957" s="25"/>
      <c r="D957" s="25"/>
      <c r="E957" s="25"/>
    </row>
    <row r="958" ht="12.75" customHeight="1">
      <c r="C958" s="25"/>
      <c r="D958" s="25"/>
      <c r="E958" s="25"/>
    </row>
    <row r="959" ht="12.75" customHeight="1">
      <c r="C959" s="25"/>
      <c r="D959" s="25"/>
      <c r="E959" s="25"/>
    </row>
    <row r="960" ht="12.75" customHeight="1">
      <c r="C960" s="25"/>
      <c r="D960" s="25"/>
      <c r="E960" s="25"/>
    </row>
    <row r="961" ht="12.75" customHeight="1">
      <c r="C961" s="25"/>
      <c r="D961" s="25"/>
      <c r="E961" s="25"/>
    </row>
    <row r="962" ht="12.75" customHeight="1">
      <c r="C962" s="25"/>
      <c r="D962" s="25"/>
      <c r="E962" s="25"/>
    </row>
    <row r="963" ht="12.75" customHeight="1">
      <c r="C963" s="25"/>
      <c r="D963" s="25"/>
      <c r="E963" s="25"/>
    </row>
    <row r="964" ht="12.75" customHeight="1">
      <c r="C964" s="25"/>
      <c r="D964" s="25"/>
      <c r="E964" s="25"/>
    </row>
    <row r="965" ht="12.75" customHeight="1">
      <c r="C965" s="25"/>
      <c r="D965" s="25"/>
      <c r="E965" s="25"/>
    </row>
    <row r="966" ht="12.75" customHeight="1">
      <c r="C966" s="25"/>
      <c r="D966" s="25"/>
      <c r="E966" s="25"/>
    </row>
    <row r="967" ht="12.75" customHeight="1">
      <c r="C967" s="25"/>
      <c r="D967" s="25"/>
      <c r="E967" s="25"/>
    </row>
    <row r="968" ht="12.75" customHeight="1">
      <c r="C968" s="25"/>
      <c r="D968" s="25"/>
      <c r="E968" s="25"/>
    </row>
    <row r="969" ht="12.75" customHeight="1">
      <c r="C969" s="25"/>
      <c r="D969" s="25"/>
      <c r="E969" s="25"/>
    </row>
    <row r="970" ht="12.75" customHeight="1">
      <c r="C970" s="25"/>
      <c r="D970" s="25"/>
      <c r="E970" s="25"/>
    </row>
    <row r="971" ht="12.75" customHeight="1">
      <c r="C971" s="25"/>
      <c r="D971" s="25"/>
      <c r="E971" s="25"/>
    </row>
    <row r="972" ht="12.75" customHeight="1">
      <c r="C972" s="25"/>
      <c r="D972" s="25"/>
      <c r="E972" s="25"/>
    </row>
    <row r="973" ht="12.75" customHeight="1">
      <c r="C973" s="25"/>
      <c r="D973" s="25"/>
      <c r="E973" s="25"/>
    </row>
    <row r="974" ht="12.75" customHeight="1">
      <c r="C974" s="25"/>
      <c r="D974" s="25"/>
      <c r="E974" s="25"/>
    </row>
    <row r="975" ht="12.75" customHeight="1">
      <c r="C975" s="25"/>
      <c r="D975" s="25"/>
      <c r="E975" s="25"/>
    </row>
    <row r="976" ht="12.75" customHeight="1">
      <c r="C976" s="25"/>
      <c r="D976" s="25"/>
      <c r="E976" s="25"/>
    </row>
    <row r="977" ht="12.75" customHeight="1">
      <c r="C977" s="25"/>
      <c r="D977" s="25"/>
      <c r="E977" s="25"/>
    </row>
    <row r="978" ht="12.75" customHeight="1">
      <c r="C978" s="25"/>
      <c r="D978" s="25"/>
      <c r="E978" s="25"/>
    </row>
    <row r="979" ht="12.75" customHeight="1">
      <c r="C979" s="25"/>
      <c r="D979" s="25"/>
      <c r="E979" s="25"/>
    </row>
    <row r="980" ht="12.75" customHeight="1">
      <c r="C980" s="25"/>
      <c r="D980" s="25"/>
      <c r="E980" s="25"/>
    </row>
    <row r="981" ht="12.75" customHeight="1">
      <c r="C981" s="25"/>
      <c r="D981" s="25"/>
      <c r="E981" s="25"/>
    </row>
    <row r="982" ht="12.75" customHeight="1">
      <c r="C982" s="25"/>
      <c r="D982" s="25"/>
      <c r="E982" s="25"/>
    </row>
    <row r="983" ht="12.75" customHeight="1">
      <c r="C983" s="25"/>
      <c r="D983" s="25"/>
      <c r="E983" s="25"/>
    </row>
    <row r="984" ht="12.75" customHeight="1">
      <c r="C984" s="25"/>
      <c r="D984" s="25"/>
      <c r="E984" s="25"/>
    </row>
    <row r="985" ht="12.75" customHeight="1">
      <c r="C985" s="25"/>
      <c r="D985" s="25"/>
      <c r="E985" s="25"/>
    </row>
    <row r="986" ht="12.75" customHeight="1">
      <c r="C986" s="25"/>
      <c r="D986" s="25"/>
      <c r="E986" s="25"/>
    </row>
    <row r="987" ht="12.75" customHeight="1">
      <c r="C987" s="25"/>
      <c r="D987" s="25"/>
      <c r="E987" s="25"/>
    </row>
    <row r="988" ht="12.75" customHeight="1">
      <c r="C988" s="25"/>
      <c r="D988" s="25"/>
      <c r="E988" s="25"/>
    </row>
    <row r="989" ht="12.75" customHeight="1">
      <c r="C989" s="25"/>
      <c r="D989" s="25"/>
      <c r="E989" s="25"/>
    </row>
    <row r="990" ht="12.75" customHeight="1">
      <c r="C990" s="25"/>
      <c r="D990" s="25"/>
      <c r="E990" s="25"/>
    </row>
    <row r="991" ht="12.75" customHeight="1">
      <c r="C991" s="25"/>
      <c r="D991" s="25"/>
      <c r="E991" s="25"/>
    </row>
    <row r="992" ht="12.75" customHeight="1">
      <c r="C992" s="25"/>
      <c r="D992" s="25"/>
      <c r="E992" s="25"/>
    </row>
    <row r="993" ht="12.75" customHeight="1">
      <c r="C993" s="25"/>
      <c r="D993" s="25"/>
      <c r="E993" s="25"/>
    </row>
    <row r="994" ht="12.75" customHeight="1">
      <c r="C994" s="25"/>
      <c r="D994" s="25"/>
      <c r="E994" s="25"/>
    </row>
    <row r="995" ht="12.75" customHeight="1">
      <c r="C995" s="25"/>
      <c r="D995" s="25"/>
      <c r="E995" s="25"/>
    </row>
    <row r="996" ht="12.75" customHeight="1">
      <c r="C996" s="25"/>
      <c r="D996" s="25"/>
      <c r="E996" s="25"/>
    </row>
    <row r="997" ht="12.75" customHeight="1">
      <c r="C997" s="25"/>
      <c r="D997" s="25"/>
      <c r="E997" s="25"/>
    </row>
    <row r="998" ht="12.75" customHeight="1">
      <c r="C998" s="25"/>
      <c r="D998" s="25"/>
      <c r="E998" s="25"/>
    </row>
    <row r="999" ht="12.75" customHeight="1">
      <c r="C999" s="25"/>
      <c r="D999" s="25"/>
      <c r="E999" s="25"/>
    </row>
    <row r="1000" ht="12.75" customHeight="1">
      <c r="C1000" s="25"/>
      <c r="D1000" s="25"/>
      <c r="E1000" s="25"/>
    </row>
  </sheetData>
  <mergeCells count="106">
    <mergeCell ref="B1:J1"/>
    <mergeCell ref="E2:J2"/>
    <mergeCell ref="E3:J3"/>
    <mergeCell ref="E4:J4"/>
    <mergeCell ref="D5:G5"/>
    <mergeCell ref="D6:G6"/>
    <mergeCell ref="E7:G7"/>
    <mergeCell ref="G16:H16"/>
    <mergeCell ref="I16:J16"/>
    <mergeCell ref="D11:G11"/>
    <mergeCell ref="D12:G12"/>
    <mergeCell ref="E13:G13"/>
    <mergeCell ref="E15:F15"/>
    <mergeCell ref="G15:H15"/>
    <mergeCell ref="I15:J15"/>
    <mergeCell ref="E16:F16"/>
    <mergeCell ref="G19:H19"/>
    <mergeCell ref="I19:J19"/>
    <mergeCell ref="E17:F17"/>
    <mergeCell ref="G17:H17"/>
    <mergeCell ref="I17:J17"/>
    <mergeCell ref="E18:F18"/>
    <mergeCell ref="G18:H18"/>
    <mergeCell ref="I18:J18"/>
    <mergeCell ref="E19:F19"/>
    <mergeCell ref="E20:F20"/>
    <mergeCell ref="G20:H20"/>
    <mergeCell ref="I20:J20"/>
    <mergeCell ref="E21:F21"/>
    <mergeCell ref="G21:H21"/>
    <mergeCell ref="I21:J21"/>
    <mergeCell ref="G23:I23"/>
    <mergeCell ref="G24:I24"/>
    <mergeCell ref="G25:I25"/>
    <mergeCell ref="G26:I26"/>
    <mergeCell ref="G27:I27"/>
    <mergeCell ref="G28:I28"/>
    <mergeCell ref="G29:I29"/>
    <mergeCell ref="G34:I34"/>
    <mergeCell ref="C92:E92"/>
    <mergeCell ref="C93:E93"/>
    <mergeCell ref="C94:E94"/>
    <mergeCell ref="C95:E95"/>
    <mergeCell ref="C96:E96"/>
    <mergeCell ref="C97:E97"/>
    <mergeCell ref="C98:E98"/>
    <mergeCell ref="C106:E106"/>
    <mergeCell ref="C107:E107"/>
    <mergeCell ref="C108:E108"/>
    <mergeCell ref="C109:E109"/>
    <mergeCell ref="C99:E99"/>
    <mergeCell ref="C100:E100"/>
    <mergeCell ref="C101:E101"/>
    <mergeCell ref="C102:E102"/>
    <mergeCell ref="C103:E103"/>
    <mergeCell ref="C104:E104"/>
    <mergeCell ref="C105:E105"/>
    <mergeCell ref="D34:E34"/>
    <mergeCell ref="D35:E35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B78:E78"/>
    <mergeCell ref="C85:E85"/>
    <mergeCell ref="C86:E86"/>
    <mergeCell ref="C87:E87"/>
    <mergeCell ref="C88:E88"/>
    <mergeCell ref="C89:E89"/>
    <mergeCell ref="C90:E90"/>
    <mergeCell ref="C91:E91"/>
  </mergeCells>
  <printOptions/>
  <pageMargins bottom="0.3937007874015748" footer="0.0" header="0.0" left="0.3937007874015748" right="0.1968503937007874" top="0.5905511811023623"/>
  <pageSetup paperSize="9" orientation="portrait"/>
  <headerFooter>
    <oddFooter>&amp;LZpracováno programem BUILDpower S,  © RTS, a.s.&amp;RStránka &amp;P z </oddFooter>
  </headerFooter>
  <rowBreaks count="1" manualBreakCount="1">
    <brk id="36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66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29"/>
    <col customWidth="1" min="2" max="2" width="14.43"/>
    <col customWidth="1" min="3" max="3" width="38.29"/>
    <col customWidth="1" min="4" max="4" width="4.57"/>
    <col customWidth="1" min="5" max="5" width="10.57"/>
    <col customWidth="1" min="6" max="6" width="9.86"/>
    <col customWidth="1" min="7" max="7" width="12.71"/>
    <col customWidth="1" min="8" max="26" width="8.71"/>
  </cols>
  <sheetData>
    <row r="1" ht="12.75" customHeight="1">
      <c r="A1" s="174" t="s">
        <v>141</v>
      </c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ht="24.75" customHeight="1">
      <c r="A2" s="176" t="s">
        <v>142</v>
      </c>
      <c r="B2" s="177"/>
      <c r="C2" s="178"/>
      <c r="D2" s="87"/>
      <c r="E2" s="87"/>
      <c r="F2" s="87"/>
      <c r="G2" s="74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 ht="24.75" customHeight="1">
      <c r="A3" s="176" t="s">
        <v>143</v>
      </c>
      <c r="B3" s="177"/>
      <c r="C3" s="178"/>
      <c r="D3" s="87"/>
      <c r="E3" s="87"/>
      <c r="F3" s="87"/>
      <c r="G3" s="74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 ht="24.75" customHeight="1">
      <c r="A4" s="176" t="s">
        <v>144</v>
      </c>
      <c r="B4" s="177"/>
      <c r="C4" s="178"/>
      <c r="D4" s="87"/>
      <c r="E4" s="87"/>
      <c r="F4" s="87"/>
      <c r="G4" s="74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 ht="12.75" customHeight="1">
      <c r="A5" s="175"/>
      <c r="B5" s="179"/>
      <c r="C5" s="180"/>
      <c r="D5" s="181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 ht="12.75" customHeight="1">
      <c r="A6" s="175"/>
      <c r="B6" s="175"/>
      <c r="C6" s="182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 ht="12.75" customHeight="1">
      <c r="A7" s="175"/>
      <c r="B7" s="175"/>
      <c r="C7" s="182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 ht="12.75" customHeight="1">
      <c r="A8" s="175"/>
      <c r="B8" s="175"/>
      <c r="C8" s="182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 ht="12.75" customHeight="1">
      <c r="A9" s="175"/>
      <c r="B9" s="175"/>
      <c r="C9" s="182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 ht="12.75" customHeight="1">
      <c r="A10" s="175"/>
      <c r="B10" s="175"/>
      <c r="C10" s="182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 ht="12.75" customHeight="1">
      <c r="A11" s="175"/>
      <c r="B11" s="175"/>
      <c r="C11" s="182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 ht="12.75" customHeight="1">
      <c r="A12" s="175"/>
      <c r="B12" s="175"/>
      <c r="C12" s="182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 ht="12.75" customHeight="1">
      <c r="A13" s="175"/>
      <c r="B13" s="175"/>
      <c r="C13" s="182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 ht="12.75" customHeight="1">
      <c r="A14" s="175"/>
      <c r="B14" s="175"/>
      <c r="C14" s="182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 ht="12.75" customHeight="1">
      <c r="A15" s="175"/>
      <c r="B15" s="175"/>
      <c r="C15" s="182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 ht="12.75" customHeight="1">
      <c r="A16" s="175"/>
      <c r="B16" s="175"/>
      <c r="C16" s="182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 ht="12.75" customHeight="1">
      <c r="A17" s="175"/>
      <c r="B17" s="175"/>
      <c r="C17" s="182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 ht="12.75" customHeight="1">
      <c r="A18" s="175"/>
      <c r="B18" s="175"/>
      <c r="C18" s="182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 ht="12.75" customHeight="1">
      <c r="A19" s="175"/>
      <c r="B19" s="175"/>
      <c r="C19" s="182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 ht="12.75" customHeight="1">
      <c r="A20" s="175"/>
      <c r="B20" s="175"/>
      <c r="C20" s="182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 ht="12.75" customHeight="1">
      <c r="A21" s="175"/>
      <c r="B21" s="175"/>
      <c r="C21" s="182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 ht="12.75" customHeight="1">
      <c r="A22" s="175"/>
      <c r="B22" s="175"/>
      <c r="C22" s="182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 ht="12.75" customHeight="1">
      <c r="A23" s="175"/>
      <c r="B23" s="175"/>
      <c r="C23" s="182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 ht="12.75" customHeight="1">
      <c r="A24" s="175"/>
      <c r="B24" s="175"/>
      <c r="C24" s="182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 ht="12.75" customHeight="1">
      <c r="A25" s="175"/>
      <c r="B25" s="175"/>
      <c r="C25" s="182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 ht="12.75" customHeight="1">
      <c r="A26" s="175"/>
      <c r="B26" s="175"/>
      <c r="C26" s="182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 ht="12.75" customHeight="1">
      <c r="A27" s="175"/>
      <c r="B27" s="175"/>
      <c r="C27" s="182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ht="12.75" customHeight="1">
      <c r="A28" s="175"/>
      <c r="B28" s="175"/>
      <c r="C28" s="182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ht="12.75" customHeight="1">
      <c r="A29" s="175"/>
      <c r="B29" s="175"/>
      <c r="C29" s="182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 ht="12.75" customHeight="1">
      <c r="A30" s="175"/>
      <c r="B30" s="175"/>
      <c r="C30" s="182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ht="12.75" customHeight="1">
      <c r="A31" s="175"/>
      <c r="B31" s="175"/>
      <c r="C31" s="182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2.75" customHeight="1">
      <c r="A32" s="175"/>
      <c r="B32" s="175"/>
      <c r="C32" s="182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12.75" customHeight="1">
      <c r="A33" s="175"/>
      <c r="B33" s="175"/>
      <c r="C33" s="182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12.75" customHeight="1">
      <c r="A34" s="175"/>
      <c r="B34" s="175"/>
      <c r="C34" s="182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12.75" customHeight="1">
      <c r="A35" s="175"/>
      <c r="B35" s="175"/>
      <c r="C35" s="182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12.75" customHeight="1">
      <c r="A36" s="175"/>
      <c r="B36" s="175"/>
      <c r="C36" s="182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12.75" customHeight="1">
      <c r="A37" s="175"/>
      <c r="B37" s="175"/>
      <c r="C37" s="182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12.75" customHeight="1">
      <c r="A38" s="175"/>
      <c r="B38" s="175"/>
      <c r="C38" s="182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12.75" customHeight="1">
      <c r="A39" s="175"/>
      <c r="B39" s="175"/>
      <c r="C39" s="182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12.75" customHeight="1">
      <c r="A40" s="175"/>
      <c r="B40" s="175"/>
      <c r="C40" s="182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12.75" customHeight="1">
      <c r="A41" s="175"/>
      <c r="B41" s="175"/>
      <c r="C41" s="182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12.75" customHeight="1">
      <c r="A42" s="175"/>
      <c r="B42" s="175"/>
      <c r="C42" s="182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12.75" customHeight="1">
      <c r="A43" s="175"/>
      <c r="B43" s="175"/>
      <c r="C43" s="182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12.75" customHeight="1">
      <c r="A44" s="175"/>
      <c r="B44" s="175"/>
      <c r="C44" s="182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12.75" customHeight="1">
      <c r="A45" s="175"/>
      <c r="B45" s="175"/>
      <c r="C45" s="182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12.75" customHeight="1">
      <c r="A46" s="175"/>
      <c r="B46" s="175"/>
      <c r="C46" s="182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2.75" customHeight="1">
      <c r="A47" s="175"/>
      <c r="B47" s="175"/>
      <c r="C47" s="182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2.75" customHeight="1">
      <c r="A48" s="175"/>
      <c r="B48" s="175"/>
      <c r="C48" s="182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2.75" customHeight="1">
      <c r="A49" s="175"/>
      <c r="B49" s="175"/>
      <c r="C49" s="182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2.75" customHeight="1">
      <c r="A50" s="175"/>
      <c r="B50" s="175"/>
      <c r="C50" s="182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2.75" customHeight="1">
      <c r="A51" s="175"/>
      <c r="B51" s="175"/>
      <c r="C51" s="182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2.75" customHeight="1">
      <c r="A52" s="175"/>
      <c r="B52" s="175"/>
      <c r="C52" s="182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2.75" customHeight="1">
      <c r="A53" s="175"/>
      <c r="B53" s="175"/>
      <c r="C53" s="182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2.75" customHeight="1">
      <c r="A54" s="175"/>
      <c r="B54" s="175"/>
      <c r="C54" s="182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2.75" customHeight="1">
      <c r="A55" s="175"/>
      <c r="B55" s="175"/>
      <c r="C55" s="182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2.75" customHeight="1">
      <c r="A56" s="175"/>
      <c r="B56" s="175"/>
      <c r="C56" s="182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2.75" customHeight="1">
      <c r="A57" s="175"/>
      <c r="B57" s="175"/>
      <c r="C57" s="182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2.75" customHeight="1">
      <c r="A58" s="175"/>
      <c r="B58" s="175"/>
      <c r="C58" s="182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2.75" customHeight="1">
      <c r="A59" s="175"/>
      <c r="B59" s="175"/>
      <c r="C59" s="182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2.75" customHeight="1">
      <c r="A60" s="175"/>
      <c r="B60" s="175"/>
      <c r="C60" s="182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2.75" customHeight="1">
      <c r="A61" s="175"/>
      <c r="B61" s="175"/>
      <c r="C61" s="182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2.75" customHeight="1">
      <c r="A62" s="175"/>
      <c r="B62" s="175"/>
      <c r="C62" s="182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2.75" customHeight="1">
      <c r="A63" s="175"/>
      <c r="B63" s="175"/>
      <c r="C63" s="182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2.75" customHeight="1">
      <c r="A64" s="175"/>
      <c r="B64" s="175"/>
      <c r="C64" s="182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2.75" customHeight="1">
      <c r="A65" s="175"/>
      <c r="B65" s="175"/>
      <c r="C65" s="182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2.75" customHeight="1">
      <c r="A66" s="175"/>
      <c r="B66" s="175"/>
      <c r="C66" s="182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2.75" customHeight="1">
      <c r="A67" s="175"/>
      <c r="B67" s="175"/>
      <c r="C67" s="182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2.75" customHeight="1">
      <c r="A68" s="175"/>
      <c r="B68" s="175"/>
      <c r="C68" s="182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2.75" customHeight="1">
      <c r="A69" s="175"/>
      <c r="B69" s="175"/>
      <c r="C69" s="182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2.75" customHeight="1">
      <c r="A70" s="175"/>
      <c r="B70" s="175"/>
      <c r="C70" s="182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2.75" customHeight="1">
      <c r="A71" s="175"/>
      <c r="B71" s="175"/>
      <c r="C71" s="182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2.75" customHeight="1">
      <c r="A72" s="175"/>
      <c r="B72" s="175"/>
      <c r="C72" s="182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2.75" customHeight="1">
      <c r="A73" s="175"/>
      <c r="B73" s="175"/>
      <c r="C73" s="182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2.75" customHeight="1">
      <c r="A74" s="175"/>
      <c r="B74" s="175"/>
      <c r="C74" s="182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2.75" customHeight="1">
      <c r="A75" s="175"/>
      <c r="B75" s="175"/>
      <c r="C75" s="182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2.75" customHeight="1">
      <c r="A76" s="175"/>
      <c r="B76" s="175"/>
      <c r="C76" s="182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2.75" customHeight="1">
      <c r="A77" s="175"/>
      <c r="B77" s="175"/>
      <c r="C77" s="182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2.75" customHeight="1">
      <c r="A78" s="175"/>
      <c r="B78" s="175"/>
      <c r="C78" s="182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2.75" customHeight="1">
      <c r="A79" s="175"/>
      <c r="B79" s="175"/>
      <c r="C79" s="182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2.75" customHeight="1">
      <c r="A80" s="175"/>
      <c r="B80" s="175"/>
      <c r="C80" s="182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2.75" customHeight="1">
      <c r="A81" s="175"/>
      <c r="B81" s="175"/>
      <c r="C81" s="182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2.75" customHeight="1">
      <c r="A82" s="175"/>
      <c r="B82" s="175"/>
      <c r="C82" s="182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2.75" customHeight="1">
      <c r="A83" s="175"/>
      <c r="B83" s="175"/>
      <c r="C83" s="182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2.75" customHeight="1">
      <c r="A84" s="175"/>
      <c r="B84" s="175"/>
      <c r="C84" s="182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2.75" customHeight="1">
      <c r="A85" s="175"/>
      <c r="B85" s="175"/>
      <c r="C85" s="182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2.75" customHeight="1">
      <c r="A86" s="175"/>
      <c r="B86" s="175"/>
      <c r="C86" s="182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2.75" customHeight="1">
      <c r="A87" s="175"/>
      <c r="B87" s="175"/>
      <c r="C87" s="182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2.75" customHeight="1">
      <c r="A88" s="175"/>
      <c r="B88" s="175"/>
      <c r="C88" s="182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2.75" customHeight="1">
      <c r="A89" s="175"/>
      <c r="B89" s="175"/>
      <c r="C89" s="182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2.75" customHeight="1">
      <c r="A90" s="175"/>
      <c r="B90" s="175"/>
      <c r="C90" s="182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2.75" customHeight="1">
      <c r="A91" s="175"/>
      <c r="B91" s="175"/>
      <c r="C91" s="182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2.75" customHeight="1">
      <c r="A92" s="175"/>
      <c r="B92" s="175"/>
      <c r="C92" s="182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2.75" customHeight="1">
      <c r="A93" s="175"/>
      <c r="B93" s="175"/>
      <c r="C93" s="182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2.75" customHeight="1">
      <c r="A94" s="175"/>
      <c r="B94" s="175"/>
      <c r="C94" s="182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2.75" customHeight="1">
      <c r="A95" s="175"/>
      <c r="B95" s="175"/>
      <c r="C95" s="182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2.75" customHeight="1">
      <c r="A96" s="175"/>
      <c r="B96" s="175"/>
      <c r="C96" s="182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2.75" customHeight="1">
      <c r="A97" s="175"/>
      <c r="B97" s="175"/>
      <c r="C97" s="182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2.75" customHeight="1">
      <c r="A98" s="175"/>
      <c r="B98" s="175"/>
      <c r="C98" s="182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2.75" customHeight="1">
      <c r="A99" s="175"/>
      <c r="B99" s="175"/>
      <c r="C99" s="182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2.75" customHeight="1">
      <c r="A100" s="175"/>
      <c r="B100" s="175"/>
      <c r="C100" s="182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2.75" customHeight="1">
      <c r="A101" s="175"/>
      <c r="B101" s="175"/>
      <c r="C101" s="182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2.75" customHeight="1">
      <c r="A102" s="175"/>
      <c r="B102" s="175"/>
      <c r="C102" s="182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2.75" customHeight="1">
      <c r="A103" s="175"/>
      <c r="B103" s="175"/>
      <c r="C103" s="182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2.75" customHeight="1">
      <c r="A104" s="175"/>
      <c r="B104" s="175"/>
      <c r="C104" s="182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2.75" customHeight="1">
      <c r="A105" s="175"/>
      <c r="B105" s="175"/>
      <c r="C105" s="182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2.75" customHeight="1">
      <c r="A106" s="175"/>
      <c r="B106" s="175"/>
      <c r="C106" s="182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2.75" customHeight="1">
      <c r="A107" s="175"/>
      <c r="B107" s="175"/>
      <c r="C107" s="182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2.75" customHeight="1">
      <c r="A108" s="175"/>
      <c r="B108" s="175"/>
      <c r="C108" s="182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2.75" customHeight="1">
      <c r="A109" s="175"/>
      <c r="B109" s="175"/>
      <c r="C109" s="182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2.75" customHeight="1">
      <c r="A110" s="175"/>
      <c r="B110" s="175"/>
      <c r="C110" s="182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2.75" customHeight="1">
      <c r="A111" s="175"/>
      <c r="B111" s="175"/>
      <c r="C111" s="182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2.75" customHeight="1">
      <c r="A112" s="175"/>
      <c r="B112" s="175"/>
      <c r="C112" s="182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2.75" customHeight="1">
      <c r="A113" s="175"/>
      <c r="B113" s="175"/>
      <c r="C113" s="182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2.75" customHeight="1">
      <c r="A114" s="175"/>
      <c r="B114" s="175"/>
      <c r="C114" s="182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2.75" customHeight="1">
      <c r="A115" s="175"/>
      <c r="B115" s="175"/>
      <c r="C115" s="182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2.75" customHeight="1">
      <c r="A116" s="175"/>
      <c r="B116" s="175"/>
      <c r="C116" s="182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2.75" customHeight="1">
      <c r="A117" s="175"/>
      <c r="B117" s="175"/>
      <c r="C117" s="182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2.75" customHeight="1">
      <c r="A118" s="175"/>
      <c r="B118" s="175"/>
      <c r="C118" s="182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2.75" customHeight="1">
      <c r="A119" s="175"/>
      <c r="B119" s="175"/>
      <c r="C119" s="182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2.75" customHeight="1">
      <c r="A120" s="175"/>
      <c r="B120" s="175"/>
      <c r="C120" s="182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2.75" customHeight="1">
      <c r="A121" s="175"/>
      <c r="B121" s="175"/>
      <c r="C121" s="182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2.75" customHeight="1">
      <c r="A122" s="175"/>
      <c r="B122" s="175"/>
      <c r="C122" s="182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2.75" customHeight="1">
      <c r="A123" s="175"/>
      <c r="B123" s="175"/>
      <c r="C123" s="182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2.75" customHeight="1">
      <c r="A124" s="175"/>
      <c r="B124" s="175"/>
      <c r="C124" s="182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2.75" customHeight="1">
      <c r="A125" s="175"/>
      <c r="B125" s="175"/>
      <c r="C125" s="182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2.75" customHeight="1">
      <c r="A126" s="175"/>
      <c r="B126" s="175"/>
      <c r="C126" s="182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2.75" customHeight="1">
      <c r="A127" s="175"/>
      <c r="B127" s="175"/>
      <c r="C127" s="182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2.75" customHeight="1">
      <c r="A128" s="175"/>
      <c r="B128" s="175"/>
      <c r="C128" s="182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2.75" customHeight="1">
      <c r="A129" s="175"/>
      <c r="B129" s="175"/>
      <c r="C129" s="182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2.75" customHeight="1">
      <c r="A130" s="175"/>
      <c r="B130" s="175"/>
      <c r="C130" s="182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2.75" customHeight="1">
      <c r="A131" s="175"/>
      <c r="B131" s="175"/>
      <c r="C131" s="182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2.75" customHeight="1">
      <c r="A132" s="175"/>
      <c r="B132" s="175"/>
      <c r="C132" s="182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2.75" customHeight="1">
      <c r="A133" s="175"/>
      <c r="B133" s="175"/>
      <c r="C133" s="182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2.75" customHeight="1">
      <c r="A134" s="175"/>
      <c r="B134" s="175"/>
      <c r="C134" s="182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2.75" customHeight="1">
      <c r="A135" s="175"/>
      <c r="B135" s="175"/>
      <c r="C135" s="182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2.75" customHeight="1">
      <c r="A136" s="175"/>
      <c r="B136" s="175"/>
      <c r="C136" s="182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2.75" customHeight="1">
      <c r="A137" s="175"/>
      <c r="B137" s="175"/>
      <c r="C137" s="182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2.75" customHeight="1">
      <c r="A138" s="175"/>
      <c r="B138" s="175"/>
      <c r="C138" s="182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2.75" customHeight="1">
      <c r="A139" s="175"/>
      <c r="B139" s="175"/>
      <c r="C139" s="182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2.75" customHeight="1">
      <c r="A140" s="175"/>
      <c r="B140" s="175"/>
      <c r="C140" s="182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2.75" customHeight="1">
      <c r="A141" s="175"/>
      <c r="B141" s="175"/>
      <c r="C141" s="182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2.75" customHeight="1">
      <c r="A142" s="175"/>
      <c r="B142" s="175"/>
      <c r="C142" s="182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2.75" customHeight="1">
      <c r="A143" s="175"/>
      <c r="B143" s="175"/>
      <c r="C143" s="182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2.75" customHeight="1">
      <c r="A144" s="175"/>
      <c r="B144" s="175"/>
      <c r="C144" s="182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2.75" customHeight="1">
      <c r="A145" s="175"/>
      <c r="B145" s="175"/>
      <c r="C145" s="182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2.75" customHeight="1">
      <c r="A146" s="175"/>
      <c r="B146" s="175"/>
      <c r="C146" s="182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2.75" customHeight="1">
      <c r="A147" s="175"/>
      <c r="B147" s="175"/>
      <c r="C147" s="182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2.75" customHeight="1">
      <c r="A148" s="175"/>
      <c r="B148" s="175"/>
      <c r="C148" s="182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2.75" customHeight="1">
      <c r="A149" s="175"/>
      <c r="B149" s="175"/>
      <c r="C149" s="182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2.75" customHeight="1">
      <c r="A150" s="175"/>
      <c r="B150" s="175"/>
      <c r="C150" s="182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2.75" customHeight="1">
      <c r="A151" s="175"/>
      <c r="B151" s="175"/>
      <c r="C151" s="182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2.75" customHeight="1">
      <c r="A152" s="175"/>
      <c r="B152" s="175"/>
      <c r="C152" s="182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2.75" customHeight="1">
      <c r="A153" s="175"/>
      <c r="B153" s="175"/>
      <c r="C153" s="182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2.75" customHeight="1">
      <c r="A154" s="175"/>
      <c r="B154" s="175"/>
      <c r="C154" s="182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2.75" customHeight="1">
      <c r="A155" s="175"/>
      <c r="B155" s="175"/>
      <c r="C155" s="182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2.75" customHeight="1">
      <c r="A156" s="175"/>
      <c r="B156" s="175"/>
      <c r="C156" s="182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2.75" customHeight="1">
      <c r="A157" s="175"/>
      <c r="B157" s="175"/>
      <c r="C157" s="182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2.75" customHeight="1">
      <c r="A158" s="175"/>
      <c r="B158" s="175"/>
      <c r="C158" s="182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2.75" customHeight="1">
      <c r="A159" s="175"/>
      <c r="B159" s="175"/>
      <c r="C159" s="182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2.75" customHeight="1">
      <c r="A160" s="175"/>
      <c r="B160" s="175"/>
      <c r="C160" s="182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2.75" customHeight="1">
      <c r="A161" s="175"/>
      <c r="B161" s="175"/>
      <c r="C161" s="182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2.75" customHeight="1">
      <c r="A162" s="175"/>
      <c r="B162" s="175"/>
      <c r="C162" s="182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2.75" customHeight="1">
      <c r="A163" s="175"/>
      <c r="B163" s="175"/>
      <c r="C163" s="182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2.75" customHeight="1">
      <c r="A164" s="175"/>
      <c r="B164" s="175"/>
      <c r="C164" s="182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2.75" customHeight="1">
      <c r="A165" s="175"/>
      <c r="B165" s="175"/>
      <c r="C165" s="182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2.75" customHeight="1">
      <c r="A166" s="175"/>
      <c r="B166" s="175"/>
      <c r="C166" s="182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2.75" customHeight="1">
      <c r="A167" s="175"/>
      <c r="B167" s="175"/>
      <c r="C167" s="182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2.75" customHeight="1">
      <c r="A168" s="175"/>
      <c r="B168" s="175"/>
      <c r="C168" s="182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2.75" customHeight="1">
      <c r="A169" s="175"/>
      <c r="B169" s="175"/>
      <c r="C169" s="182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2.75" customHeight="1">
      <c r="A170" s="175"/>
      <c r="B170" s="175"/>
      <c r="C170" s="182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2.75" customHeight="1">
      <c r="A171" s="175"/>
      <c r="B171" s="175"/>
      <c r="C171" s="182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2.75" customHeight="1">
      <c r="A172" s="175"/>
      <c r="B172" s="175"/>
      <c r="C172" s="182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2.75" customHeight="1">
      <c r="A173" s="175"/>
      <c r="B173" s="175"/>
      <c r="C173" s="182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2.75" customHeight="1">
      <c r="A174" s="175"/>
      <c r="B174" s="175"/>
      <c r="C174" s="182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2.75" customHeight="1">
      <c r="A175" s="175"/>
      <c r="B175" s="175"/>
      <c r="C175" s="182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2.75" customHeight="1">
      <c r="A176" s="175"/>
      <c r="B176" s="175"/>
      <c r="C176" s="182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2.75" customHeight="1">
      <c r="A177" s="175"/>
      <c r="B177" s="175"/>
      <c r="C177" s="182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2.75" customHeight="1">
      <c r="A178" s="175"/>
      <c r="B178" s="175"/>
      <c r="C178" s="182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2.75" customHeight="1">
      <c r="A179" s="175"/>
      <c r="B179" s="175"/>
      <c r="C179" s="182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2.75" customHeight="1">
      <c r="A180" s="175"/>
      <c r="B180" s="175"/>
      <c r="C180" s="182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2.75" customHeight="1">
      <c r="A181" s="175"/>
      <c r="B181" s="175"/>
      <c r="C181" s="182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2.75" customHeight="1">
      <c r="A182" s="175"/>
      <c r="B182" s="175"/>
      <c r="C182" s="182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2.75" customHeight="1">
      <c r="A183" s="175"/>
      <c r="B183" s="175"/>
      <c r="C183" s="182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2.75" customHeight="1">
      <c r="A184" s="175"/>
      <c r="B184" s="175"/>
      <c r="C184" s="182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2.75" customHeight="1">
      <c r="A185" s="175"/>
      <c r="B185" s="175"/>
      <c r="C185" s="182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2.75" customHeight="1">
      <c r="A186" s="175"/>
      <c r="B186" s="175"/>
      <c r="C186" s="182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2.75" customHeight="1">
      <c r="A187" s="175"/>
      <c r="B187" s="175"/>
      <c r="C187" s="182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2.75" customHeight="1">
      <c r="A188" s="175"/>
      <c r="B188" s="175"/>
      <c r="C188" s="182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2.75" customHeight="1">
      <c r="A189" s="175"/>
      <c r="B189" s="175"/>
      <c r="C189" s="182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2.75" customHeight="1">
      <c r="A190" s="175"/>
      <c r="B190" s="175"/>
      <c r="C190" s="182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2.75" customHeight="1">
      <c r="A191" s="175"/>
      <c r="B191" s="175"/>
      <c r="C191" s="182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2.75" customHeight="1">
      <c r="A192" s="175"/>
      <c r="B192" s="175"/>
      <c r="C192" s="182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2.75" customHeight="1">
      <c r="A193" s="175"/>
      <c r="B193" s="175"/>
      <c r="C193" s="182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2.75" customHeight="1">
      <c r="A194" s="175"/>
      <c r="B194" s="175"/>
      <c r="C194" s="182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2.75" customHeight="1">
      <c r="A195" s="175"/>
      <c r="B195" s="175"/>
      <c r="C195" s="182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2.75" customHeight="1">
      <c r="A196" s="175"/>
      <c r="B196" s="175"/>
      <c r="C196" s="182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2.75" customHeight="1">
      <c r="A197" s="175"/>
      <c r="B197" s="175"/>
      <c r="C197" s="182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2.75" customHeight="1">
      <c r="A198" s="175"/>
      <c r="B198" s="175"/>
      <c r="C198" s="182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2.75" customHeight="1">
      <c r="A199" s="175"/>
      <c r="B199" s="175"/>
      <c r="C199" s="182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2.75" customHeight="1">
      <c r="A200" s="175"/>
      <c r="B200" s="175"/>
      <c r="C200" s="182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2.75" customHeight="1">
      <c r="A201" s="175"/>
      <c r="B201" s="175"/>
      <c r="C201" s="182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2.75" customHeight="1">
      <c r="A202" s="175"/>
      <c r="B202" s="175"/>
      <c r="C202" s="182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2.75" customHeight="1">
      <c r="A203" s="175"/>
      <c r="B203" s="175"/>
      <c r="C203" s="182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2.75" customHeight="1">
      <c r="A204" s="175"/>
      <c r="B204" s="175"/>
      <c r="C204" s="182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2.75" customHeight="1">
      <c r="A205" s="175"/>
      <c r="B205" s="175"/>
      <c r="C205" s="182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2.75" customHeight="1">
      <c r="A206" s="175"/>
      <c r="B206" s="175"/>
      <c r="C206" s="182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2.75" customHeight="1">
      <c r="A207" s="175"/>
      <c r="B207" s="175"/>
      <c r="C207" s="182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2.75" customHeight="1">
      <c r="A208" s="175"/>
      <c r="B208" s="175"/>
      <c r="C208" s="182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2.75" customHeight="1">
      <c r="A209" s="175"/>
      <c r="B209" s="175"/>
      <c r="C209" s="182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2.75" customHeight="1">
      <c r="A210" s="175"/>
      <c r="B210" s="175"/>
      <c r="C210" s="182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2.75" customHeight="1">
      <c r="A211" s="175"/>
      <c r="B211" s="175"/>
      <c r="C211" s="182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2.75" customHeight="1">
      <c r="A212" s="175"/>
      <c r="B212" s="175"/>
      <c r="C212" s="182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2.75" customHeight="1">
      <c r="A213" s="175"/>
      <c r="B213" s="175"/>
      <c r="C213" s="182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2.75" customHeight="1">
      <c r="A214" s="175"/>
      <c r="B214" s="175"/>
      <c r="C214" s="182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2.75" customHeight="1">
      <c r="A215" s="175"/>
      <c r="B215" s="175"/>
      <c r="C215" s="182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2.75" customHeight="1">
      <c r="A216" s="175"/>
      <c r="B216" s="175"/>
      <c r="C216" s="182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2.75" customHeight="1">
      <c r="A217" s="175"/>
      <c r="B217" s="175"/>
      <c r="C217" s="182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2.75" customHeight="1">
      <c r="A218" s="175"/>
      <c r="B218" s="175"/>
      <c r="C218" s="182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2.75" customHeight="1">
      <c r="A219" s="175"/>
      <c r="B219" s="175"/>
      <c r="C219" s="182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2.75" customHeight="1">
      <c r="A220" s="175"/>
      <c r="B220" s="175"/>
      <c r="C220" s="182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2.75" customHeight="1">
      <c r="A221" s="175"/>
      <c r="B221" s="175"/>
      <c r="C221" s="182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2.75" customHeight="1">
      <c r="A222" s="175"/>
      <c r="B222" s="175"/>
      <c r="C222" s="182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2.75" customHeight="1">
      <c r="A223" s="175"/>
      <c r="B223" s="175"/>
      <c r="C223" s="182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2.75" customHeight="1">
      <c r="A224" s="175"/>
      <c r="B224" s="175"/>
      <c r="C224" s="182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2.75" customHeight="1">
      <c r="A225" s="175"/>
      <c r="B225" s="175"/>
      <c r="C225" s="182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2.75" customHeight="1">
      <c r="A226" s="175"/>
      <c r="B226" s="175"/>
      <c r="C226" s="182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2.75" customHeight="1">
      <c r="A227" s="175"/>
      <c r="B227" s="175"/>
      <c r="C227" s="182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2.75" customHeight="1">
      <c r="A228" s="175"/>
      <c r="B228" s="175"/>
      <c r="C228" s="182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2.75" customHeight="1">
      <c r="A229" s="175"/>
      <c r="B229" s="175"/>
      <c r="C229" s="182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2.75" customHeight="1">
      <c r="A230" s="175"/>
      <c r="B230" s="175"/>
      <c r="C230" s="182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 ht="12.75" customHeight="1">
      <c r="A231" s="175"/>
      <c r="B231" s="175"/>
      <c r="C231" s="182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 ht="12.75" customHeight="1">
      <c r="A232" s="175"/>
      <c r="B232" s="175"/>
      <c r="C232" s="182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 ht="12.75" customHeight="1">
      <c r="A233" s="175"/>
      <c r="B233" s="175"/>
      <c r="C233" s="182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 ht="12.75" customHeight="1">
      <c r="A234" s="175"/>
      <c r="B234" s="175"/>
      <c r="C234" s="182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 ht="12.75" customHeight="1">
      <c r="A235" s="175"/>
      <c r="B235" s="175"/>
      <c r="C235" s="182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 ht="12.75" customHeight="1">
      <c r="A236" s="175"/>
      <c r="B236" s="175"/>
      <c r="C236" s="182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 ht="12.75" customHeight="1">
      <c r="A237" s="175"/>
      <c r="B237" s="175"/>
      <c r="C237" s="182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 ht="12.75" customHeight="1">
      <c r="A238" s="175"/>
      <c r="B238" s="175"/>
      <c r="C238" s="182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 ht="12.75" customHeight="1">
      <c r="A239" s="175"/>
      <c r="B239" s="175"/>
      <c r="C239" s="182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 ht="12.75" customHeight="1">
      <c r="A240" s="175"/>
      <c r="B240" s="175"/>
      <c r="C240" s="182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 ht="12.75" customHeight="1">
      <c r="A241" s="175"/>
      <c r="B241" s="175"/>
      <c r="C241" s="182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 ht="12.75" customHeight="1">
      <c r="A242" s="175"/>
      <c r="B242" s="175"/>
      <c r="C242" s="182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 ht="12.75" customHeight="1">
      <c r="A243" s="175"/>
      <c r="B243" s="175"/>
      <c r="C243" s="182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 ht="12.75" customHeight="1">
      <c r="A244" s="175"/>
      <c r="B244" s="175"/>
      <c r="C244" s="182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 ht="12.75" customHeight="1">
      <c r="A245" s="175"/>
      <c r="B245" s="175"/>
      <c r="C245" s="182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 ht="12.75" customHeight="1">
      <c r="A246" s="175"/>
      <c r="B246" s="175"/>
      <c r="C246" s="182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 ht="12.75" customHeight="1">
      <c r="A247" s="175"/>
      <c r="B247" s="175"/>
      <c r="C247" s="182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 ht="12.75" customHeight="1">
      <c r="A248" s="175"/>
      <c r="B248" s="175"/>
      <c r="C248" s="182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 ht="12.75" customHeight="1">
      <c r="A249" s="175"/>
      <c r="B249" s="175"/>
      <c r="C249" s="182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 ht="12.75" customHeight="1">
      <c r="A250" s="175"/>
      <c r="B250" s="175"/>
      <c r="C250" s="182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 ht="12.75" customHeight="1">
      <c r="A251" s="175"/>
      <c r="B251" s="175"/>
      <c r="C251" s="182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 ht="12.75" customHeight="1">
      <c r="A252" s="175"/>
      <c r="B252" s="175"/>
      <c r="C252" s="182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 ht="12.75" customHeight="1">
      <c r="A253" s="175"/>
      <c r="B253" s="175"/>
      <c r="C253" s="182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 ht="12.75" customHeight="1">
      <c r="A254" s="175"/>
      <c r="B254" s="175"/>
      <c r="C254" s="182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 ht="12.75" customHeight="1">
      <c r="A255" s="175"/>
      <c r="B255" s="175"/>
      <c r="C255" s="182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 ht="12.75" customHeight="1">
      <c r="A256" s="175"/>
      <c r="B256" s="175"/>
      <c r="C256" s="182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 ht="12.75" customHeight="1">
      <c r="A257" s="175"/>
      <c r="B257" s="175"/>
      <c r="C257" s="182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 ht="12.75" customHeight="1">
      <c r="A258" s="175"/>
      <c r="B258" s="175"/>
      <c r="C258" s="182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 ht="12.75" customHeight="1">
      <c r="A259" s="175"/>
      <c r="B259" s="175"/>
      <c r="C259" s="182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 ht="12.75" customHeight="1">
      <c r="A260" s="175"/>
      <c r="B260" s="175"/>
      <c r="C260" s="182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 ht="12.75" customHeight="1">
      <c r="A261" s="175"/>
      <c r="B261" s="175"/>
      <c r="C261" s="182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 ht="12.75" customHeight="1">
      <c r="A262" s="175"/>
      <c r="B262" s="175"/>
      <c r="C262" s="182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 ht="12.75" customHeight="1">
      <c r="A263" s="175"/>
      <c r="B263" s="175"/>
      <c r="C263" s="182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 ht="12.75" customHeight="1">
      <c r="A264" s="175"/>
      <c r="B264" s="175"/>
      <c r="C264" s="182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 ht="12.75" customHeight="1">
      <c r="A265" s="175"/>
      <c r="B265" s="175"/>
      <c r="C265" s="182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 ht="12.75" customHeight="1">
      <c r="A266" s="175"/>
      <c r="B266" s="175"/>
      <c r="C266" s="182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 ht="12.75" customHeight="1">
      <c r="A267" s="175"/>
      <c r="B267" s="175"/>
      <c r="C267" s="182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 ht="12.75" customHeight="1">
      <c r="A268" s="175"/>
      <c r="B268" s="175"/>
      <c r="C268" s="182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 ht="12.75" customHeight="1">
      <c r="A269" s="175"/>
      <c r="B269" s="175"/>
      <c r="C269" s="182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 ht="12.75" customHeight="1">
      <c r="A270" s="175"/>
      <c r="B270" s="175"/>
      <c r="C270" s="182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 ht="12.75" customHeight="1">
      <c r="A271" s="175"/>
      <c r="B271" s="175"/>
      <c r="C271" s="182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 ht="12.75" customHeight="1">
      <c r="A272" s="175"/>
      <c r="B272" s="175"/>
      <c r="C272" s="182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 ht="12.75" customHeight="1">
      <c r="A273" s="175"/>
      <c r="B273" s="175"/>
      <c r="C273" s="182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 ht="12.75" customHeight="1">
      <c r="A274" s="175"/>
      <c r="B274" s="175"/>
      <c r="C274" s="182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 ht="12.75" customHeight="1">
      <c r="A275" s="175"/>
      <c r="B275" s="175"/>
      <c r="C275" s="182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 ht="12.75" customHeight="1">
      <c r="A276" s="175"/>
      <c r="B276" s="175"/>
      <c r="C276" s="182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 ht="12.75" customHeight="1">
      <c r="A277" s="175"/>
      <c r="B277" s="175"/>
      <c r="C277" s="182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 ht="12.75" customHeight="1">
      <c r="A278" s="175"/>
      <c r="B278" s="175"/>
      <c r="C278" s="182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 ht="12.75" customHeight="1">
      <c r="A279" s="175"/>
      <c r="B279" s="175"/>
      <c r="C279" s="182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 ht="12.75" customHeight="1">
      <c r="A280" s="175"/>
      <c r="B280" s="175"/>
      <c r="C280" s="182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 ht="12.75" customHeight="1">
      <c r="A281" s="175"/>
      <c r="B281" s="175"/>
      <c r="C281" s="182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 ht="12.75" customHeight="1">
      <c r="A282" s="175"/>
      <c r="B282" s="175"/>
      <c r="C282" s="182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 ht="12.75" customHeight="1">
      <c r="A283" s="175"/>
      <c r="B283" s="175"/>
      <c r="C283" s="182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 ht="12.75" customHeight="1">
      <c r="A284" s="175"/>
      <c r="B284" s="175"/>
      <c r="C284" s="182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 ht="12.75" customHeight="1">
      <c r="A285" s="175"/>
      <c r="B285" s="175"/>
      <c r="C285" s="182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 ht="12.75" customHeight="1">
      <c r="A286" s="175"/>
      <c r="B286" s="175"/>
      <c r="C286" s="182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 ht="12.75" customHeight="1">
      <c r="A287" s="175"/>
      <c r="B287" s="175"/>
      <c r="C287" s="182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 ht="12.75" customHeight="1">
      <c r="A288" s="175"/>
      <c r="B288" s="175"/>
      <c r="C288" s="182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 ht="12.75" customHeight="1">
      <c r="A289" s="175"/>
      <c r="B289" s="175"/>
      <c r="C289" s="182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 ht="12.75" customHeight="1">
      <c r="A290" s="175"/>
      <c r="B290" s="175"/>
      <c r="C290" s="182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 ht="12.75" customHeight="1">
      <c r="A291" s="175"/>
      <c r="B291" s="175"/>
      <c r="C291" s="182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 ht="12.75" customHeight="1">
      <c r="A292" s="175"/>
      <c r="B292" s="175"/>
      <c r="C292" s="182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 ht="12.75" customHeight="1">
      <c r="A293" s="175"/>
      <c r="B293" s="175"/>
      <c r="C293" s="182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 ht="12.75" customHeight="1">
      <c r="A294" s="175"/>
      <c r="B294" s="175"/>
      <c r="C294" s="182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 ht="12.75" customHeight="1">
      <c r="A295" s="175"/>
      <c r="B295" s="175"/>
      <c r="C295" s="182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 ht="12.75" customHeight="1">
      <c r="A296" s="175"/>
      <c r="B296" s="175"/>
      <c r="C296" s="182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 ht="12.75" customHeight="1">
      <c r="A297" s="175"/>
      <c r="B297" s="175"/>
      <c r="C297" s="182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 ht="12.75" customHeight="1">
      <c r="A298" s="175"/>
      <c r="B298" s="175"/>
      <c r="C298" s="182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 ht="12.75" customHeight="1">
      <c r="A299" s="175"/>
      <c r="B299" s="175"/>
      <c r="C299" s="182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 ht="12.75" customHeight="1">
      <c r="A300" s="175"/>
      <c r="B300" s="175"/>
      <c r="C300" s="182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 ht="12.75" customHeight="1">
      <c r="A301" s="175"/>
      <c r="B301" s="175"/>
      <c r="C301" s="182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 ht="12.75" customHeight="1">
      <c r="A302" s="175"/>
      <c r="B302" s="175"/>
      <c r="C302" s="182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 ht="12.75" customHeight="1">
      <c r="A303" s="175"/>
      <c r="B303" s="175"/>
      <c r="C303" s="182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 ht="12.75" customHeight="1">
      <c r="A304" s="175"/>
      <c r="B304" s="175"/>
      <c r="C304" s="182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 ht="12.75" customHeight="1">
      <c r="A305" s="175"/>
      <c r="B305" s="175"/>
      <c r="C305" s="182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 ht="12.75" customHeight="1">
      <c r="A306" s="175"/>
      <c r="B306" s="175"/>
      <c r="C306" s="182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 ht="12.75" customHeight="1">
      <c r="A307" s="175"/>
      <c r="B307" s="175"/>
      <c r="C307" s="182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 ht="12.75" customHeight="1">
      <c r="A308" s="175"/>
      <c r="B308" s="175"/>
      <c r="C308" s="182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 ht="12.75" customHeight="1">
      <c r="A309" s="175"/>
      <c r="B309" s="175"/>
      <c r="C309" s="182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 ht="12.75" customHeight="1">
      <c r="A310" s="175"/>
      <c r="B310" s="175"/>
      <c r="C310" s="182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 ht="12.75" customHeight="1">
      <c r="A311" s="175"/>
      <c r="B311" s="175"/>
      <c r="C311" s="182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 ht="12.75" customHeight="1">
      <c r="A312" s="175"/>
      <c r="B312" s="175"/>
      <c r="C312" s="182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 ht="12.75" customHeight="1">
      <c r="A313" s="175"/>
      <c r="B313" s="175"/>
      <c r="C313" s="182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 ht="12.75" customHeight="1">
      <c r="A314" s="175"/>
      <c r="B314" s="175"/>
      <c r="C314" s="182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 ht="12.75" customHeight="1">
      <c r="A315" s="175"/>
      <c r="B315" s="175"/>
      <c r="C315" s="182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 ht="12.75" customHeight="1">
      <c r="A316" s="175"/>
      <c r="B316" s="175"/>
      <c r="C316" s="182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 ht="12.75" customHeight="1">
      <c r="A317" s="175"/>
      <c r="B317" s="175"/>
      <c r="C317" s="182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 ht="12.75" customHeight="1">
      <c r="A318" s="175"/>
      <c r="B318" s="175"/>
      <c r="C318" s="182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 ht="12.75" customHeight="1">
      <c r="A319" s="175"/>
      <c r="B319" s="175"/>
      <c r="C319" s="182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 ht="12.75" customHeight="1">
      <c r="A320" s="175"/>
      <c r="B320" s="175"/>
      <c r="C320" s="182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 ht="12.75" customHeight="1">
      <c r="A321" s="175"/>
      <c r="B321" s="175"/>
      <c r="C321" s="182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 ht="12.75" customHeight="1">
      <c r="A322" s="175"/>
      <c r="B322" s="175"/>
      <c r="C322" s="182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 ht="12.75" customHeight="1">
      <c r="A323" s="175"/>
      <c r="B323" s="175"/>
      <c r="C323" s="182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 ht="12.75" customHeight="1">
      <c r="A324" s="175"/>
      <c r="B324" s="175"/>
      <c r="C324" s="182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 ht="12.75" customHeight="1">
      <c r="A325" s="175"/>
      <c r="B325" s="175"/>
      <c r="C325" s="182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 ht="12.75" customHeight="1">
      <c r="A326" s="175"/>
      <c r="B326" s="175"/>
      <c r="C326" s="182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 ht="12.75" customHeight="1">
      <c r="A327" s="175"/>
      <c r="B327" s="175"/>
      <c r="C327" s="182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 ht="12.75" customHeight="1">
      <c r="A328" s="175"/>
      <c r="B328" s="175"/>
      <c r="C328" s="182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 ht="12.75" customHeight="1">
      <c r="A329" s="175"/>
      <c r="B329" s="175"/>
      <c r="C329" s="182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 ht="12.75" customHeight="1">
      <c r="A330" s="175"/>
      <c r="B330" s="175"/>
      <c r="C330" s="182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 ht="12.75" customHeight="1">
      <c r="A331" s="175"/>
      <c r="B331" s="175"/>
      <c r="C331" s="182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 ht="12.75" customHeight="1">
      <c r="A332" s="175"/>
      <c r="B332" s="175"/>
      <c r="C332" s="182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 ht="12.75" customHeight="1">
      <c r="A333" s="175"/>
      <c r="B333" s="175"/>
      <c r="C333" s="182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 ht="12.75" customHeight="1">
      <c r="A334" s="175"/>
      <c r="B334" s="175"/>
      <c r="C334" s="182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 ht="12.75" customHeight="1">
      <c r="A335" s="175"/>
      <c r="B335" s="175"/>
      <c r="C335" s="182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 ht="12.75" customHeight="1">
      <c r="A336" s="175"/>
      <c r="B336" s="175"/>
      <c r="C336" s="182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 ht="12.75" customHeight="1">
      <c r="A337" s="175"/>
      <c r="B337" s="175"/>
      <c r="C337" s="182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 ht="12.75" customHeight="1">
      <c r="A338" s="175"/>
      <c r="B338" s="175"/>
      <c r="C338" s="182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 ht="12.75" customHeight="1">
      <c r="A339" s="175"/>
      <c r="B339" s="175"/>
      <c r="C339" s="182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 ht="12.75" customHeight="1">
      <c r="A340" s="175"/>
      <c r="B340" s="175"/>
      <c r="C340" s="182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 ht="12.75" customHeight="1">
      <c r="A341" s="175"/>
      <c r="B341" s="175"/>
      <c r="C341" s="182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 ht="12.75" customHeight="1">
      <c r="A342" s="175"/>
      <c r="B342" s="175"/>
      <c r="C342" s="182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 ht="12.75" customHeight="1">
      <c r="A343" s="175"/>
      <c r="B343" s="175"/>
      <c r="C343" s="182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 ht="12.75" customHeight="1">
      <c r="A344" s="175"/>
      <c r="B344" s="175"/>
      <c r="C344" s="182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 ht="12.75" customHeight="1">
      <c r="A345" s="175"/>
      <c r="B345" s="175"/>
      <c r="C345" s="182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 ht="12.75" customHeight="1">
      <c r="A346" s="175"/>
      <c r="B346" s="175"/>
      <c r="C346" s="182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 ht="12.75" customHeight="1">
      <c r="A347" s="175"/>
      <c r="B347" s="175"/>
      <c r="C347" s="182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 ht="12.75" customHeight="1">
      <c r="A348" s="175"/>
      <c r="B348" s="175"/>
      <c r="C348" s="182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 ht="12.75" customHeight="1">
      <c r="A349" s="175"/>
      <c r="B349" s="175"/>
      <c r="C349" s="182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 ht="12.75" customHeight="1">
      <c r="A350" s="175"/>
      <c r="B350" s="175"/>
      <c r="C350" s="182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 ht="12.75" customHeight="1">
      <c r="A351" s="175"/>
      <c r="B351" s="175"/>
      <c r="C351" s="182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 ht="12.75" customHeight="1">
      <c r="A352" s="175"/>
      <c r="B352" s="175"/>
      <c r="C352" s="182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 ht="12.75" customHeight="1">
      <c r="A353" s="175"/>
      <c r="B353" s="175"/>
      <c r="C353" s="182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 ht="12.75" customHeight="1">
      <c r="A354" s="175"/>
      <c r="B354" s="175"/>
      <c r="C354" s="182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 ht="12.75" customHeight="1">
      <c r="A355" s="175"/>
      <c r="B355" s="175"/>
      <c r="C355" s="182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 ht="12.75" customHeight="1">
      <c r="A356" s="175"/>
      <c r="B356" s="175"/>
      <c r="C356" s="182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 ht="12.75" customHeight="1">
      <c r="A357" s="175"/>
      <c r="B357" s="175"/>
      <c r="C357" s="182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 ht="12.75" customHeight="1">
      <c r="A358" s="175"/>
      <c r="B358" s="175"/>
      <c r="C358" s="182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 ht="12.75" customHeight="1">
      <c r="A359" s="175"/>
      <c r="B359" s="175"/>
      <c r="C359" s="182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 ht="12.75" customHeight="1">
      <c r="A360" s="175"/>
      <c r="B360" s="175"/>
      <c r="C360" s="182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 ht="12.75" customHeight="1">
      <c r="A361" s="175"/>
      <c r="B361" s="175"/>
      <c r="C361" s="182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 ht="12.75" customHeight="1">
      <c r="A362" s="175"/>
      <c r="B362" s="175"/>
      <c r="C362" s="182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 ht="12.75" customHeight="1">
      <c r="A363" s="175"/>
      <c r="B363" s="175"/>
      <c r="C363" s="182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 ht="12.75" customHeight="1">
      <c r="A364" s="175"/>
      <c r="B364" s="175"/>
      <c r="C364" s="182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 ht="12.75" customHeight="1">
      <c r="A365" s="175"/>
      <c r="B365" s="175"/>
      <c r="C365" s="182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 ht="12.75" customHeight="1">
      <c r="A366" s="175"/>
      <c r="B366" s="175"/>
      <c r="C366" s="182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 ht="12.75" customHeight="1">
      <c r="A367" s="175"/>
      <c r="B367" s="175"/>
      <c r="C367" s="182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 ht="12.75" customHeight="1">
      <c r="A368" s="175"/>
      <c r="B368" s="175"/>
      <c r="C368" s="182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 ht="12.75" customHeight="1">
      <c r="A369" s="175"/>
      <c r="B369" s="175"/>
      <c r="C369" s="182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 ht="12.75" customHeight="1">
      <c r="A370" s="175"/>
      <c r="B370" s="175"/>
      <c r="C370" s="182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 ht="12.75" customHeight="1">
      <c r="A371" s="175"/>
      <c r="B371" s="175"/>
      <c r="C371" s="182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 ht="12.75" customHeight="1">
      <c r="A372" s="175"/>
      <c r="B372" s="175"/>
      <c r="C372" s="182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 ht="12.75" customHeight="1">
      <c r="A373" s="175"/>
      <c r="B373" s="175"/>
      <c r="C373" s="182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 ht="12.75" customHeight="1">
      <c r="A374" s="175"/>
      <c r="B374" s="175"/>
      <c r="C374" s="182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 ht="12.75" customHeight="1">
      <c r="A375" s="175"/>
      <c r="B375" s="175"/>
      <c r="C375" s="182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 ht="12.75" customHeight="1">
      <c r="A376" s="175"/>
      <c r="B376" s="175"/>
      <c r="C376" s="182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 ht="12.75" customHeight="1">
      <c r="A377" s="175"/>
      <c r="B377" s="175"/>
      <c r="C377" s="182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 ht="12.75" customHeight="1">
      <c r="A378" s="175"/>
      <c r="B378" s="175"/>
      <c r="C378" s="182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 ht="12.75" customHeight="1">
      <c r="A379" s="175"/>
      <c r="B379" s="175"/>
      <c r="C379" s="182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 ht="12.75" customHeight="1">
      <c r="A380" s="175"/>
      <c r="B380" s="175"/>
      <c r="C380" s="182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 ht="12.75" customHeight="1">
      <c r="A381" s="175"/>
      <c r="B381" s="175"/>
      <c r="C381" s="182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 ht="12.75" customHeight="1">
      <c r="A382" s="175"/>
      <c r="B382" s="175"/>
      <c r="C382" s="182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 ht="12.75" customHeight="1">
      <c r="A383" s="175"/>
      <c r="B383" s="175"/>
      <c r="C383" s="182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 ht="12.75" customHeight="1">
      <c r="A384" s="175"/>
      <c r="B384" s="175"/>
      <c r="C384" s="182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 ht="12.75" customHeight="1">
      <c r="A385" s="175"/>
      <c r="B385" s="175"/>
      <c r="C385" s="182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 ht="12.75" customHeight="1">
      <c r="A386" s="175"/>
      <c r="B386" s="175"/>
      <c r="C386" s="182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 ht="12.75" customHeight="1">
      <c r="A387" s="175"/>
      <c r="B387" s="175"/>
      <c r="C387" s="182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 ht="12.75" customHeight="1">
      <c r="A388" s="175"/>
      <c r="B388" s="175"/>
      <c r="C388" s="182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 ht="12.75" customHeight="1">
      <c r="A389" s="175"/>
      <c r="B389" s="175"/>
      <c r="C389" s="182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 ht="12.75" customHeight="1">
      <c r="A390" s="175"/>
      <c r="B390" s="175"/>
      <c r="C390" s="182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 ht="12.75" customHeight="1">
      <c r="A391" s="175"/>
      <c r="B391" s="175"/>
      <c r="C391" s="182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 ht="12.75" customHeight="1">
      <c r="A392" s="175"/>
      <c r="B392" s="175"/>
      <c r="C392" s="182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 ht="12.75" customHeight="1">
      <c r="A393" s="175"/>
      <c r="B393" s="175"/>
      <c r="C393" s="182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 ht="12.75" customHeight="1">
      <c r="A394" s="175"/>
      <c r="B394" s="175"/>
      <c r="C394" s="182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 ht="12.75" customHeight="1">
      <c r="A395" s="175"/>
      <c r="B395" s="175"/>
      <c r="C395" s="182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 ht="12.75" customHeight="1">
      <c r="A396" s="175"/>
      <c r="B396" s="175"/>
      <c r="C396" s="182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 ht="12.75" customHeight="1">
      <c r="A397" s="175"/>
      <c r="B397" s="175"/>
      <c r="C397" s="182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 ht="12.75" customHeight="1">
      <c r="A398" s="175"/>
      <c r="B398" s="175"/>
      <c r="C398" s="182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 ht="12.75" customHeight="1">
      <c r="A399" s="175"/>
      <c r="B399" s="175"/>
      <c r="C399" s="182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 ht="12.75" customHeight="1">
      <c r="A400" s="175"/>
      <c r="B400" s="175"/>
      <c r="C400" s="182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 ht="12.75" customHeight="1">
      <c r="A401" s="175"/>
      <c r="B401" s="175"/>
      <c r="C401" s="182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 ht="12.75" customHeight="1">
      <c r="A402" s="175"/>
      <c r="B402" s="175"/>
      <c r="C402" s="182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 ht="12.75" customHeight="1">
      <c r="A403" s="175"/>
      <c r="B403" s="175"/>
      <c r="C403" s="182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 ht="12.75" customHeight="1">
      <c r="A404" s="175"/>
      <c r="B404" s="175"/>
      <c r="C404" s="182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 ht="12.75" customHeight="1">
      <c r="A405" s="175"/>
      <c r="B405" s="175"/>
      <c r="C405" s="182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 ht="12.75" customHeight="1">
      <c r="A406" s="175"/>
      <c r="B406" s="175"/>
      <c r="C406" s="182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 ht="12.75" customHeight="1">
      <c r="A407" s="175"/>
      <c r="B407" s="175"/>
      <c r="C407" s="182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 ht="12.75" customHeight="1">
      <c r="A408" s="175"/>
      <c r="B408" s="175"/>
      <c r="C408" s="182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 ht="12.75" customHeight="1">
      <c r="A409" s="175"/>
      <c r="B409" s="175"/>
      <c r="C409" s="182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 ht="12.75" customHeight="1">
      <c r="A410" s="175"/>
      <c r="B410" s="175"/>
      <c r="C410" s="182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 ht="12.75" customHeight="1">
      <c r="A411" s="175"/>
      <c r="B411" s="175"/>
      <c r="C411" s="182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 ht="12.75" customHeight="1">
      <c r="A412" s="175"/>
      <c r="B412" s="175"/>
      <c r="C412" s="182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 ht="12.75" customHeight="1">
      <c r="A413" s="175"/>
      <c r="B413" s="175"/>
      <c r="C413" s="182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 ht="12.75" customHeight="1">
      <c r="A414" s="175"/>
      <c r="B414" s="175"/>
      <c r="C414" s="182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 ht="12.75" customHeight="1">
      <c r="A415" s="175"/>
      <c r="B415" s="175"/>
      <c r="C415" s="182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 ht="12.75" customHeight="1">
      <c r="A416" s="175"/>
      <c r="B416" s="175"/>
      <c r="C416" s="182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 ht="12.75" customHeight="1">
      <c r="A417" s="175"/>
      <c r="B417" s="175"/>
      <c r="C417" s="182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 ht="12.75" customHeight="1">
      <c r="A418" s="175"/>
      <c r="B418" s="175"/>
      <c r="C418" s="182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 ht="12.75" customHeight="1">
      <c r="A419" s="175"/>
      <c r="B419" s="175"/>
      <c r="C419" s="182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 ht="12.75" customHeight="1">
      <c r="A420" s="175"/>
      <c r="B420" s="175"/>
      <c r="C420" s="182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 ht="12.75" customHeight="1">
      <c r="A421" s="175"/>
      <c r="B421" s="175"/>
      <c r="C421" s="182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 ht="12.75" customHeight="1">
      <c r="A422" s="175"/>
      <c r="B422" s="175"/>
      <c r="C422" s="182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 ht="12.75" customHeight="1">
      <c r="A423" s="175"/>
      <c r="B423" s="175"/>
      <c r="C423" s="182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 ht="12.75" customHeight="1">
      <c r="A424" s="175"/>
      <c r="B424" s="175"/>
      <c r="C424" s="182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 ht="12.75" customHeight="1">
      <c r="A425" s="175"/>
      <c r="B425" s="175"/>
      <c r="C425" s="182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 ht="12.75" customHeight="1">
      <c r="A426" s="175"/>
      <c r="B426" s="175"/>
      <c r="C426" s="182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 ht="12.75" customHeight="1">
      <c r="A427" s="175"/>
      <c r="B427" s="175"/>
      <c r="C427" s="182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 ht="12.75" customHeight="1">
      <c r="A428" s="175"/>
      <c r="B428" s="175"/>
      <c r="C428" s="182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 ht="12.75" customHeight="1">
      <c r="A429" s="175"/>
      <c r="B429" s="175"/>
      <c r="C429" s="182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 ht="12.75" customHeight="1">
      <c r="A430" s="175"/>
      <c r="B430" s="175"/>
      <c r="C430" s="182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 ht="12.75" customHeight="1">
      <c r="A431" s="175"/>
      <c r="B431" s="175"/>
      <c r="C431" s="182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 ht="12.75" customHeight="1">
      <c r="A432" s="175"/>
      <c r="B432" s="175"/>
      <c r="C432" s="182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 ht="12.75" customHeight="1">
      <c r="A433" s="175"/>
      <c r="B433" s="175"/>
      <c r="C433" s="182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 ht="12.75" customHeight="1">
      <c r="A434" s="175"/>
      <c r="B434" s="175"/>
      <c r="C434" s="182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 ht="12.75" customHeight="1">
      <c r="A435" s="175"/>
      <c r="B435" s="175"/>
      <c r="C435" s="182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 ht="12.75" customHeight="1">
      <c r="A436" s="175"/>
      <c r="B436" s="175"/>
      <c r="C436" s="182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 ht="12.75" customHeight="1">
      <c r="A437" s="175"/>
      <c r="B437" s="175"/>
      <c r="C437" s="182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 ht="12.75" customHeight="1">
      <c r="A438" s="175"/>
      <c r="B438" s="175"/>
      <c r="C438" s="182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 ht="12.75" customHeight="1">
      <c r="A439" s="175"/>
      <c r="B439" s="175"/>
      <c r="C439" s="182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 ht="12.75" customHeight="1">
      <c r="A440" s="175"/>
      <c r="B440" s="175"/>
      <c r="C440" s="182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 ht="12.75" customHeight="1">
      <c r="A441" s="175"/>
      <c r="B441" s="175"/>
      <c r="C441" s="182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 ht="12.75" customHeight="1">
      <c r="A442" s="175"/>
      <c r="B442" s="175"/>
      <c r="C442" s="182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 ht="12.75" customHeight="1">
      <c r="A443" s="175"/>
      <c r="B443" s="175"/>
      <c r="C443" s="182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 ht="12.75" customHeight="1">
      <c r="A444" s="175"/>
      <c r="B444" s="175"/>
      <c r="C444" s="182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 ht="12.75" customHeight="1">
      <c r="A445" s="175"/>
      <c r="B445" s="175"/>
      <c r="C445" s="182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 ht="12.75" customHeight="1">
      <c r="A446" s="175"/>
      <c r="B446" s="175"/>
      <c r="C446" s="182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 ht="12.75" customHeight="1">
      <c r="A447" s="175"/>
      <c r="B447" s="175"/>
      <c r="C447" s="182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 ht="12.75" customHeight="1">
      <c r="A448" s="175"/>
      <c r="B448" s="175"/>
      <c r="C448" s="182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 ht="12.75" customHeight="1">
      <c r="A449" s="175"/>
      <c r="B449" s="175"/>
      <c r="C449" s="182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 ht="12.75" customHeight="1">
      <c r="A450" s="175"/>
      <c r="B450" s="175"/>
      <c r="C450" s="182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 ht="12.75" customHeight="1">
      <c r="A451" s="175"/>
      <c r="B451" s="175"/>
      <c r="C451" s="182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 ht="12.75" customHeight="1">
      <c r="A452" s="175"/>
      <c r="B452" s="175"/>
      <c r="C452" s="182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 ht="12.75" customHeight="1">
      <c r="A453" s="175"/>
      <c r="B453" s="175"/>
      <c r="C453" s="182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 ht="12.75" customHeight="1">
      <c r="A454" s="175"/>
      <c r="B454" s="175"/>
      <c r="C454" s="182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 ht="12.75" customHeight="1">
      <c r="A455" s="175"/>
      <c r="B455" s="175"/>
      <c r="C455" s="182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 ht="12.75" customHeight="1">
      <c r="A456" s="175"/>
      <c r="B456" s="175"/>
      <c r="C456" s="182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 ht="12.75" customHeight="1">
      <c r="A457" s="175"/>
      <c r="B457" s="175"/>
      <c r="C457" s="182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 ht="12.75" customHeight="1">
      <c r="A458" s="175"/>
      <c r="B458" s="175"/>
      <c r="C458" s="182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 ht="12.75" customHeight="1">
      <c r="A459" s="175"/>
      <c r="B459" s="175"/>
      <c r="C459" s="182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 ht="12.75" customHeight="1">
      <c r="A460" s="175"/>
      <c r="B460" s="175"/>
      <c r="C460" s="182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 ht="12.75" customHeight="1">
      <c r="A461" s="175"/>
      <c r="B461" s="175"/>
      <c r="C461" s="182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 ht="12.75" customHeight="1">
      <c r="A462" s="175"/>
      <c r="B462" s="175"/>
      <c r="C462" s="182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 ht="12.75" customHeight="1">
      <c r="A463" s="175"/>
      <c r="B463" s="175"/>
      <c r="C463" s="182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 ht="12.75" customHeight="1">
      <c r="A464" s="175"/>
      <c r="B464" s="175"/>
      <c r="C464" s="182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 ht="12.75" customHeight="1">
      <c r="A465" s="175"/>
      <c r="B465" s="175"/>
      <c r="C465" s="182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 ht="12.75" customHeight="1">
      <c r="A466" s="175"/>
      <c r="B466" s="175"/>
      <c r="C466" s="182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 ht="12.75" customHeight="1">
      <c r="A467" s="175"/>
      <c r="B467" s="175"/>
      <c r="C467" s="182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 ht="12.75" customHeight="1">
      <c r="A468" s="175"/>
      <c r="B468" s="175"/>
      <c r="C468" s="182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 ht="12.75" customHeight="1">
      <c r="A469" s="175"/>
      <c r="B469" s="175"/>
      <c r="C469" s="182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 ht="12.75" customHeight="1">
      <c r="A470" s="175"/>
      <c r="B470" s="175"/>
      <c r="C470" s="182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 ht="12.75" customHeight="1">
      <c r="A471" s="175"/>
      <c r="B471" s="175"/>
      <c r="C471" s="182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 ht="12.75" customHeight="1">
      <c r="A472" s="175"/>
      <c r="B472" s="175"/>
      <c r="C472" s="182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 ht="12.75" customHeight="1">
      <c r="A473" s="175"/>
      <c r="B473" s="175"/>
      <c r="C473" s="182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 ht="12.75" customHeight="1">
      <c r="A474" s="175"/>
      <c r="B474" s="175"/>
      <c r="C474" s="182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 ht="12.75" customHeight="1">
      <c r="A475" s="175"/>
      <c r="B475" s="175"/>
      <c r="C475" s="182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 ht="12.75" customHeight="1">
      <c r="A476" s="175"/>
      <c r="B476" s="175"/>
      <c r="C476" s="182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 ht="12.75" customHeight="1">
      <c r="A477" s="175"/>
      <c r="B477" s="175"/>
      <c r="C477" s="182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 ht="12.75" customHeight="1">
      <c r="A478" s="175"/>
      <c r="B478" s="175"/>
      <c r="C478" s="182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 ht="12.75" customHeight="1">
      <c r="A479" s="175"/>
      <c r="B479" s="175"/>
      <c r="C479" s="182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 ht="12.75" customHeight="1">
      <c r="A480" s="175"/>
      <c r="B480" s="175"/>
      <c r="C480" s="182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 ht="12.75" customHeight="1">
      <c r="A481" s="175"/>
      <c r="B481" s="175"/>
      <c r="C481" s="182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 ht="12.75" customHeight="1">
      <c r="A482" s="175"/>
      <c r="B482" s="175"/>
      <c r="C482" s="182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 ht="12.75" customHeight="1">
      <c r="A483" s="175"/>
      <c r="B483" s="175"/>
      <c r="C483" s="182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 ht="12.75" customHeight="1">
      <c r="A484" s="175"/>
      <c r="B484" s="175"/>
      <c r="C484" s="182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 ht="12.75" customHeight="1">
      <c r="A485" s="175"/>
      <c r="B485" s="175"/>
      <c r="C485" s="182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 ht="12.75" customHeight="1">
      <c r="A486" s="175"/>
      <c r="B486" s="175"/>
      <c r="C486" s="182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 ht="12.75" customHeight="1">
      <c r="A487" s="175"/>
      <c r="B487" s="175"/>
      <c r="C487" s="182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 ht="12.75" customHeight="1">
      <c r="A488" s="175"/>
      <c r="B488" s="175"/>
      <c r="C488" s="182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 ht="12.75" customHeight="1">
      <c r="A489" s="175"/>
      <c r="B489" s="175"/>
      <c r="C489" s="182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 ht="12.75" customHeight="1">
      <c r="A490" s="175"/>
      <c r="B490" s="175"/>
      <c r="C490" s="182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 ht="12.75" customHeight="1">
      <c r="A491" s="175"/>
      <c r="B491" s="175"/>
      <c r="C491" s="182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 ht="12.75" customHeight="1">
      <c r="A492" s="175"/>
      <c r="B492" s="175"/>
      <c r="C492" s="182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 ht="12.75" customHeight="1">
      <c r="A493" s="175"/>
      <c r="B493" s="175"/>
      <c r="C493" s="182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 ht="12.75" customHeight="1">
      <c r="A494" s="175"/>
      <c r="B494" s="175"/>
      <c r="C494" s="182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 ht="12.75" customHeight="1">
      <c r="A495" s="175"/>
      <c r="B495" s="175"/>
      <c r="C495" s="182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 ht="12.75" customHeight="1">
      <c r="A496" s="175"/>
      <c r="B496" s="175"/>
      <c r="C496" s="182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 ht="12.75" customHeight="1">
      <c r="A497" s="175"/>
      <c r="B497" s="175"/>
      <c r="C497" s="182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 ht="12.75" customHeight="1">
      <c r="A498" s="175"/>
      <c r="B498" s="175"/>
      <c r="C498" s="182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 ht="12.75" customHeight="1">
      <c r="A499" s="175"/>
      <c r="B499" s="175"/>
      <c r="C499" s="182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 ht="12.75" customHeight="1">
      <c r="A500" s="175"/>
      <c r="B500" s="175"/>
      <c r="C500" s="182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 ht="12.75" customHeight="1">
      <c r="A501" s="175"/>
      <c r="B501" s="175"/>
      <c r="C501" s="182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 ht="12.75" customHeight="1">
      <c r="A502" s="175"/>
      <c r="B502" s="175"/>
      <c r="C502" s="182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 ht="12.75" customHeight="1">
      <c r="A503" s="175"/>
      <c r="B503" s="175"/>
      <c r="C503" s="182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 ht="12.75" customHeight="1">
      <c r="A504" s="175"/>
      <c r="B504" s="175"/>
      <c r="C504" s="182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 ht="12.75" customHeight="1">
      <c r="A505" s="175"/>
      <c r="B505" s="175"/>
      <c r="C505" s="182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 ht="12.75" customHeight="1">
      <c r="A506" s="175"/>
      <c r="B506" s="175"/>
      <c r="C506" s="182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 ht="12.75" customHeight="1">
      <c r="A507" s="175"/>
      <c r="B507" s="175"/>
      <c r="C507" s="182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 ht="12.75" customHeight="1">
      <c r="A508" s="175"/>
      <c r="B508" s="175"/>
      <c r="C508" s="182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 ht="12.75" customHeight="1">
      <c r="A509" s="175"/>
      <c r="B509" s="175"/>
      <c r="C509" s="182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 ht="12.75" customHeight="1">
      <c r="A510" s="175"/>
      <c r="B510" s="175"/>
      <c r="C510" s="182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 ht="12.75" customHeight="1">
      <c r="A511" s="175"/>
      <c r="B511" s="175"/>
      <c r="C511" s="182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 ht="12.75" customHeight="1">
      <c r="A512" s="175"/>
      <c r="B512" s="175"/>
      <c r="C512" s="182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 ht="12.75" customHeight="1">
      <c r="A513" s="175"/>
      <c r="B513" s="175"/>
      <c r="C513" s="182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 ht="12.75" customHeight="1">
      <c r="A514" s="175"/>
      <c r="B514" s="175"/>
      <c r="C514" s="182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 ht="12.75" customHeight="1">
      <c r="A515" s="175"/>
      <c r="B515" s="175"/>
      <c r="C515" s="182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 ht="12.75" customHeight="1">
      <c r="A516" s="175"/>
      <c r="B516" s="175"/>
      <c r="C516" s="182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 ht="12.75" customHeight="1">
      <c r="A517" s="175"/>
      <c r="B517" s="175"/>
      <c r="C517" s="182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 ht="12.75" customHeight="1">
      <c r="A518" s="175"/>
      <c r="B518" s="175"/>
      <c r="C518" s="182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 ht="12.75" customHeight="1">
      <c r="A519" s="175"/>
      <c r="B519" s="175"/>
      <c r="C519" s="182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 ht="12.75" customHeight="1">
      <c r="A520" s="175"/>
      <c r="B520" s="175"/>
      <c r="C520" s="182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 ht="12.75" customHeight="1">
      <c r="A521" s="175"/>
      <c r="B521" s="175"/>
      <c r="C521" s="182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 ht="12.75" customHeight="1">
      <c r="A522" s="175"/>
      <c r="B522" s="175"/>
      <c r="C522" s="182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 ht="12.75" customHeight="1">
      <c r="A523" s="175"/>
      <c r="B523" s="175"/>
      <c r="C523" s="182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 ht="12.75" customHeight="1">
      <c r="A524" s="175"/>
      <c r="B524" s="175"/>
      <c r="C524" s="182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 ht="12.75" customHeight="1">
      <c r="A525" s="175"/>
      <c r="B525" s="175"/>
      <c r="C525" s="182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 ht="12.75" customHeight="1">
      <c r="A526" s="175"/>
      <c r="B526" s="175"/>
      <c r="C526" s="182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 ht="12.75" customHeight="1">
      <c r="A527" s="175"/>
      <c r="B527" s="175"/>
      <c r="C527" s="182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 ht="12.75" customHeight="1">
      <c r="A528" s="175"/>
      <c r="B528" s="175"/>
      <c r="C528" s="182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 ht="12.75" customHeight="1">
      <c r="A529" s="175"/>
      <c r="B529" s="175"/>
      <c r="C529" s="182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 ht="12.75" customHeight="1">
      <c r="A530" s="175"/>
      <c r="B530" s="175"/>
      <c r="C530" s="182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 ht="12.75" customHeight="1">
      <c r="A531" s="175"/>
      <c r="B531" s="175"/>
      <c r="C531" s="182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 ht="12.75" customHeight="1">
      <c r="A532" s="175"/>
      <c r="B532" s="175"/>
      <c r="C532" s="182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 ht="12.75" customHeight="1">
      <c r="A533" s="175"/>
      <c r="B533" s="175"/>
      <c r="C533" s="182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 ht="12.75" customHeight="1">
      <c r="A534" s="175"/>
      <c r="B534" s="175"/>
      <c r="C534" s="182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 ht="12.75" customHeight="1">
      <c r="A535" s="175"/>
      <c r="B535" s="175"/>
      <c r="C535" s="182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 ht="12.75" customHeight="1">
      <c r="A536" s="175"/>
      <c r="B536" s="175"/>
      <c r="C536" s="182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 ht="12.75" customHeight="1">
      <c r="A537" s="175"/>
      <c r="B537" s="175"/>
      <c r="C537" s="182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 ht="12.75" customHeight="1">
      <c r="A538" s="175"/>
      <c r="B538" s="175"/>
      <c r="C538" s="182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 ht="12.75" customHeight="1">
      <c r="A539" s="175"/>
      <c r="B539" s="175"/>
      <c r="C539" s="182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 ht="12.75" customHeight="1">
      <c r="A540" s="175"/>
      <c r="B540" s="175"/>
      <c r="C540" s="182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 ht="12.75" customHeight="1">
      <c r="A541" s="175"/>
      <c r="B541" s="175"/>
      <c r="C541" s="182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 ht="12.75" customHeight="1">
      <c r="A542" s="175"/>
      <c r="B542" s="175"/>
      <c r="C542" s="182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 ht="12.75" customHeight="1">
      <c r="A543" s="175"/>
      <c r="B543" s="175"/>
      <c r="C543" s="182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 ht="12.75" customHeight="1">
      <c r="A544" s="175"/>
      <c r="B544" s="175"/>
      <c r="C544" s="182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 ht="12.75" customHeight="1">
      <c r="A545" s="175"/>
      <c r="B545" s="175"/>
      <c r="C545" s="182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 ht="12.75" customHeight="1">
      <c r="A546" s="175"/>
      <c r="B546" s="175"/>
      <c r="C546" s="182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 ht="12.75" customHeight="1">
      <c r="A547" s="175"/>
      <c r="B547" s="175"/>
      <c r="C547" s="182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 ht="12.75" customHeight="1">
      <c r="A548" s="175"/>
      <c r="B548" s="175"/>
      <c r="C548" s="182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 ht="12.75" customHeight="1">
      <c r="A549" s="175"/>
      <c r="B549" s="175"/>
      <c r="C549" s="182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 ht="12.75" customHeight="1">
      <c r="A550" s="175"/>
      <c r="B550" s="175"/>
      <c r="C550" s="182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 ht="12.75" customHeight="1">
      <c r="A551" s="175"/>
      <c r="B551" s="175"/>
      <c r="C551" s="182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 ht="12.75" customHeight="1">
      <c r="A552" s="175"/>
      <c r="B552" s="175"/>
      <c r="C552" s="182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 ht="12.75" customHeight="1">
      <c r="A553" s="175"/>
      <c r="B553" s="175"/>
      <c r="C553" s="182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 ht="12.75" customHeight="1">
      <c r="A554" s="175"/>
      <c r="B554" s="175"/>
      <c r="C554" s="182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 ht="12.75" customHeight="1">
      <c r="A555" s="175"/>
      <c r="B555" s="175"/>
      <c r="C555" s="182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 ht="12.75" customHeight="1">
      <c r="A556" s="175"/>
      <c r="B556" s="175"/>
      <c r="C556" s="182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 ht="12.75" customHeight="1">
      <c r="A557" s="175"/>
      <c r="B557" s="175"/>
      <c r="C557" s="182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 ht="12.75" customHeight="1">
      <c r="A558" s="175"/>
      <c r="B558" s="175"/>
      <c r="C558" s="182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 ht="12.75" customHeight="1">
      <c r="A559" s="175"/>
      <c r="B559" s="175"/>
      <c r="C559" s="182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 ht="12.75" customHeight="1">
      <c r="A560" s="175"/>
      <c r="B560" s="175"/>
      <c r="C560" s="182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 ht="12.75" customHeight="1">
      <c r="A561" s="175"/>
      <c r="B561" s="175"/>
      <c r="C561" s="182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 ht="12.75" customHeight="1">
      <c r="A562" s="175"/>
      <c r="B562" s="175"/>
      <c r="C562" s="182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 ht="12.75" customHeight="1">
      <c r="A563" s="175"/>
      <c r="B563" s="175"/>
      <c r="C563" s="182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 ht="12.75" customHeight="1">
      <c r="A564" s="175"/>
      <c r="B564" s="175"/>
      <c r="C564" s="182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 ht="12.75" customHeight="1">
      <c r="A565" s="175"/>
      <c r="B565" s="175"/>
      <c r="C565" s="182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 ht="12.75" customHeight="1">
      <c r="A566" s="175"/>
      <c r="B566" s="175"/>
      <c r="C566" s="182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 ht="12.75" customHeight="1">
      <c r="A567" s="175"/>
      <c r="B567" s="175"/>
      <c r="C567" s="182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 ht="12.75" customHeight="1">
      <c r="A568" s="175"/>
      <c r="B568" s="175"/>
      <c r="C568" s="182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 ht="12.75" customHeight="1">
      <c r="A569" s="175"/>
      <c r="B569" s="175"/>
      <c r="C569" s="182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 ht="12.75" customHeight="1">
      <c r="A570" s="175"/>
      <c r="B570" s="175"/>
      <c r="C570" s="182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 ht="12.75" customHeight="1">
      <c r="A571" s="175"/>
      <c r="B571" s="175"/>
      <c r="C571" s="182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 ht="12.75" customHeight="1">
      <c r="A572" s="175"/>
      <c r="B572" s="175"/>
      <c r="C572" s="182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 ht="12.75" customHeight="1">
      <c r="A573" s="175"/>
      <c r="B573" s="175"/>
      <c r="C573" s="182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 ht="12.75" customHeight="1">
      <c r="A574" s="175"/>
      <c r="B574" s="175"/>
      <c r="C574" s="182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 ht="12.75" customHeight="1">
      <c r="A575" s="175"/>
      <c r="B575" s="175"/>
      <c r="C575" s="182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 ht="12.75" customHeight="1">
      <c r="A576" s="175"/>
      <c r="B576" s="175"/>
      <c r="C576" s="182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 ht="12.75" customHeight="1">
      <c r="A577" s="175"/>
      <c r="B577" s="175"/>
      <c r="C577" s="182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 ht="12.75" customHeight="1">
      <c r="A578" s="175"/>
      <c r="B578" s="175"/>
      <c r="C578" s="182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 ht="12.75" customHeight="1">
      <c r="A579" s="175"/>
      <c r="B579" s="175"/>
      <c r="C579" s="182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 ht="12.75" customHeight="1">
      <c r="A580" s="175"/>
      <c r="B580" s="175"/>
      <c r="C580" s="182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 ht="12.75" customHeight="1">
      <c r="A581" s="175"/>
      <c r="B581" s="175"/>
      <c r="C581" s="182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 ht="12.75" customHeight="1">
      <c r="A582" s="175"/>
      <c r="B582" s="175"/>
      <c r="C582" s="182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 ht="12.75" customHeight="1">
      <c r="A583" s="175"/>
      <c r="B583" s="175"/>
      <c r="C583" s="182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 ht="12.75" customHeight="1">
      <c r="A584" s="175"/>
      <c r="B584" s="175"/>
      <c r="C584" s="182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 ht="12.75" customHeight="1">
      <c r="A585" s="175"/>
      <c r="B585" s="175"/>
      <c r="C585" s="182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 ht="12.75" customHeight="1">
      <c r="A586" s="175"/>
      <c r="B586" s="175"/>
      <c r="C586" s="182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 ht="12.75" customHeight="1">
      <c r="A587" s="175"/>
      <c r="B587" s="175"/>
      <c r="C587" s="182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 ht="12.75" customHeight="1">
      <c r="A588" s="175"/>
      <c r="B588" s="175"/>
      <c r="C588" s="182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 ht="12.75" customHeight="1">
      <c r="A589" s="175"/>
      <c r="B589" s="175"/>
      <c r="C589" s="182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 ht="12.75" customHeight="1">
      <c r="A590" s="175"/>
      <c r="B590" s="175"/>
      <c r="C590" s="182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 ht="12.75" customHeight="1">
      <c r="A591" s="175"/>
      <c r="B591" s="175"/>
      <c r="C591" s="182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 ht="12.75" customHeight="1">
      <c r="A592" s="175"/>
      <c r="B592" s="175"/>
      <c r="C592" s="182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 ht="12.75" customHeight="1">
      <c r="A593" s="175"/>
      <c r="B593" s="175"/>
      <c r="C593" s="182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 ht="12.75" customHeight="1">
      <c r="A594" s="175"/>
      <c r="B594" s="175"/>
      <c r="C594" s="182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 ht="12.75" customHeight="1">
      <c r="A595" s="175"/>
      <c r="B595" s="175"/>
      <c r="C595" s="182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 ht="12.75" customHeight="1">
      <c r="A596" s="175"/>
      <c r="B596" s="175"/>
      <c r="C596" s="182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 ht="12.75" customHeight="1">
      <c r="A597" s="175"/>
      <c r="B597" s="175"/>
      <c r="C597" s="182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 ht="12.75" customHeight="1">
      <c r="A598" s="175"/>
      <c r="B598" s="175"/>
      <c r="C598" s="182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 ht="12.75" customHeight="1">
      <c r="A599" s="175"/>
      <c r="B599" s="175"/>
      <c r="C599" s="182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 ht="12.75" customHeight="1">
      <c r="A600" s="175"/>
      <c r="B600" s="175"/>
      <c r="C600" s="182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 ht="12.75" customHeight="1">
      <c r="A601" s="175"/>
      <c r="B601" s="175"/>
      <c r="C601" s="182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 ht="12.75" customHeight="1">
      <c r="A602" s="175"/>
      <c r="B602" s="175"/>
      <c r="C602" s="182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 ht="12.75" customHeight="1">
      <c r="A603" s="175"/>
      <c r="B603" s="175"/>
      <c r="C603" s="182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 ht="12.75" customHeight="1">
      <c r="A604" s="175"/>
      <c r="B604" s="175"/>
      <c r="C604" s="182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 ht="12.75" customHeight="1">
      <c r="A605" s="175"/>
      <c r="B605" s="175"/>
      <c r="C605" s="182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 ht="12.75" customHeight="1">
      <c r="A606" s="175"/>
      <c r="B606" s="175"/>
      <c r="C606" s="182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 ht="12.75" customHeight="1">
      <c r="A607" s="175"/>
      <c r="B607" s="175"/>
      <c r="C607" s="182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 ht="12.75" customHeight="1">
      <c r="A608" s="175"/>
      <c r="B608" s="175"/>
      <c r="C608" s="182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 ht="12.75" customHeight="1">
      <c r="A609" s="175"/>
      <c r="B609" s="175"/>
      <c r="C609" s="182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 ht="12.75" customHeight="1">
      <c r="A610" s="175"/>
      <c r="B610" s="175"/>
      <c r="C610" s="182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 ht="12.75" customHeight="1">
      <c r="A611" s="175"/>
      <c r="B611" s="175"/>
      <c r="C611" s="182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 ht="12.75" customHeight="1">
      <c r="A612" s="175"/>
      <c r="B612" s="175"/>
      <c r="C612" s="182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 ht="12.75" customHeight="1">
      <c r="A613" s="175"/>
      <c r="B613" s="175"/>
      <c r="C613" s="182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 ht="12.75" customHeight="1">
      <c r="A614" s="175"/>
      <c r="B614" s="175"/>
      <c r="C614" s="182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 ht="12.75" customHeight="1">
      <c r="A615" s="175"/>
      <c r="B615" s="175"/>
      <c r="C615" s="182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 ht="12.75" customHeight="1">
      <c r="A616" s="175"/>
      <c r="B616" s="175"/>
      <c r="C616" s="182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 ht="12.75" customHeight="1">
      <c r="A617" s="175"/>
      <c r="B617" s="175"/>
      <c r="C617" s="182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 ht="12.75" customHeight="1">
      <c r="A618" s="175"/>
      <c r="B618" s="175"/>
      <c r="C618" s="182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 ht="12.75" customHeight="1">
      <c r="A619" s="175"/>
      <c r="B619" s="175"/>
      <c r="C619" s="182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 ht="12.75" customHeight="1">
      <c r="A620" s="175"/>
      <c r="B620" s="175"/>
      <c r="C620" s="182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 ht="12.75" customHeight="1">
      <c r="A621" s="175"/>
      <c r="B621" s="175"/>
      <c r="C621" s="182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 ht="12.75" customHeight="1">
      <c r="A622" s="175"/>
      <c r="B622" s="175"/>
      <c r="C622" s="182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 ht="12.75" customHeight="1">
      <c r="A623" s="175"/>
      <c r="B623" s="175"/>
      <c r="C623" s="182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 ht="12.75" customHeight="1">
      <c r="A624" s="175"/>
      <c r="B624" s="175"/>
      <c r="C624" s="182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 ht="12.75" customHeight="1">
      <c r="A625" s="175"/>
      <c r="B625" s="175"/>
      <c r="C625" s="182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 ht="12.75" customHeight="1">
      <c r="A626" s="175"/>
      <c r="B626" s="175"/>
      <c r="C626" s="182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 ht="12.75" customHeight="1">
      <c r="A627" s="175"/>
      <c r="B627" s="175"/>
      <c r="C627" s="182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 ht="12.75" customHeight="1">
      <c r="A628" s="175"/>
      <c r="B628" s="175"/>
      <c r="C628" s="182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 ht="12.75" customHeight="1">
      <c r="A629" s="175"/>
      <c r="B629" s="175"/>
      <c r="C629" s="182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 ht="12.75" customHeight="1">
      <c r="A630" s="175"/>
      <c r="B630" s="175"/>
      <c r="C630" s="182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 ht="12.75" customHeight="1">
      <c r="A631" s="175"/>
      <c r="B631" s="175"/>
      <c r="C631" s="182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 ht="12.75" customHeight="1">
      <c r="A632" s="175"/>
      <c r="B632" s="175"/>
      <c r="C632" s="182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 ht="12.75" customHeight="1">
      <c r="A633" s="175"/>
      <c r="B633" s="175"/>
      <c r="C633" s="182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 ht="12.75" customHeight="1">
      <c r="A634" s="175"/>
      <c r="B634" s="175"/>
      <c r="C634" s="182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 ht="12.75" customHeight="1">
      <c r="A635" s="175"/>
      <c r="B635" s="175"/>
      <c r="C635" s="182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 ht="12.75" customHeight="1">
      <c r="A636" s="175"/>
      <c r="B636" s="175"/>
      <c r="C636" s="182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 ht="12.75" customHeight="1">
      <c r="A637" s="175"/>
      <c r="B637" s="175"/>
      <c r="C637" s="182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 ht="12.75" customHeight="1">
      <c r="A638" s="175"/>
      <c r="B638" s="175"/>
      <c r="C638" s="182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 ht="12.75" customHeight="1">
      <c r="A639" s="175"/>
      <c r="B639" s="175"/>
      <c r="C639" s="182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 ht="12.75" customHeight="1">
      <c r="A640" s="175"/>
      <c r="B640" s="175"/>
      <c r="C640" s="182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 ht="12.75" customHeight="1">
      <c r="A641" s="175"/>
      <c r="B641" s="175"/>
      <c r="C641" s="182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 ht="12.75" customHeight="1">
      <c r="A642" s="175"/>
      <c r="B642" s="175"/>
      <c r="C642" s="182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 ht="12.75" customHeight="1">
      <c r="A643" s="175"/>
      <c r="B643" s="175"/>
      <c r="C643" s="182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 ht="12.75" customHeight="1">
      <c r="A644" s="175"/>
      <c r="B644" s="175"/>
      <c r="C644" s="182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 ht="12.75" customHeight="1">
      <c r="A645" s="175"/>
      <c r="B645" s="175"/>
      <c r="C645" s="182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 ht="12.75" customHeight="1">
      <c r="A646" s="175"/>
      <c r="B646" s="175"/>
      <c r="C646" s="182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 ht="12.75" customHeight="1">
      <c r="A647" s="175"/>
      <c r="B647" s="175"/>
      <c r="C647" s="182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 ht="12.75" customHeight="1">
      <c r="A648" s="175"/>
      <c r="B648" s="175"/>
      <c r="C648" s="182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 ht="12.75" customHeight="1">
      <c r="A649" s="175"/>
      <c r="B649" s="175"/>
      <c r="C649" s="182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 ht="12.75" customHeight="1">
      <c r="A650" s="175"/>
      <c r="B650" s="175"/>
      <c r="C650" s="182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 ht="12.75" customHeight="1">
      <c r="A651" s="175"/>
      <c r="B651" s="175"/>
      <c r="C651" s="182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 ht="12.75" customHeight="1">
      <c r="A652" s="175"/>
      <c r="B652" s="175"/>
      <c r="C652" s="182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 ht="12.75" customHeight="1">
      <c r="A653" s="175"/>
      <c r="B653" s="175"/>
      <c r="C653" s="182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 ht="12.75" customHeight="1">
      <c r="A654" s="175"/>
      <c r="B654" s="175"/>
      <c r="C654" s="182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 ht="12.75" customHeight="1">
      <c r="A655" s="175"/>
      <c r="B655" s="175"/>
      <c r="C655" s="182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 ht="12.75" customHeight="1">
      <c r="A656" s="175"/>
      <c r="B656" s="175"/>
      <c r="C656" s="182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 ht="12.75" customHeight="1">
      <c r="A657" s="175"/>
      <c r="B657" s="175"/>
      <c r="C657" s="182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 ht="12.75" customHeight="1">
      <c r="A658" s="175"/>
      <c r="B658" s="175"/>
      <c r="C658" s="182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 ht="12.75" customHeight="1">
      <c r="A659" s="175"/>
      <c r="B659" s="175"/>
      <c r="C659" s="182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 ht="12.75" customHeight="1">
      <c r="A660" s="175"/>
      <c r="B660" s="175"/>
      <c r="C660" s="182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 ht="12.75" customHeight="1">
      <c r="A661" s="175"/>
      <c r="B661" s="175"/>
      <c r="C661" s="182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 ht="12.75" customHeight="1">
      <c r="A662" s="175"/>
      <c r="B662" s="175"/>
      <c r="C662" s="182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 ht="12.75" customHeight="1">
      <c r="A663" s="175"/>
      <c r="B663" s="175"/>
      <c r="C663" s="182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 ht="12.75" customHeight="1">
      <c r="A664" s="175"/>
      <c r="B664" s="175"/>
      <c r="C664" s="182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 ht="12.75" customHeight="1">
      <c r="A665" s="175"/>
      <c r="B665" s="175"/>
      <c r="C665" s="182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 ht="12.75" customHeight="1">
      <c r="A666" s="175"/>
      <c r="B666" s="175"/>
      <c r="C666" s="182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 ht="12.75" customHeight="1">
      <c r="A667" s="175"/>
      <c r="B667" s="175"/>
      <c r="C667" s="182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 ht="12.75" customHeight="1">
      <c r="A668" s="175"/>
      <c r="B668" s="175"/>
      <c r="C668" s="182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 ht="12.75" customHeight="1">
      <c r="A669" s="175"/>
      <c r="B669" s="175"/>
      <c r="C669" s="182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 ht="12.75" customHeight="1">
      <c r="A670" s="175"/>
      <c r="B670" s="175"/>
      <c r="C670" s="182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 ht="12.75" customHeight="1">
      <c r="A671" s="175"/>
      <c r="B671" s="175"/>
      <c r="C671" s="182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 ht="12.75" customHeight="1">
      <c r="A672" s="175"/>
      <c r="B672" s="175"/>
      <c r="C672" s="182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 ht="12.75" customHeight="1">
      <c r="A673" s="175"/>
      <c r="B673" s="175"/>
      <c r="C673" s="182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 ht="12.75" customHeight="1">
      <c r="A674" s="175"/>
      <c r="B674" s="175"/>
      <c r="C674" s="182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 ht="12.75" customHeight="1">
      <c r="A675" s="175"/>
      <c r="B675" s="175"/>
      <c r="C675" s="182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 ht="12.75" customHeight="1">
      <c r="A676" s="175"/>
      <c r="B676" s="175"/>
      <c r="C676" s="182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 ht="12.75" customHeight="1">
      <c r="A677" s="175"/>
      <c r="B677" s="175"/>
      <c r="C677" s="182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 ht="12.75" customHeight="1">
      <c r="A678" s="175"/>
      <c r="B678" s="175"/>
      <c r="C678" s="182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 ht="12.75" customHeight="1">
      <c r="A679" s="175"/>
      <c r="B679" s="175"/>
      <c r="C679" s="182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 ht="12.75" customHeight="1">
      <c r="A680" s="175"/>
      <c r="B680" s="175"/>
      <c r="C680" s="182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 ht="12.75" customHeight="1">
      <c r="A681" s="175"/>
      <c r="B681" s="175"/>
      <c r="C681" s="182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 ht="12.75" customHeight="1">
      <c r="A682" s="175"/>
      <c r="B682" s="175"/>
      <c r="C682" s="182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 ht="12.75" customHeight="1">
      <c r="A683" s="175"/>
      <c r="B683" s="175"/>
      <c r="C683" s="182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 ht="12.75" customHeight="1">
      <c r="A684" s="175"/>
      <c r="B684" s="175"/>
      <c r="C684" s="182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 ht="12.75" customHeight="1">
      <c r="A685" s="175"/>
      <c r="B685" s="175"/>
      <c r="C685" s="182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 ht="12.75" customHeight="1">
      <c r="A686" s="175"/>
      <c r="B686" s="175"/>
      <c r="C686" s="182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 ht="12.75" customHeight="1">
      <c r="A687" s="175"/>
      <c r="B687" s="175"/>
      <c r="C687" s="182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 ht="12.75" customHeight="1">
      <c r="A688" s="175"/>
      <c r="B688" s="175"/>
      <c r="C688" s="182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 ht="12.75" customHeight="1">
      <c r="A689" s="175"/>
      <c r="B689" s="175"/>
      <c r="C689" s="182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 ht="12.75" customHeight="1">
      <c r="A690" s="175"/>
      <c r="B690" s="175"/>
      <c r="C690" s="182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 ht="12.75" customHeight="1">
      <c r="A691" s="175"/>
      <c r="B691" s="175"/>
      <c r="C691" s="182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 ht="12.75" customHeight="1">
      <c r="A692" s="175"/>
      <c r="B692" s="175"/>
      <c r="C692" s="182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 ht="12.75" customHeight="1">
      <c r="A693" s="175"/>
      <c r="B693" s="175"/>
      <c r="C693" s="182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 ht="12.75" customHeight="1">
      <c r="A694" s="175"/>
      <c r="B694" s="175"/>
      <c r="C694" s="182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 ht="12.75" customHeight="1">
      <c r="A695" s="175"/>
      <c r="B695" s="175"/>
      <c r="C695" s="182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 ht="12.75" customHeight="1">
      <c r="A696" s="175"/>
      <c r="B696" s="175"/>
      <c r="C696" s="182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 ht="12.75" customHeight="1">
      <c r="A697" s="175"/>
      <c r="B697" s="175"/>
      <c r="C697" s="182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 ht="12.75" customHeight="1">
      <c r="A698" s="175"/>
      <c r="B698" s="175"/>
      <c r="C698" s="182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 ht="12.75" customHeight="1">
      <c r="A699" s="175"/>
      <c r="B699" s="175"/>
      <c r="C699" s="182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 ht="12.75" customHeight="1">
      <c r="A700" s="175"/>
      <c r="B700" s="175"/>
      <c r="C700" s="182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 ht="12.75" customHeight="1">
      <c r="A701" s="175"/>
      <c r="B701" s="175"/>
      <c r="C701" s="182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 ht="12.75" customHeight="1">
      <c r="A702" s="175"/>
      <c r="B702" s="175"/>
      <c r="C702" s="182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 ht="12.75" customHeight="1">
      <c r="A703" s="175"/>
      <c r="B703" s="175"/>
      <c r="C703" s="182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 ht="12.75" customHeight="1">
      <c r="A704" s="175"/>
      <c r="B704" s="175"/>
      <c r="C704" s="182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 ht="12.75" customHeight="1">
      <c r="A705" s="175"/>
      <c r="B705" s="175"/>
      <c r="C705" s="182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 ht="12.75" customHeight="1">
      <c r="A706" s="175"/>
      <c r="B706" s="175"/>
      <c r="C706" s="182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 ht="12.75" customHeight="1">
      <c r="A707" s="175"/>
      <c r="B707" s="175"/>
      <c r="C707" s="182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 ht="12.75" customHeight="1">
      <c r="A708" s="175"/>
      <c r="B708" s="175"/>
      <c r="C708" s="182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 ht="12.75" customHeight="1">
      <c r="A709" s="175"/>
      <c r="B709" s="175"/>
      <c r="C709" s="182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 ht="12.75" customHeight="1">
      <c r="A710" s="175"/>
      <c r="B710" s="175"/>
      <c r="C710" s="182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 ht="12.75" customHeight="1">
      <c r="A711" s="175"/>
      <c r="B711" s="175"/>
      <c r="C711" s="182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 ht="12.75" customHeight="1">
      <c r="A712" s="175"/>
      <c r="B712" s="175"/>
      <c r="C712" s="182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 ht="12.75" customHeight="1">
      <c r="A713" s="175"/>
      <c r="B713" s="175"/>
      <c r="C713" s="182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 ht="12.75" customHeight="1">
      <c r="A714" s="175"/>
      <c r="B714" s="175"/>
      <c r="C714" s="182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 ht="12.75" customHeight="1">
      <c r="A715" s="175"/>
      <c r="B715" s="175"/>
      <c r="C715" s="182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 ht="12.75" customHeight="1">
      <c r="A716" s="175"/>
      <c r="B716" s="175"/>
      <c r="C716" s="182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 ht="12.75" customHeight="1">
      <c r="A717" s="175"/>
      <c r="B717" s="175"/>
      <c r="C717" s="182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 ht="12.75" customHeight="1">
      <c r="A718" s="175"/>
      <c r="B718" s="175"/>
      <c r="C718" s="182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 ht="12.75" customHeight="1">
      <c r="A719" s="175"/>
      <c r="B719" s="175"/>
      <c r="C719" s="182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 ht="12.75" customHeight="1">
      <c r="A720" s="175"/>
      <c r="B720" s="175"/>
      <c r="C720" s="182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 ht="12.75" customHeight="1">
      <c r="A721" s="175"/>
      <c r="B721" s="175"/>
      <c r="C721" s="182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 ht="12.75" customHeight="1">
      <c r="A722" s="175"/>
      <c r="B722" s="175"/>
      <c r="C722" s="182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 ht="12.75" customHeight="1">
      <c r="A723" s="175"/>
      <c r="B723" s="175"/>
      <c r="C723" s="182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 ht="12.75" customHeight="1">
      <c r="A724" s="175"/>
      <c r="B724" s="175"/>
      <c r="C724" s="182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 ht="12.75" customHeight="1">
      <c r="A725" s="175"/>
      <c r="B725" s="175"/>
      <c r="C725" s="182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 ht="12.75" customHeight="1">
      <c r="A726" s="175"/>
      <c r="B726" s="175"/>
      <c r="C726" s="182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 ht="12.75" customHeight="1">
      <c r="A727" s="175"/>
      <c r="B727" s="175"/>
      <c r="C727" s="182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 ht="12.75" customHeight="1">
      <c r="A728" s="175"/>
      <c r="B728" s="175"/>
      <c r="C728" s="182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 ht="12.75" customHeight="1">
      <c r="A729" s="175"/>
      <c r="B729" s="175"/>
      <c r="C729" s="182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 ht="12.75" customHeight="1">
      <c r="A730" s="175"/>
      <c r="B730" s="175"/>
      <c r="C730" s="182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 ht="12.75" customHeight="1">
      <c r="A731" s="175"/>
      <c r="B731" s="175"/>
      <c r="C731" s="182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 ht="12.75" customHeight="1">
      <c r="A732" s="175"/>
      <c r="B732" s="175"/>
      <c r="C732" s="182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 ht="12.75" customHeight="1">
      <c r="A733" s="175"/>
      <c r="B733" s="175"/>
      <c r="C733" s="182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 ht="12.75" customHeight="1">
      <c r="A734" s="175"/>
      <c r="B734" s="175"/>
      <c r="C734" s="182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 ht="12.75" customHeight="1">
      <c r="A735" s="175"/>
      <c r="B735" s="175"/>
      <c r="C735" s="182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 ht="12.75" customHeight="1">
      <c r="A736" s="175"/>
      <c r="B736" s="175"/>
      <c r="C736" s="182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 ht="12.75" customHeight="1">
      <c r="A737" s="175"/>
      <c r="B737" s="175"/>
      <c r="C737" s="182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 ht="12.75" customHeight="1">
      <c r="A738" s="175"/>
      <c r="B738" s="175"/>
      <c r="C738" s="182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 ht="12.75" customHeight="1">
      <c r="A739" s="175"/>
      <c r="B739" s="175"/>
      <c r="C739" s="182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 ht="12.75" customHeight="1">
      <c r="A740" s="175"/>
      <c r="B740" s="175"/>
      <c r="C740" s="182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 ht="12.75" customHeight="1">
      <c r="A741" s="175"/>
      <c r="B741" s="175"/>
      <c r="C741" s="182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 ht="12.75" customHeight="1">
      <c r="A742" s="175"/>
      <c r="B742" s="175"/>
      <c r="C742" s="182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 ht="12.75" customHeight="1">
      <c r="A743" s="175"/>
      <c r="B743" s="175"/>
      <c r="C743" s="182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 ht="12.75" customHeight="1">
      <c r="A744" s="175"/>
      <c r="B744" s="175"/>
      <c r="C744" s="182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 ht="12.75" customHeight="1">
      <c r="A745" s="175"/>
      <c r="B745" s="175"/>
      <c r="C745" s="182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 ht="12.75" customHeight="1">
      <c r="A746" s="175"/>
      <c r="B746" s="175"/>
      <c r="C746" s="182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 ht="12.75" customHeight="1">
      <c r="A747" s="175"/>
      <c r="B747" s="175"/>
      <c r="C747" s="182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 ht="12.75" customHeight="1">
      <c r="A748" s="175"/>
      <c r="B748" s="175"/>
      <c r="C748" s="182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 ht="12.75" customHeight="1">
      <c r="A749" s="175"/>
      <c r="B749" s="175"/>
      <c r="C749" s="182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 ht="12.75" customHeight="1">
      <c r="A750" s="175"/>
      <c r="B750" s="175"/>
      <c r="C750" s="182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 ht="12.75" customHeight="1">
      <c r="A751" s="175"/>
      <c r="B751" s="175"/>
      <c r="C751" s="182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 ht="12.75" customHeight="1">
      <c r="A752" s="175"/>
      <c r="B752" s="175"/>
      <c r="C752" s="182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 ht="12.75" customHeight="1">
      <c r="A753" s="175"/>
      <c r="B753" s="175"/>
      <c r="C753" s="182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 ht="12.75" customHeight="1">
      <c r="A754" s="175"/>
      <c r="B754" s="175"/>
      <c r="C754" s="182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 ht="12.75" customHeight="1">
      <c r="A755" s="175"/>
      <c r="B755" s="175"/>
      <c r="C755" s="182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 ht="12.75" customHeight="1">
      <c r="A756" s="175"/>
      <c r="B756" s="175"/>
      <c r="C756" s="182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 ht="12.75" customHeight="1">
      <c r="A757" s="175"/>
      <c r="B757" s="175"/>
      <c r="C757" s="182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 ht="12.75" customHeight="1">
      <c r="A758" s="175"/>
      <c r="B758" s="175"/>
      <c r="C758" s="182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 ht="12.75" customHeight="1">
      <c r="A759" s="175"/>
      <c r="B759" s="175"/>
      <c r="C759" s="182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 ht="12.75" customHeight="1">
      <c r="A760" s="175"/>
      <c r="B760" s="175"/>
      <c r="C760" s="182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 ht="12.75" customHeight="1">
      <c r="A761" s="175"/>
      <c r="B761" s="175"/>
      <c r="C761" s="182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 ht="12.75" customHeight="1">
      <c r="A762" s="175"/>
      <c r="B762" s="175"/>
      <c r="C762" s="182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 ht="12.75" customHeight="1">
      <c r="A763" s="175"/>
      <c r="B763" s="175"/>
      <c r="C763" s="182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 ht="12.75" customHeight="1">
      <c r="A764" s="175"/>
      <c r="B764" s="175"/>
      <c r="C764" s="182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 ht="12.75" customHeight="1">
      <c r="A765" s="175"/>
      <c r="B765" s="175"/>
      <c r="C765" s="182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 ht="12.75" customHeight="1">
      <c r="A766" s="175"/>
      <c r="B766" s="175"/>
      <c r="C766" s="182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 ht="12.75" customHeight="1">
      <c r="A767" s="175"/>
      <c r="B767" s="175"/>
      <c r="C767" s="182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 ht="12.75" customHeight="1">
      <c r="A768" s="175"/>
      <c r="B768" s="175"/>
      <c r="C768" s="182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 ht="12.75" customHeight="1">
      <c r="A769" s="175"/>
      <c r="B769" s="175"/>
      <c r="C769" s="182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 ht="12.75" customHeight="1">
      <c r="A770" s="175"/>
      <c r="B770" s="175"/>
      <c r="C770" s="182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 ht="12.75" customHeight="1">
      <c r="A771" s="175"/>
      <c r="B771" s="175"/>
      <c r="C771" s="182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 ht="12.75" customHeight="1">
      <c r="A772" s="175"/>
      <c r="B772" s="175"/>
      <c r="C772" s="182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 ht="12.75" customHeight="1">
      <c r="A773" s="175"/>
      <c r="B773" s="175"/>
      <c r="C773" s="182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 ht="12.75" customHeight="1">
      <c r="A774" s="175"/>
      <c r="B774" s="175"/>
      <c r="C774" s="182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 ht="12.75" customHeight="1">
      <c r="A775" s="175"/>
      <c r="B775" s="175"/>
      <c r="C775" s="182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 ht="12.75" customHeight="1">
      <c r="A776" s="175"/>
      <c r="B776" s="175"/>
      <c r="C776" s="182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 ht="12.75" customHeight="1">
      <c r="A777" s="175"/>
      <c r="B777" s="175"/>
      <c r="C777" s="182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 ht="12.75" customHeight="1">
      <c r="A778" s="175"/>
      <c r="B778" s="175"/>
      <c r="C778" s="182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 ht="12.75" customHeight="1">
      <c r="A779" s="175"/>
      <c r="B779" s="175"/>
      <c r="C779" s="182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 ht="12.75" customHeight="1">
      <c r="A780" s="175"/>
      <c r="B780" s="175"/>
      <c r="C780" s="182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 ht="12.75" customHeight="1">
      <c r="A781" s="175"/>
      <c r="B781" s="175"/>
      <c r="C781" s="182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 ht="12.75" customHeight="1">
      <c r="A782" s="175"/>
      <c r="B782" s="175"/>
      <c r="C782" s="182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 ht="12.75" customHeight="1">
      <c r="A783" s="175"/>
      <c r="B783" s="175"/>
      <c r="C783" s="182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 ht="12.75" customHeight="1">
      <c r="A784" s="175"/>
      <c r="B784" s="175"/>
      <c r="C784" s="182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 ht="12.75" customHeight="1">
      <c r="A785" s="175"/>
      <c r="B785" s="175"/>
      <c r="C785" s="182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 ht="12.75" customHeight="1">
      <c r="A786" s="175"/>
      <c r="B786" s="175"/>
      <c r="C786" s="182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 ht="12.75" customHeight="1">
      <c r="A787" s="175"/>
      <c r="B787" s="175"/>
      <c r="C787" s="182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 ht="12.75" customHeight="1">
      <c r="A788" s="175"/>
      <c r="B788" s="175"/>
      <c r="C788" s="182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 ht="12.75" customHeight="1">
      <c r="A789" s="175"/>
      <c r="B789" s="175"/>
      <c r="C789" s="182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 ht="12.75" customHeight="1">
      <c r="A790" s="175"/>
      <c r="B790" s="175"/>
      <c r="C790" s="182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 ht="12.75" customHeight="1">
      <c r="A791" s="175"/>
      <c r="B791" s="175"/>
      <c r="C791" s="182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 ht="12.75" customHeight="1">
      <c r="A792" s="175"/>
      <c r="B792" s="175"/>
      <c r="C792" s="182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 ht="12.75" customHeight="1">
      <c r="A793" s="175"/>
      <c r="B793" s="175"/>
      <c r="C793" s="182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 ht="12.75" customHeight="1">
      <c r="A794" s="175"/>
      <c r="B794" s="175"/>
      <c r="C794" s="182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 ht="12.75" customHeight="1">
      <c r="A795" s="175"/>
      <c r="B795" s="175"/>
      <c r="C795" s="182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 ht="12.75" customHeight="1">
      <c r="A796" s="175"/>
      <c r="B796" s="175"/>
      <c r="C796" s="182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 ht="12.75" customHeight="1">
      <c r="A797" s="175"/>
      <c r="B797" s="175"/>
      <c r="C797" s="182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 ht="12.75" customHeight="1">
      <c r="A798" s="175"/>
      <c r="B798" s="175"/>
      <c r="C798" s="182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 ht="12.75" customHeight="1">
      <c r="A799" s="175"/>
      <c r="B799" s="175"/>
      <c r="C799" s="182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 ht="12.75" customHeight="1">
      <c r="A800" s="175"/>
      <c r="B800" s="175"/>
      <c r="C800" s="182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 ht="12.75" customHeight="1">
      <c r="A801" s="175"/>
      <c r="B801" s="175"/>
      <c r="C801" s="182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 ht="12.75" customHeight="1">
      <c r="A802" s="175"/>
      <c r="B802" s="175"/>
      <c r="C802" s="182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 ht="12.75" customHeight="1">
      <c r="A803" s="175"/>
      <c r="B803" s="175"/>
      <c r="C803" s="182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 ht="12.75" customHeight="1">
      <c r="A804" s="175"/>
      <c r="B804" s="175"/>
      <c r="C804" s="182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 ht="12.75" customHeight="1">
      <c r="A805" s="175"/>
      <c r="B805" s="175"/>
      <c r="C805" s="182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 ht="12.75" customHeight="1">
      <c r="A806" s="175"/>
      <c r="B806" s="175"/>
      <c r="C806" s="182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 ht="12.75" customHeight="1">
      <c r="A807" s="175"/>
      <c r="B807" s="175"/>
      <c r="C807" s="182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 ht="12.75" customHeight="1">
      <c r="A808" s="175"/>
      <c r="B808" s="175"/>
      <c r="C808" s="182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 ht="12.75" customHeight="1">
      <c r="A809" s="175"/>
      <c r="B809" s="175"/>
      <c r="C809" s="182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 ht="12.75" customHeight="1">
      <c r="A810" s="175"/>
      <c r="B810" s="175"/>
      <c r="C810" s="182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 ht="12.75" customHeight="1">
      <c r="A811" s="175"/>
      <c r="B811" s="175"/>
      <c r="C811" s="182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 ht="12.75" customHeight="1">
      <c r="A812" s="175"/>
      <c r="B812" s="175"/>
      <c r="C812" s="182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 ht="12.75" customHeight="1">
      <c r="A813" s="175"/>
      <c r="B813" s="175"/>
      <c r="C813" s="182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 ht="12.75" customHeight="1">
      <c r="A814" s="175"/>
      <c r="B814" s="175"/>
      <c r="C814" s="182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 ht="12.75" customHeight="1">
      <c r="A815" s="175"/>
      <c r="B815" s="175"/>
      <c r="C815" s="182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 ht="12.75" customHeight="1">
      <c r="A816" s="175"/>
      <c r="B816" s="175"/>
      <c r="C816" s="182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 ht="12.75" customHeight="1">
      <c r="A817" s="175"/>
      <c r="B817" s="175"/>
      <c r="C817" s="182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 ht="12.75" customHeight="1">
      <c r="A818" s="175"/>
      <c r="B818" s="175"/>
      <c r="C818" s="182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 ht="12.75" customHeight="1">
      <c r="A819" s="175"/>
      <c r="B819" s="175"/>
      <c r="C819" s="182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 ht="12.75" customHeight="1">
      <c r="A820" s="175"/>
      <c r="B820" s="175"/>
      <c r="C820" s="182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 ht="12.75" customHeight="1">
      <c r="A821" s="175"/>
      <c r="B821" s="175"/>
      <c r="C821" s="182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 ht="12.75" customHeight="1">
      <c r="A822" s="175"/>
      <c r="B822" s="175"/>
      <c r="C822" s="182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 ht="12.75" customHeight="1">
      <c r="A823" s="175"/>
      <c r="B823" s="175"/>
      <c r="C823" s="182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 ht="12.75" customHeight="1">
      <c r="A824" s="175"/>
      <c r="B824" s="175"/>
      <c r="C824" s="182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 ht="12.75" customHeight="1">
      <c r="A825" s="175"/>
      <c r="B825" s="175"/>
      <c r="C825" s="182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 ht="12.75" customHeight="1">
      <c r="A826" s="175"/>
      <c r="B826" s="175"/>
      <c r="C826" s="182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 ht="12.75" customHeight="1">
      <c r="A827" s="175"/>
      <c r="B827" s="175"/>
      <c r="C827" s="182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 ht="12.75" customHeight="1">
      <c r="A828" s="175"/>
      <c r="B828" s="175"/>
      <c r="C828" s="182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 ht="12.75" customHeight="1">
      <c r="A829" s="175"/>
      <c r="B829" s="175"/>
      <c r="C829" s="182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 ht="12.75" customHeight="1">
      <c r="A830" s="175"/>
      <c r="B830" s="175"/>
      <c r="C830" s="182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 ht="12.75" customHeight="1">
      <c r="A831" s="175"/>
      <c r="B831" s="175"/>
      <c r="C831" s="182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 ht="12.75" customHeight="1">
      <c r="A832" s="175"/>
      <c r="B832" s="175"/>
      <c r="C832" s="182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 ht="12.75" customHeight="1">
      <c r="A833" s="175"/>
      <c r="B833" s="175"/>
      <c r="C833" s="182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 ht="12.75" customHeight="1">
      <c r="A834" s="175"/>
      <c r="B834" s="175"/>
      <c r="C834" s="182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 ht="12.75" customHeight="1">
      <c r="A835" s="175"/>
      <c r="B835" s="175"/>
      <c r="C835" s="182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 ht="12.75" customHeight="1">
      <c r="A836" s="175"/>
      <c r="B836" s="175"/>
      <c r="C836" s="182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 ht="12.75" customHeight="1">
      <c r="A837" s="175"/>
      <c r="B837" s="175"/>
      <c r="C837" s="182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 ht="12.75" customHeight="1">
      <c r="A838" s="175"/>
      <c r="B838" s="175"/>
      <c r="C838" s="182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 ht="12.75" customHeight="1">
      <c r="A839" s="175"/>
      <c r="B839" s="175"/>
      <c r="C839" s="182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 ht="12.75" customHeight="1">
      <c r="A840" s="175"/>
      <c r="B840" s="175"/>
      <c r="C840" s="182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 ht="12.75" customHeight="1">
      <c r="A841" s="175"/>
      <c r="B841" s="175"/>
      <c r="C841" s="182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 ht="12.75" customHeight="1">
      <c r="A842" s="175"/>
      <c r="B842" s="175"/>
      <c r="C842" s="182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 ht="12.75" customHeight="1">
      <c r="A843" s="175"/>
      <c r="B843" s="175"/>
      <c r="C843" s="182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 ht="12.75" customHeight="1">
      <c r="A844" s="175"/>
      <c r="B844" s="175"/>
      <c r="C844" s="182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 ht="12.75" customHeight="1">
      <c r="A845" s="175"/>
      <c r="B845" s="175"/>
      <c r="C845" s="182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 ht="12.75" customHeight="1">
      <c r="A846" s="175"/>
      <c r="B846" s="175"/>
      <c r="C846" s="182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 ht="12.75" customHeight="1">
      <c r="A847" s="175"/>
      <c r="B847" s="175"/>
      <c r="C847" s="182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 ht="12.75" customHeight="1">
      <c r="A848" s="175"/>
      <c r="B848" s="175"/>
      <c r="C848" s="182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 ht="12.75" customHeight="1">
      <c r="A849" s="175"/>
      <c r="B849" s="175"/>
      <c r="C849" s="182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 ht="12.75" customHeight="1">
      <c r="A850" s="175"/>
      <c r="B850" s="175"/>
      <c r="C850" s="182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 ht="12.75" customHeight="1">
      <c r="A851" s="175"/>
      <c r="B851" s="175"/>
      <c r="C851" s="182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 ht="12.75" customHeight="1">
      <c r="A852" s="175"/>
      <c r="B852" s="175"/>
      <c r="C852" s="182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 ht="12.75" customHeight="1">
      <c r="A853" s="175"/>
      <c r="B853" s="175"/>
      <c r="C853" s="182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 ht="12.75" customHeight="1">
      <c r="A854" s="175"/>
      <c r="B854" s="175"/>
      <c r="C854" s="182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 ht="12.75" customHeight="1">
      <c r="A855" s="175"/>
      <c r="B855" s="175"/>
      <c r="C855" s="182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 ht="12.75" customHeight="1">
      <c r="A856" s="175"/>
      <c r="B856" s="175"/>
      <c r="C856" s="182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 ht="12.75" customHeight="1">
      <c r="A857" s="175"/>
      <c r="B857" s="175"/>
      <c r="C857" s="182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 ht="12.75" customHeight="1">
      <c r="A858" s="175"/>
      <c r="B858" s="175"/>
      <c r="C858" s="182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 ht="12.75" customHeight="1">
      <c r="A859" s="175"/>
      <c r="B859" s="175"/>
      <c r="C859" s="182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 ht="12.75" customHeight="1">
      <c r="A860" s="175"/>
      <c r="B860" s="175"/>
      <c r="C860" s="182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 ht="12.75" customHeight="1">
      <c r="A861" s="175"/>
      <c r="B861" s="175"/>
      <c r="C861" s="182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 ht="12.75" customHeight="1">
      <c r="A862" s="175"/>
      <c r="B862" s="175"/>
      <c r="C862" s="182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 ht="12.75" customHeight="1">
      <c r="A863" s="175"/>
      <c r="B863" s="175"/>
      <c r="C863" s="182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 ht="12.75" customHeight="1">
      <c r="A864" s="175"/>
      <c r="B864" s="175"/>
      <c r="C864" s="182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 ht="12.75" customHeight="1">
      <c r="A865" s="175"/>
      <c r="B865" s="175"/>
      <c r="C865" s="182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 ht="12.75" customHeight="1">
      <c r="A866" s="175"/>
      <c r="B866" s="175"/>
      <c r="C866" s="182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 ht="12.75" customHeight="1">
      <c r="A867" s="175"/>
      <c r="B867" s="175"/>
      <c r="C867" s="182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 ht="12.75" customHeight="1">
      <c r="A868" s="175"/>
      <c r="B868" s="175"/>
      <c r="C868" s="182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 ht="12.75" customHeight="1">
      <c r="A869" s="175"/>
      <c r="B869" s="175"/>
      <c r="C869" s="182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 ht="12.75" customHeight="1">
      <c r="A870" s="175"/>
      <c r="B870" s="175"/>
      <c r="C870" s="182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 ht="12.75" customHeight="1">
      <c r="A871" s="175"/>
      <c r="B871" s="175"/>
      <c r="C871" s="182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 ht="12.75" customHeight="1">
      <c r="A872" s="175"/>
      <c r="B872" s="175"/>
      <c r="C872" s="182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 ht="12.75" customHeight="1">
      <c r="A873" s="175"/>
      <c r="B873" s="175"/>
      <c r="C873" s="182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 ht="12.75" customHeight="1">
      <c r="A874" s="175"/>
      <c r="B874" s="175"/>
      <c r="C874" s="182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 ht="12.75" customHeight="1">
      <c r="A875" s="175"/>
      <c r="B875" s="175"/>
      <c r="C875" s="182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 ht="12.75" customHeight="1">
      <c r="A876" s="175"/>
      <c r="B876" s="175"/>
      <c r="C876" s="182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 ht="12.75" customHeight="1">
      <c r="A877" s="175"/>
      <c r="B877" s="175"/>
      <c r="C877" s="182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 ht="12.75" customHeight="1">
      <c r="A878" s="175"/>
      <c r="B878" s="175"/>
      <c r="C878" s="182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 ht="12.75" customHeight="1">
      <c r="A879" s="175"/>
      <c r="B879" s="175"/>
      <c r="C879" s="182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 ht="12.75" customHeight="1">
      <c r="A880" s="175"/>
      <c r="B880" s="175"/>
      <c r="C880" s="182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 ht="12.75" customHeight="1">
      <c r="A881" s="175"/>
      <c r="B881" s="175"/>
      <c r="C881" s="182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 ht="12.75" customHeight="1">
      <c r="A882" s="175"/>
      <c r="B882" s="175"/>
      <c r="C882" s="182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 ht="12.75" customHeight="1">
      <c r="A883" s="175"/>
      <c r="B883" s="175"/>
      <c r="C883" s="182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 ht="12.75" customHeight="1">
      <c r="A884" s="175"/>
      <c r="B884" s="175"/>
      <c r="C884" s="182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 ht="12.75" customHeight="1">
      <c r="A885" s="175"/>
      <c r="B885" s="175"/>
      <c r="C885" s="182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 ht="12.75" customHeight="1">
      <c r="A886" s="175"/>
      <c r="B886" s="175"/>
      <c r="C886" s="182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 ht="12.75" customHeight="1">
      <c r="A887" s="175"/>
      <c r="B887" s="175"/>
      <c r="C887" s="182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 ht="12.75" customHeight="1">
      <c r="A888" s="175"/>
      <c r="B888" s="175"/>
      <c r="C888" s="182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 ht="12.75" customHeight="1">
      <c r="A889" s="175"/>
      <c r="B889" s="175"/>
      <c r="C889" s="182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 ht="12.75" customHeight="1">
      <c r="A890" s="175"/>
      <c r="B890" s="175"/>
      <c r="C890" s="182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 ht="12.75" customHeight="1">
      <c r="A891" s="175"/>
      <c r="B891" s="175"/>
      <c r="C891" s="182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 ht="12.75" customHeight="1">
      <c r="A892" s="175"/>
      <c r="B892" s="175"/>
      <c r="C892" s="182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 ht="12.75" customHeight="1">
      <c r="A893" s="175"/>
      <c r="B893" s="175"/>
      <c r="C893" s="182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 ht="12.75" customHeight="1">
      <c r="A894" s="175"/>
      <c r="B894" s="175"/>
      <c r="C894" s="182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 ht="12.75" customHeight="1">
      <c r="A895" s="175"/>
      <c r="B895" s="175"/>
      <c r="C895" s="182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 ht="12.75" customHeight="1">
      <c r="A896" s="175"/>
      <c r="B896" s="175"/>
      <c r="C896" s="182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 ht="12.75" customHeight="1">
      <c r="A897" s="175"/>
      <c r="B897" s="175"/>
      <c r="C897" s="182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 ht="12.75" customHeight="1">
      <c r="A898" s="175"/>
      <c r="B898" s="175"/>
      <c r="C898" s="182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 ht="12.75" customHeight="1">
      <c r="A899" s="175"/>
      <c r="B899" s="175"/>
      <c r="C899" s="182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 ht="12.75" customHeight="1">
      <c r="A900" s="175"/>
      <c r="B900" s="175"/>
      <c r="C900" s="182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 ht="12.75" customHeight="1">
      <c r="A901" s="175"/>
      <c r="B901" s="175"/>
      <c r="C901" s="182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 ht="12.75" customHeight="1">
      <c r="A902" s="175"/>
      <c r="B902" s="175"/>
      <c r="C902" s="182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 ht="12.75" customHeight="1">
      <c r="A903" s="175"/>
      <c r="B903" s="175"/>
      <c r="C903" s="182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 ht="12.75" customHeight="1">
      <c r="A904" s="175"/>
      <c r="B904" s="175"/>
      <c r="C904" s="182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 ht="12.75" customHeight="1">
      <c r="A905" s="175"/>
      <c r="B905" s="175"/>
      <c r="C905" s="182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 ht="12.75" customHeight="1">
      <c r="A906" s="175"/>
      <c r="B906" s="175"/>
      <c r="C906" s="182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 ht="12.75" customHeight="1">
      <c r="A907" s="175"/>
      <c r="B907" s="175"/>
      <c r="C907" s="182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 ht="12.75" customHeight="1">
      <c r="A908" s="175"/>
      <c r="B908" s="175"/>
      <c r="C908" s="182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 ht="12.75" customHeight="1">
      <c r="A909" s="175"/>
      <c r="B909" s="175"/>
      <c r="C909" s="182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 ht="12.75" customHeight="1">
      <c r="A910" s="175"/>
      <c r="B910" s="175"/>
      <c r="C910" s="182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 ht="12.75" customHeight="1">
      <c r="A911" s="175"/>
      <c r="B911" s="175"/>
      <c r="C911" s="182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 ht="12.75" customHeight="1">
      <c r="A912" s="175"/>
      <c r="B912" s="175"/>
      <c r="C912" s="182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 ht="12.75" customHeight="1">
      <c r="A913" s="175"/>
      <c r="B913" s="175"/>
      <c r="C913" s="182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 ht="12.75" customHeight="1">
      <c r="A914" s="175"/>
      <c r="B914" s="175"/>
      <c r="C914" s="182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 ht="12.75" customHeight="1">
      <c r="A915" s="175"/>
      <c r="B915" s="175"/>
      <c r="C915" s="182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 ht="12.75" customHeight="1">
      <c r="A916" s="175"/>
      <c r="B916" s="175"/>
      <c r="C916" s="182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 ht="12.75" customHeight="1">
      <c r="A917" s="175"/>
      <c r="B917" s="175"/>
      <c r="C917" s="182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 ht="12.75" customHeight="1">
      <c r="A918" s="175"/>
      <c r="B918" s="175"/>
      <c r="C918" s="182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 ht="12.75" customHeight="1">
      <c r="A919" s="175"/>
      <c r="B919" s="175"/>
      <c r="C919" s="182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 ht="12.75" customHeight="1">
      <c r="A920" s="175"/>
      <c r="B920" s="175"/>
      <c r="C920" s="182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 ht="12.75" customHeight="1">
      <c r="A921" s="175"/>
      <c r="B921" s="175"/>
      <c r="C921" s="182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 ht="12.75" customHeight="1">
      <c r="A922" s="175"/>
      <c r="B922" s="175"/>
      <c r="C922" s="182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 ht="12.75" customHeight="1">
      <c r="A923" s="175"/>
      <c r="B923" s="175"/>
      <c r="C923" s="182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 ht="12.75" customHeight="1">
      <c r="A924" s="175"/>
      <c r="B924" s="175"/>
      <c r="C924" s="182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 ht="12.75" customHeight="1">
      <c r="A925" s="175"/>
      <c r="B925" s="175"/>
      <c r="C925" s="182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 ht="12.75" customHeight="1">
      <c r="A926" s="175"/>
      <c r="B926" s="175"/>
      <c r="C926" s="182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 ht="12.75" customHeight="1">
      <c r="A927" s="175"/>
      <c r="B927" s="175"/>
      <c r="C927" s="182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 ht="12.75" customHeight="1">
      <c r="A928" s="175"/>
      <c r="B928" s="175"/>
      <c r="C928" s="182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 ht="12.75" customHeight="1">
      <c r="A929" s="175"/>
      <c r="B929" s="175"/>
      <c r="C929" s="182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 ht="12.75" customHeight="1">
      <c r="A930" s="175"/>
      <c r="B930" s="175"/>
      <c r="C930" s="182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 ht="12.75" customHeight="1">
      <c r="A931" s="175"/>
      <c r="B931" s="175"/>
      <c r="C931" s="182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 ht="12.75" customHeight="1">
      <c r="A932" s="175"/>
      <c r="B932" s="175"/>
      <c r="C932" s="182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 ht="12.75" customHeight="1">
      <c r="A933" s="175"/>
      <c r="B933" s="175"/>
      <c r="C933" s="182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 ht="12.75" customHeight="1">
      <c r="A934" s="175"/>
      <c r="B934" s="175"/>
      <c r="C934" s="182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 ht="12.75" customHeight="1">
      <c r="A935" s="175"/>
      <c r="B935" s="175"/>
      <c r="C935" s="182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 ht="12.75" customHeight="1">
      <c r="A936" s="175"/>
      <c r="B936" s="175"/>
      <c r="C936" s="182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 ht="12.75" customHeight="1">
      <c r="A937" s="175"/>
      <c r="B937" s="175"/>
      <c r="C937" s="182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 ht="12.75" customHeight="1">
      <c r="A938" s="175"/>
      <c r="B938" s="175"/>
      <c r="C938" s="182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 ht="12.75" customHeight="1">
      <c r="A939" s="175"/>
      <c r="B939" s="175"/>
      <c r="C939" s="182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 ht="12.75" customHeight="1">
      <c r="A940" s="175"/>
      <c r="B940" s="175"/>
      <c r="C940" s="182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 ht="12.75" customHeight="1">
      <c r="A941" s="175"/>
      <c r="B941" s="175"/>
      <c r="C941" s="182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 ht="12.75" customHeight="1">
      <c r="A942" s="175"/>
      <c r="B942" s="175"/>
      <c r="C942" s="182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 ht="12.75" customHeight="1">
      <c r="A943" s="175"/>
      <c r="B943" s="175"/>
      <c r="C943" s="182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 ht="12.75" customHeight="1">
      <c r="A944" s="175"/>
      <c r="B944" s="175"/>
      <c r="C944" s="182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 ht="12.75" customHeight="1">
      <c r="A945" s="175"/>
      <c r="B945" s="175"/>
      <c r="C945" s="182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 ht="12.75" customHeight="1">
      <c r="A946" s="175"/>
      <c r="B946" s="175"/>
      <c r="C946" s="182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 ht="12.75" customHeight="1">
      <c r="A947" s="175"/>
      <c r="B947" s="175"/>
      <c r="C947" s="182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 ht="12.75" customHeight="1">
      <c r="A948" s="175"/>
      <c r="B948" s="175"/>
      <c r="C948" s="182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 ht="12.75" customHeight="1">
      <c r="A949" s="175"/>
      <c r="B949" s="175"/>
      <c r="C949" s="182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 ht="12.75" customHeight="1">
      <c r="A950" s="175"/>
      <c r="B950" s="175"/>
      <c r="C950" s="182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 ht="12.75" customHeight="1">
      <c r="A951" s="175"/>
      <c r="B951" s="175"/>
      <c r="C951" s="182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 ht="12.75" customHeight="1">
      <c r="A952" s="175"/>
      <c r="B952" s="175"/>
      <c r="C952" s="182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 ht="12.75" customHeight="1">
      <c r="A953" s="175"/>
      <c r="B953" s="175"/>
      <c r="C953" s="182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 ht="12.75" customHeight="1">
      <c r="A954" s="175"/>
      <c r="B954" s="175"/>
      <c r="C954" s="182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 ht="12.75" customHeight="1">
      <c r="A955" s="175"/>
      <c r="B955" s="175"/>
      <c r="C955" s="182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 ht="12.75" customHeight="1">
      <c r="A956" s="175"/>
      <c r="B956" s="175"/>
      <c r="C956" s="182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 ht="12.75" customHeight="1">
      <c r="A957" s="175"/>
      <c r="B957" s="175"/>
      <c r="C957" s="182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 ht="12.75" customHeight="1">
      <c r="A958" s="175"/>
      <c r="B958" s="175"/>
      <c r="C958" s="182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 ht="12.75" customHeight="1">
      <c r="A959" s="175"/>
      <c r="B959" s="175"/>
      <c r="C959" s="182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 ht="12.75" customHeight="1">
      <c r="A960" s="175"/>
      <c r="B960" s="175"/>
      <c r="C960" s="182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 ht="12.75" customHeight="1">
      <c r="A961" s="175"/>
      <c r="B961" s="175"/>
      <c r="C961" s="182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 ht="12.75" customHeight="1">
      <c r="A962" s="175"/>
      <c r="B962" s="175"/>
      <c r="C962" s="182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 ht="12.75" customHeight="1">
      <c r="A963" s="175"/>
      <c r="B963" s="175"/>
      <c r="C963" s="182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 ht="12.75" customHeight="1">
      <c r="A964" s="175"/>
      <c r="B964" s="175"/>
      <c r="C964" s="182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 ht="12.75" customHeight="1">
      <c r="A965" s="175"/>
      <c r="B965" s="175"/>
      <c r="C965" s="182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 ht="12.75" customHeight="1">
      <c r="A966" s="175"/>
      <c r="B966" s="175"/>
      <c r="C966" s="182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 ht="12.75" customHeight="1">
      <c r="A967" s="175"/>
      <c r="B967" s="175"/>
      <c r="C967" s="182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 ht="12.75" customHeight="1">
      <c r="A968" s="175"/>
      <c r="B968" s="175"/>
      <c r="C968" s="182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 ht="12.75" customHeight="1">
      <c r="A969" s="175"/>
      <c r="B969" s="175"/>
      <c r="C969" s="182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 ht="12.75" customHeight="1">
      <c r="A970" s="175"/>
      <c r="B970" s="175"/>
      <c r="C970" s="182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 ht="12.75" customHeight="1">
      <c r="A971" s="175"/>
      <c r="B971" s="175"/>
      <c r="C971" s="182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 ht="12.75" customHeight="1">
      <c r="A972" s="175"/>
      <c r="B972" s="175"/>
      <c r="C972" s="182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 ht="12.75" customHeight="1">
      <c r="A973" s="175"/>
      <c r="B973" s="175"/>
      <c r="C973" s="182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 ht="12.75" customHeight="1">
      <c r="A974" s="175"/>
      <c r="B974" s="175"/>
      <c r="C974" s="182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 ht="12.75" customHeight="1">
      <c r="A975" s="175"/>
      <c r="B975" s="175"/>
      <c r="C975" s="182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 ht="12.75" customHeight="1">
      <c r="A976" s="175"/>
      <c r="B976" s="175"/>
      <c r="C976" s="182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 ht="12.75" customHeight="1">
      <c r="A977" s="175"/>
      <c r="B977" s="175"/>
      <c r="C977" s="182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 ht="12.75" customHeight="1">
      <c r="A978" s="175"/>
      <c r="B978" s="175"/>
      <c r="C978" s="182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 ht="12.75" customHeight="1">
      <c r="A979" s="175"/>
      <c r="B979" s="175"/>
      <c r="C979" s="182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 ht="12.75" customHeight="1">
      <c r="A980" s="175"/>
      <c r="B980" s="175"/>
      <c r="C980" s="182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 ht="12.75" customHeight="1">
      <c r="A981" s="175"/>
      <c r="B981" s="175"/>
      <c r="C981" s="182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 ht="12.75" customHeight="1">
      <c r="A982" s="175"/>
      <c r="B982" s="175"/>
      <c r="C982" s="182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 ht="12.75" customHeight="1">
      <c r="A983" s="175"/>
      <c r="B983" s="175"/>
      <c r="C983" s="182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 ht="12.75" customHeight="1">
      <c r="A984" s="175"/>
      <c r="B984" s="175"/>
      <c r="C984" s="182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 ht="12.75" customHeight="1">
      <c r="A985" s="175"/>
      <c r="B985" s="175"/>
      <c r="C985" s="182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 ht="12.75" customHeight="1">
      <c r="A986" s="175"/>
      <c r="B986" s="175"/>
      <c r="C986" s="182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 ht="12.75" customHeight="1">
      <c r="A987" s="175"/>
      <c r="B987" s="175"/>
      <c r="C987" s="182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 ht="12.75" customHeight="1">
      <c r="A988" s="175"/>
      <c r="B988" s="175"/>
      <c r="C988" s="182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 ht="12.75" customHeight="1">
      <c r="A989" s="175"/>
      <c r="B989" s="175"/>
      <c r="C989" s="182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 ht="12.75" customHeight="1">
      <c r="A990" s="175"/>
      <c r="B990" s="175"/>
      <c r="C990" s="182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 ht="12.75" customHeight="1">
      <c r="A991" s="175"/>
      <c r="B991" s="175"/>
      <c r="C991" s="182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 ht="12.75" customHeight="1">
      <c r="A992" s="175"/>
      <c r="B992" s="175"/>
      <c r="C992" s="182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 ht="12.75" customHeight="1">
      <c r="A993" s="175"/>
      <c r="B993" s="175"/>
      <c r="C993" s="182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 ht="12.75" customHeight="1">
      <c r="A994" s="175"/>
      <c r="B994" s="175"/>
      <c r="C994" s="182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 ht="12.75" customHeight="1">
      <c r="A995" s="175"/>
      <c r="B995" s="175"/>
      <c r="C995" s="182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 ht="12.75" customHeight="1">
      <c r="A996" s="175"/>
      <c r="B996" s="175"/>
      <c r="C996" s="182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 ht="12.75" customHeight="1">
      <c r="A997" s="175"/>
      <c r="B997" s="175"/>
      <c r="C997" s="182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 ht="12.75" customHeight="1">
      <c r="A998" s="175"/>
      <c r="B998" s="175"/>
      <c r="C998" s="182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 ht="12.75" customHeight="1">
      <c r="A999" s="175"/>
      <c r="B999" s="175"/>
      <c r="C999" s="182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 ht="12.75" customHeight="1">
      <c r="A1000" s="175"/>
      <c r="B1000" s="175"/>
      <c r="C1000" s="182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</sheetData>
  <mergeCells count="4">
    <mergeCell ref="A1:G1"/>
    <mergeCell ref="C2:G2"/>
    <mergeCell ref="C3:G3"/>
    <mergeCell ref="C4:G4"/>
  </mergeCells>
  <printOptions/>
  <pageMargins bottom="0.984251968503937" footer="0.0" header="0.0" left="0.5905511811023623" right="0.3937007874015748" top="0.5905511811023623"/>
  <pageSetup paperSize="9" orientation="portrait"/>
  <headerFooter>
    <oddFooter>&amp;LZpracováno programem BUILDpower S,  © RTS, a.s.&amp;RStrana &amp;P z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3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53</v>
      </c>
      <c r="C3" s="177" t="s">
        <v>54</v>
      </c>
      <c r="D3" s="87"/>
      <c r="E3" s="87"/>
      <c r="F3" s="87"/>
      <c r="G3" s="74"/>
      <c r="AC3" s="185" t="s">
        <v>147</v>
      </c>
      <c r="AG3" s="184" t="s">
        <v>148</v>
      </c>
    </row>
    <row r="4" ht="24.75" customHeight="1">
      <c r="A4" s="186" t="s">
        <v>144</v>
      </c>
      <c r="B4" s="187" t="s">
        <v>55</v>
      </c>
      <c r="C4" s="188" t="s">
        <v>54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28</v>
      </c>
      <c r="C8" s="198" t="s">
        <v>29</v>
      </c>
      <c r="D8" s="199"/>
      <c r="E8" s="200"/>
      <c r="F8" s="201"/>
      <c r="G8" s="202">
        <f>SUMIF(AG9:AG17,"&lt;&gt;NOR",G9:G17)</f>
        <v>305766</v>
      </c>
      <c r="H8" s="203"/>
      <c r="I8" s="203">
        <f>SUM(I9:I17)</f>
        <v>0</v>
      </c>
      <c r="J8" s="203"/>
      <c r="K8" s="203">
        <f>SUM(K9:K17)</f>
        <v>0</v>
      </c>
      <c r="L8" s="203"/>
      <c r="M8" s="203">
        <f>SUM(M9:M17)</f>
        <v>369976.86</v>
      </c>
      <c r="N8" s="203"/>
      <c r="O8" s="203">
        <f>SUM(O9:O17)</f>
        <v>0</v>
      </c>
      <c r="P8" s="203"/>
      <c r="Q8" s="203">
        <f>SUM(Q9:Q17)</f>
        <v>0</v>
      </c>
      <c r="R8" s="203"/>
      <c r="S8" s="203"/>
      <c r="T8" s="203"/>
      <c r="U8" s="203"/>
      <c r="V8" s="203">
        <f>SUM(V9:V17)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175</v>
      </c>
      <c r="C9" s="206" t="s">
        <v>176</v>
      </c>
      <c r="D9" s="207" t="s">
        <v>177</v>
      </c>
      <c r="E9" s="208">
        <v>1.0</v>
      </c>
      <c r="F9" s="209">
        <v>57148.0</v>
      </c>
      <c r="G9" s="210">
        <f t="shared" ref="G9:G17" si="1">ROUND(E9*F9,2)</f>
        <v>57148</v>
      </c>
      <c r="H9" s="211"/>
      <c r="I9" s="212">
        <f t="shared" ref="I9:I17" si="2">ROUND(E9*H9,2)</f>
        <v>0</v>
      </c>
      <c r="J9" s="211"/>
      <c r="K9" s="212">
        <f t="shared" ref="K9:K17" si="3">ROUND(E9*J9,2)</f>
        <v>0</v>
      </c>
      <c r="L9" s="212">
        <v>21.0</v>
      </c>
      <c r="M9" s="212">
        <f t="shared" ref="M9:M17" si="4">G9*(1+L9/100)</f>
        <v>69149.08</v>
      </c>
      <c r="N9" s="212">
        <v>0.0</v>
      </c>
      <c r="O9" s="212">
        <f t="shared" ref="O9:O17" si="5">ROUND(E9*N9,2)</f>
        <v>0</v>
      </c>
      <c r="P9" s="212">
        <v>0.0</v>
      </c>
      <c r="Q9" s="212">
        <f t="shared" ref="Q9:Q17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17" si="7">ROUND(E9*U9,2)</f>
        <v>0</v>
      </c>
      <c r="W9" s="212"/>
      <c r="X9" s="212" t="s">
        <v>180</v>
      </c>
      <c r="Y9" s="213"/>
      <c r="Z9" s="213"/>
      <c r="AA9" s="213"/>
      <c r="AB9" s="213"/>
      <c r="AC9" s="213"/>
      <c r="AD9" s="213"/>
      <c r="AE9" s="213"/>
      <c r="AF9" s="213"/>
      <c r="AG9" s="213" t="s">
        <v>181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</row>
    <row r="10" ht="12.75" customHeight="1" outlineLevel="1">
      <c r="A10" s="204">
        <v>2.0</v>
      </c>
      <c r="B10" s="205" t="s">
        <v>182</v>
      </c>
      <c r="C10" s="206" t="s">
        <v>183</v>
      </c>
      <c r="D10" s="207" t="s">
        <v>177</v>
      </c>
      <c r="E10" s="208">
        <v>1.0</v>
      </c>
      <c r="F10" s="209">
        <v>41108.0</v>
      </c>
      <c r="G10" s="210">
        <f t="shared" si="1"/>
        <v>41108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49740.68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184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180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185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</row>
    <row r="11" ht="12.75" customHeight="1" outlineLevel="1">
      <c r="A11" s="204">
        <v>3.0</v>
      </c>
      <c r="B11" s="205" t="s">
        <v>186</v>
      </c>
      <c r="C11" s="206" t="s">
        <v>187</v>
      </c>
      <c r="D11" s="207" t="s">
        <v>177</v>
      </c>
      <c r="E11" s="208">
        <v>1.0</v>
      </c>
      <c r="F11" s="209">
        <v>32235.0</v>
      </c>
      <c r="G11" s="210">
        <f t="shared" si="1"/>
        <v>32235</v>
      </c>
      <c r="H11" s="211"/>
      <c r="I11" s="212">
        <f t="shared" si="2"/>
        <v>0</v>
      </c>
      <c r="J11" s="211"/>
      <c r="K11" s="212">
        <f t="shared" si="3"/>
        <v>0</v>
      </c>
      <c r="L11" s="212">
        <v>21.0</v>
      </c>
      <c r="M11" s="212">
        <f t="shared" si="4"/>
        <v>39004.35</v>
      </c>
      <c r="N11" s="212">
        <v>0.0</v>
      </c>
      <c r="O11" s="212">
        <f t="shared" si="5"/>
        <v>0</v>
      </c>
      <c r="P11" s="212">
        <v>0.0</v>
      </c>
      <c r="Q11" s="212">
        <f t="shared" si="6"/>
        <v>0</v>
      </c>
      <c r="R11" s="212"/>
      <c r="S11" s="212" t="s">
        <v>184</v>
      </c>
      <c r="T11" s="212" t="s">
        <v>179</v>
      </c>
      <c r="U11" s="212">
        <v>0.0</v>
      </c>
      <c r="V11" s="212">
        <f t="shared" si="7"/>
        <v>0</v>
      </c>
      <c r="W11" s="212"/>
      <c r="X11" s="212" t="s">
        <v>180</v>
      </c>
      <c r="Y11" s="213"/>
      <c r="Z11" s="213"/>
      <c r="AA11" s="213"/>
      <c r="AB11" s="213"/>
      <c r="AC11" s="213"/>
      <c r="AD11" s="213"/>
      <c r="AE11" s="213"/>
      <c r="AF11" s="213"/>
      <c r="AG11" s="213" t="s">
        <v>185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</row>
    <row r="12" ht="12.75" customHeight="1" outlineLevel="1">
      <c r="A12" s="204">
        <v>4.0</v>
      </c>
      <c r="B12" s="205" t="s">
        <v>188</v>
      </c>
      <c r="C12" s="206" t="s">
        <v>189</v>
      </c>
      <c r="D12" s="207" t="s">
        <v>177</v>
      </c>
      <c r="E12" s="208">
        <v>1.0</v>
      </c>
      <c r="F12" s="209">
        <v>5458.0</v>
      </c>
      <c r="G12" s="210">
        <f t="shared" si="1"/>
        <v>5458</v>
      </c>
      <c r="H12" s="211"/>
      <c r="I12" s="212">
        <f t="shared" si="2"/>
        <v>0</v>
      </c>
      <c r="J12" s="211"/>
      <c r="K12" s="212">
        <f t="shared" si="3"/>
        <v>0</v>
      </c>
      <c r="L12" s="212">
        <v>21.0</v>
      </c>
      <c r="M12" s="212">
        <f t="shared" si="4"/>
        <v>6604.18</v>
      </c>
      <c r="N12" s="212">
        <v>0.0</v>
      </c>
      <c r="O12" s="212">
        <f t="shared" si="5"/>
        <v>0</v>
      </c>
      <c r="P12" s="212">
        <v>0.0</v>
      </c>
      <c r="Q12" s="212">
        <f t="shared" si="6"/>
        <v>0</v>
      </c>
      <c r="R12" s="212"/>
      <c r="S12" s="212" t="s">
        <v>178</v>
      </c>
      <c r="T12" s="212" t="s">
        <v>179</v>
      </c>
      <c r="U12" s="212">
        <v>0.0</v>
      </c>
      <c r="V12" s="212">
        <f t="shared" si="7"/>
        <v>0</v>
      </c>
      <c r="W12" s="212"/>
      <c r="X12" s="212" t="s">
        <v>180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181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</row>
    <row r="13" ht="12.75" customHeight="1" outlineLevel="1">
      <c r="A13" s="204">
        <v>5.0</v>
      </c>
      <c r="B13" s="205" t="s">
        <v>190</v>
      </c>
      <c r="C13" s="206" t="s">
        <v>191</v>
      </c>
      <c r="D13" s="207" t="s">
        <v>177</v>
      </c>
      <c r="E13" s="208">
        <v>1.0</v>
      </c>
      <c r="F13" s="209">
        <v>16301.0</v>
      </c>
      <c r="G13" s="210">
        <f t="shared" si="1"/>
        <v>16301</v>
      </c>
      <c r="H13" s="211"/>
      <c r="I13" s="212">
        <f t="shared" si="2"/>
        <v>0</v>
      </c>
      <c r="J13" s="211"/>
      <c r="K13" s="212">
        <f t="shared" si="3"/>
        <v>0</v>
      </c>
      <c r="L13" s="212">
        <v>21.0</v>
      </c>
      <c r="M13" s="212">
        <f t="shared" si="4"/>
        <v>19724.21</v>
      </c>
      <c r="N13" s="212">
        <v>0.0</v>
      </c>
      <c r="O13" s="212">
        <f t="shared" si="5"/>
        <v>0</v>
      </c>
      <c r="P13" s="212">
        <v>0.0</v>
      </c>
      <c r="Q13" s="212">
        <f t="shared" si="6"/>
        <v>0</v>
      </c>
      <c r="R13" s="212"/>
      <c r="S13" s="212" t="s">
        <v>178</v>
      </c>
      <c r="T13" s="212" t="s">
        <v>179</v>
      </c>
      <c r="U13" s="212">
        <v>0.0</v>
      </c>
      <c r="V13" s="212">
        <f t="shared" si="7"/>
        <v>0</v>
      </c>
      <c r="W13" s="212"/>
      <c r="X13" s="212" t="s">
        <v>180</v>
      </c>
      <c r="Y13" s="213"/>
      <c r="Z13" s="213"/>
      <c r="AA13" s="213"/>
      <c r="AB13" s="213"/>
      <c r="AC13" s="213"/>
      <c r="AD13" s="213"/>
      <c r="AE13" s="213"/>
      <c r="AF13" s="213"/>
      <c r="AG13" s="213" t="s">
        <v>181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</row>
    <row r="14" ht="12.75" customHeight="1" outlineLevel="1">
      <c r="A14" s="204">
        <v>6.0</v>
      </c>
      <c r="B14" s="205" t="s">
        <v>192</v>
      </c>
      <c r="C14" s="206" t="s">
        <v>193</v>
      </c>
      <c r="D14" s="207" t="s">
        <v>177</v>
      </c>
      <c r="E14" s="208">
        <v>1.0</v>
      </c>
      <c r="F14" s="209">
        <v>30346.0</v>
      </c>
      <c r="G14" s="210">
        <f t="shared" si="1"/>
        <v>30346</v>
      </c>
      <c r="H14" s="211"/>
      <c r="I14" s="212">
        <f t="shared" si="2"/>
        <v>0</v>
      </c>
      <c r="J14" s="211"/>
      <c r="K14" s="212">
        <f t="shared" si="3"/>
        <v>0</v>
      </c>
      <c r="L14" s="212">
        <v>21.0</v>
      </c>
      <c r="M14" s="212">
        <f t="shared" si="4"/>
        <v>36718.66</v>
      </c>
      <c r="N14" s="212">
        <v>0.0</v>
      </c>
      <c r="O14" s="212">
        <f t="shared" si="5"/>
        <v>0</v>
      </c>
      <c r="P14" s="212">
        <v>0.0</v>
      </c>
      <c r="Q14" s="212">
        <f t="shared" si="6"/>
        <v>0</v>
      </c>
      <c r="R14" s="212"/>
      <c r="S14" s="212" t="s">
        <v>184</v>
      </c>
      <c r="T14" s="212" t="s">
        <v>179</v>
      </c>
      <c r="U14" s="212">
        <v>0.0</v>
      </c>
      <c r="V14" s="212">
        <f t="shared" si="7"/>
        <v>0</v>
      </c>
      <c r="W14" s="212"/>
      <c r="X14" s="212" t="s">
        <v>180</v>
      </c>
      <c r="Y14" s="213"/>
      <c r="Z14" s="213"/>
      <c r="AA14" s="213"/>
      <c r="AB14" s="213"/>
      <c r="AC14" s="213"/>
      <c r="AD14" s="213"/>
      <c r="AE14" s="213"/>
      <c r="AF14" s="213"/>
      <c r="AG14" s="213" t="s">
        <v>185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</row>
    <row r="15" ht="12.75" customHeight="1" outlineLevel="1">
      <c r="A15" s="204">
        <v>7.0</v>
      </c>
      <c r="B15" s="205" t="s">
        <v>194</v>
      </c>
      <c r="C15" s="206" t="s">
        <v>195</v>
      </c>
      <c r="D15" s="207" t="s">
        <v>177</v>
      </c>
      <c r="E15" s="208">
        <v>1.0</v>
      </c>
      <c r="F15" s="209">
        <v>21037.0</v>
      </c>
      <c r="G15" s="210">
        <f t="shared" si="1"/>
        <v>21037</v>
      </c>
      <c r="H15" s="211"/>
      <c r="I15" s="212">
        <f t="shared" si="2"/>
        <v>0</v>
      </c>
      <c r="J15" s="211"/>
      <c r="K15" s="212">
        <f t="shared" si="3"/>
        <v>0</v>
      </c>
      <c r="L15" s="212">
        <v>21.0</v>
      </c>
      <c r="M15" s="212">
        <f t="shared" si="4"/>
        <v>25454.77</v>
      </c>
      <c r="N15" s="212">
        <v>0.0</v>
      </c>
      <c r="O15" s="212">
        <f t="shared" si="5"/>
        <v>0</v>
      </c>
      <c r="P15" s="212">
        <v>0.0</v>
      </c>
      <c r="Q15" s="212">
        <f t="shared" si="6"/>
        <v>0</v>
      </c>
      <c r="R15" s="212"/>
      <c r="S15" s="212" t="s">
        <v>184</v>
      </c>
      <c r="T15" s="212" t="s">
        <v>179</v>
      </c>
      <c r="U15" s="212">
        <v>0.0</v>
      </c>
      <c r="V15" s="212">
        <f t="shared" si="7"/>
        <v>0</v>
      </c>
      <c r="W15" s="212"/>
      <c r="X15" s="212" t="s">
        <v>180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185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</row>
    <row r="16" ht="12.75" customHeight="1" outlineLevel="1">
      <c r="A16" s="204">
        <v>8.0</v>
      </c>
      <c r="B16" s="205" t="s">
        <v>196</v>
      </c>
      <c r="C16" s="206" t="s">
        <v>197</v>
      </c>
      <c r="D16" s="207" t="s">
        <v>177</v>
      </c>
      <c r="E16" s="208">
        <v>1.0</v>
      </c>
      <c r="F16" s="209">
        <v>83981.0</v>
      </c>
      <c r="G16" s="210">
        <f t="shared" si="1"/>
        <v>83981</v>
      </c>
      <c r="H16" s="211"/>
      <c r="I16" s="212">
        <f t="shared" si="2"/>
        <v>0</v>
      </c>
      <c r="J16" s="211"/>
      <c r="K16" s="212">
        <f t="shared" si="3"/>
        <v>0</v>
      </c>
      <c r="L16" s="212">
        <v>21.0</v>
      </c>
      <c r="M16" s="212">
        <f t="shared" si="4"/>
        <v>101617.01</v>
      </c>
      <c r="N16" s="212">
        <v>0.0</v>
      </c>
      <c r="O16" s="212">
        <f t="shared" si="5"/>
        <v>0</v>
      </c>
      <c r="P16" s="212">
        <v>0.0</v>
      </c>
      <c r="Q16" s="212">
        <f t="shared" si="6"/>
        <v>0</v>
      </c>
      <c r="R16" s="212"/>
      <c r="S16" s="212" t="s">
        <v>184</v>
      </c>
      <c r="T16" s="212" t="s">
        <v>179</v>
      </c>
      <c r="U16" s="212">
        <v>0.0</v>
      </c>
      <c r="V16" s="212">
        <f t="shared" si="7"/>
        <v>0</v>
      </c>
      <c r="W16" s="212"/>
      <c r="X16" s="212" t="s">
        <v>180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185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</row>
    <row r="17" ht="12.75" customHeight="1" outlineLevel="1">
      <c r="A17" s="204">
        <v>9.0</v>
      </c>
      <c r="B17" s="205" t="s">
        <v>198</v>
      </c>
      <c r="C17" s="206" t="s">
        <v>199</v>
      </c>
      <c r="D17" s="207" t="s">
        <v>177</v>
      </c>
      <c r="E17" s="208">
        <v>1.0</v>
      </c>
      <c r="F17" s="209">
        <v>18152.0</v>
      </c>
      <c r="G17" s="210">
        <f t="shared" si="1"/>
        <v>18152</v>
      </c>
      <c r="H17" s="211"/>
      <c r="I17" s="212">
        <f t="shared" si="2"/>
        <v>0</v>
      </c>
      <c r="J17" s="211"/>
      <c r="K17" s="212">
        <f t="shared" si="3"/>
        <v>0</v>
      </c>
      <c r="L17" s="212">
        <v>21.0</v>
      </c>
      <c r="M17" s="212">
        <f t="shared" si="4"/>
        <v>21963.92</v>
      </c>
      <c r="N17" s="212">
        <v>0.0</v>
      </c>
      <c r="O17" s="212">
        <f t="shared" si="5"/>
        <v>0</v>
      </c>
      <c r="P17" s="212">
        <v>0.0</v>
      </c>
      <c r="Q17" s="212">
        <f t="shared" si="6"/>
        <v>0</v>
      </c>
      <c r="R17" s="212"/>
      <c r="S17" s="212" t="s">
        <v>184</v>
      </c>
      <c r="T17" s="212" t="s">
        <v>179</v>
      </c>
      <c r="U17" s="212">
        <v>0.0</v>
      </c>
      <c r="V17" s="212">
        <f t="shared" si="7"/>
        <v>0</v>
      </c>
      <c r="W17" s="212"/>
      <c r="X17" s="212" t="s">
        <v>180</v>
      </c>
      <c r="Y17" s="213"/>
      <c r="Z17" s="213"/>
      <c r="AA17" s="213"/>
      <c r="AB17" s="213"/>
      <c r="AC17" s="213"/>
      <c r="AD17" s="213"/>
      <c r="AE17" s="213"/>
      <c r="AF17" s="213"/>
      <c r="AG17" s="213" t="s">
        <v>185</v>
      </c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</row>
    <row r="18" ht="12.75" customHeight="1">
      <c r="A18" s="196" t="s">
        <v>173</v>
      </c>
      <c r="B18" s="197" t="s">
        <v>30</v>
      </c>
      <c r="C18" s="198" t="s">
        <v>31</v>
      </c>
      <c r="D18" s="199"/>
      <c r="E18" s="200"/>
      <c r="F18" s="201"/>
      <c r="G18" s="202">
        <f>SUMIF(AG19:AG27,"&lt;&gt;NOR",G19:G27)</f>
        <v>262937</v>
      </c>
      <c r="H18" s="203"/>
      <c r="I18" s="203">
        <f>SUM(I19:I27)</f>
        <v>0</v>
      </c>
      <c r="J18" s="203"/>
      <c r="K18" s="203">
        <f>SUM(K19:K27)</f>
        <v>0</v>
      </c>
      <c r="L18" s="203"/>
      <c r="M18" s="203">
        <f>SUM(M19:M27)</f>
        <v>318153.77</v>
      </c>
      <c r="N18" s="203"/>
      <c r="O18" s="203">
        <f>SUM(O19:O27)</f>
        <v>0</v>
      </c>
      <c r="P18" s="203"/>
      <c r="Q18" s="203">
        <f>SUM(Q19:Q27)</f>
        <v>0</v>
      </c>
      <c r="R18" s="203"/>
      <c r="S18" s="203"/>
      <c r="T18" s="203"/>
      <c r="U18" s="203"/>
      <c r="V18" s="203">
        <f>SUM(V19:V27)</f>
        <v>0</v>
      </c>
      <c r="W18" s="203"/>
      <c r="X18" s="203"/>
      <c r="AG18" s="184" t="s">
        <v>174</v>
      </c>
    </row>
    <row r="19" ht="12.75" customHeight="1" outlineLevel="1">
      <c r="A19" s="204">
        <v>10.0</v>
      </c>
      <c r="B19" s="205" t="s">
        <v>200</v>
      </c>
      <c r="C19" s="206" t="s">
        <v>201</v>
      </c>
      <c r="D19" s="207" t="s">
        <v>177</v>
      </c>
      <c r="E19" s="208">
        <v>1.0</v>
      </c>
      <c r="F19" s="209">
        <v>18975.0</v>
      </c>
      <c r="G19" s="210">
        <f t="shared" ref="G19:G27" si="8">ROUND(E19*F19,2)</f>
        <v>18975</v>
      </c>
      <c r="H19" s="211"/>
      <c r="I19" s="212">
        <f t="shared" ref="I19:I27" si="9">ROUND(E19*H19,2)</f>
        <v>0</v>
      </c>
      <c r="J19" s="211"/>
      <c r="K19" s="212">
        <f t="shared" ref="K19:K27" si="10">ROUND(E19*J19,2)</f>
        <v>0</v>
      </c>
      <c r="L19" s="212">
        <v>21.0</v>
      </c>
      <c r="M19" s="212">
        <f t="shared" ref="M19:M27" si="11">G19*(1+L19/100)</f>
        <v>22959.75</v>
      </c>
      <c r="N19" s="212">
        <v>0.0</v>
      </c>
      <c r="O19" s="212">
        <f t="shared" ref="O19:O27" si="12">ROUND(E19*N19,2)</f>
        <v>0</v>
      </c>
      <c r="P19" s="212">
        <v>0.0</v>
      </c>
      <c r="Q19" s="212">
        <f t="shared" ref="Q19:Q27" si="13">ROUND(E19*P19,2)</f>
        <v>0</v>
      </c>
      <c r="R19" s="212"/>
      <c r="S19" s="212" t="s">
        <v>178</v>
      </c>
      <c r="T19" s="212" t="s">
        <v>179</v>
      </c>
      <c r="U19" s="212">
        <v>0.0</v>
      </c>
      <c r="V19" s="212">
        <f t="shared" ref="V19:V27" si="14">ROUND(E19*U19,2)</f>
        <v>0</v>
      </c>
      <c r="W19" s="212"/>
      <c r="X19" s="212" t="s">
        <v>180</v>
      </c>
      <c r="Y19" s="213"/>
      <c r="Z19" s="213"/>
      <c r="AA19" s="213"/>
      <c r="AB19" s="213"/>
      <c r="AC19" s="213"/>
      <c r="AD19" s="213"/>
      <c r="AE19" s="213"/>
      <c r="AF19" s="213"/>
      <c r="AG19" s="213" t="s">
        <v>181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</row>
    <row r="20" ht="12.75" customHeight="1" outlineLevel="1">
      <c r="A20" s="204">
        <v>11.0</v>
      </c>
      <c r="B20" s="205" t="s">
        <v>202</v>
      </c>
      <c r="C20" s="206" t="s">
        <v>203</v>
      </c>
      <c r="D20" s="207" t="s">
        <v>177</v>
      </c>
      <c r="E20" s="208">
        <v>1.0</v>
      </c>
      <c r="F20" s="209">
        <v>6277.0</v>
      </c>
      <c r="G20" s="210">
        <f t="shared" si="8"/>
        <v>6277</v>
      </c>
      <c r="H20" s="211"/>
      <c r="I20" s="212">
        <f t="shared" si="9"/>
        <v>0</v>
      </c>
      <c r="J20" s="211"/>
      <c r="K20" s="212">
        <f t="shared" si="10"/>
        <v>0</v>
      </c>
      <c r="L20" s="212">
        <v>21.0</v>
      </c>
      <c r="M20" s="212">
        <f t="shared" si="11"/>
        <v>7595.17</v>
      </c>
      <c r="N20" s="212">
        <v>0.0</v>
      </c>
      <c r="O20" s="212">
        <f t="shared" si="12"/>
        <v>0</v>
      </c>
      <c r="P20" s="212">
        <v>0.0</v>
      </c>
      <c r="Q20" s="212">
        <f t="shared" si="13"/>
        <v>0</v>
      </c>
      <c r="R20" s="212"/>
      <c r="S20" s="212" t="s">
        <v>184</v>
      </c>
      <c r="T20" s="212" t="s">
        <v>179</v>
      </c>
      <c r="U20" s="212">
        <v>0.0</v>
      </c>
      <c r="V20" s="212">
        <f t="shared" si="14"/>
        <v>0</v>
      </c>
      <c r="W20" s="212"/>
      <c r="X20" s="212" t="s">
        <v>180</v>
      </c>
      <c r="Y20" s="213"/>
      <c r="Z20" s="213"/>
      <c r="AA20" s="213"/>
      <c r="AB20" s="213"/>
      <c r="AC20" s="213"/>
      <c r="AD20" s="213"/>
      <c r="AE20" s="213"/>
      <c r="AF20" s="213"/>
      <c r="AG20" s="213" t="s">
        <v>185</v>
      </c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</row>
    <row r="21" ht="12.75" customHeight="1" outlineLevel="1">
      <c r="A21" s="204">
        <v>12.0</v>
      </c>
      <c r="B21" s="205" t="s">
        <v>204</v>
      </c>
      <c r="C21" s="206" t="s">
        <v>205</v>
      </c>
      <c r="D21" s="207" t="s">
        <v>177</v>
      </c>
      <c r="E21" s="208">
        <v>1.0</v>
      </c>
      <c r="F21" s="209">
        <v>47966.0</v>
      </c>
      <c r="G21" s="210">
        <f t="shared" si="8"/>
        <v>47966</v>
      </c>
      <c r="H21" s="211"/>
      <c r="I21" s="212">
        <f t="shared" si="9"/>
        <v>0</v>
      </c>
      <c r="J21" s="211"/>
      <c r="K21" s="212">
        <f t="shared" si="10"/>
        <v>0</v>
      </c>
      <c r="L21" s="212">
        <v>21.0</v>
      </c>
      <c r="M21" s="212">
        <f t="shared" si="11"/>
        <v>58038.86</v>
      </c>
      <c r="N21" s="212">
        <v>0.0</v>
      </c>
      <c r="O21" s="212">
        <f t="shared" si="12"/>
        <v>0</v>
      </c>
      <c r="P21" s="212">
        <v>0.0</v>
      </c>
      <c r="Q21" s="212">
        <f t="shared" si="13"/>
        <v>0</v>
      </c>
      <c r="R21" s="212"/>
      <c r="S21" s="212" t="s">
        <v>184</v>
      </c>
      <c r="T21" s="212" t="s">
        <v>179</v>
      </c>
      <c r="U21" s="212">
        <v>0.0</v>
      </c>
      <c r="V21" s="212">
        <f t="shared" si="14"/>
        <v>0</v>
      </c>
      <c r="W21" s="212"/>
      <c r="X21" s="212" t="s">
        <v>180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185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</row>
    <row r="22" ht="12.75" customHeight="1" outlineLevel="1">
      <c r="A22" s="204">
        <v>13.0</v>
      </c>
      <c r="B22" s="205" t="s">
        <v>206</v>
      </c>
      <c r="C22" s="206" t="s">
        <v>207</v>
      </c>
      <c r="D22" s="207" t="s">
        <v>177</v>
      </c>
      <c r="E22" s="208">
        <v>1.0</v>
      </c>
      <c r="F22" s="209">
        <v>21480.0</v>
      </c>
      <c r="G22" s="210">
        <f t="shared" si="8"/>
        <v>21480</v>
      </c>
      <c r="H22" s="211"/>
      <c r="I22" s="212">
        <f t="shared" si="9"/>
        <v>0</v>
      </c>
      <c r="J22" s="211"/>
      <c r="K22" s="212">
        <f t="shared" si="10"/>
        <v>0</v>
      </c>
      <c r="L22" s="212">
        <v>21.0</v>
      </c>
      <c r="M22" s="212">
        <f t="shared" si="11"/>
        <v>25990.8</v>
      </c>
      <c r="N22" s="212">
        <v>0.0</v>
      </c>
      <c r="O22" s="212">
        <f t="shared" si="12"/>
        <v>0</v>
      </c>
      <c r="P22" s="212">
        <v>0.0</v>
      </c>
      <c r="Q22" s="212">
        <f t="shared" si="13"/>
        <v>0</v>
      </c>
      <c r="R22" s="212"/>
      <c r="S22" s="212" t="s">
        <v>184</v>
      </c>
      <c r="T22" s="212" t="s">
        <v>179</v>
      </c>
      <c r="U22" s="212">
        <v>0.0</v>
      </c>
      <c r="V22" s="212">
        <f t="shared" si="14"/>
        <v>0</v>
      </c>
      <c r="W22" s="212"/>
      <c r="X22" s="212" t="s">
        <v>180</v>
      </c>
      <c r="Y22" s="213"/>
      <c r="Z22" s="213"/>
      <c r="AA22" s="213"/>
      <c r="AB22" s="213"/>
      <c r="AC22" s="213"/>
      <c r="AD22" s="213"/>
      <c r="AE22" s="213"/>
      <c r="AF22" s="213"/>
      <c r="AG22" s="213" t="s">
        <v>185</v>
      </c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</row>
    <row r="23" ht="12.75" customHeight="1" outlineLevel="1">
      <c r="A23" s="204">
        <v>14.0</v>
      </c>
      <c r="B23" s="205" t="s">
        <v>208</v>
      </c>
      <c r="C23" s="206" t="s">
        <v>209</v>
      </c>
      <c r="D23" s="207" t="s">
        <v>177</v>
      </c>
      <c r="E23" s="208">
        <v>1.0</v>
      </c>
      <c r="F23" s="209">
        <v>38685.0</v>
      </c>
      <c r="G23" s="210">
        <f t="shared" si="8"/>
        <v>38685</v>
      </c>
      <c r="H23" s="211"/>
      <c r="I23" s="212">
        <f t="shared" si="9"/>
        <v>0</v>
      </c>
      <c r="J23" s="211"/>
      <c r="K23" s="212">
        <f t="shared" si="10"/>
        <v>0</v>
      </c>
      <c r="L23" s="212">
        <v>21.0</v>
      </c>
      <c r="M23" s="212">
        <f t="shared" si="11"/>
        <v>46808.85</v>
      </c>
      <c r="N23" s="212">
        <v>0.0</v>
      </c>
      <c r="O23" s="212">
        <f t="shared" si="12"/>
        <v>0</v>
      </c>
      <c r="P23" s="212">
        <v>0.0</v>
      </c>
      <c r="Q23" s="212">
        <f t="shared" si="13"/>
        <v>0</v>
      </c>
      <c r="R23" s="212"/>
      <c r="S23" s="212" t="s">
        <v>184</v>
      </c>
      <c r="T23" s="212" t="s">
        <v>179</v>
      </c>
      <c r="U23" s="212">
        <v>0.0</v>
      </c>
      <c r="V23" s="212">
        <f t="shared" si="14"/>
        <v>0</v>
      </c>
      <c r="W23" s="212"/>
      <c r="X23" s="212" t="s">
        <v>180</v>
      </c>
      <c r="Y23" s="213"/>
      <c r="Z23" s="213"/>
      <c r="AA23" s="213"/>
      <c r="AB23" s="213"/>
      <c r="AC23" s="213"/>
      <c r="AD23" s="213"/>
      <c r="AE23" s="213"/>
      <c r="AF23" s="213"/>
      <c r="AG23" s="213" t="s">
        <v>185</v>
      </c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</row>
    <row r="24" ht="12.75" customHeight="1" outlineLevel="1">
      <c r="A24" s="204">
        <v>15.0</v>
      </c>
      <c r="B24" s="205" t="s">
        <v>210</v>
      </c>
      <c r="C24" s="206" t="s">
        <v>211</v>
      </c>
      <c r="D24" s="207" t="s">
        <v>177</v>
      </c>
      <c r="E24" s="208">
        <v>1.0</v>
      </c>
      <c r="F24" s="209">
        <v>58326.0</v>
      </c>
      <c r="G24" s="210">
        <f t="shared" si="8"/>
        <v>58326</v>
      </c>
      <c r="H24" s="211"/>
      <c r="I24" s="212">
        <f t="shared" si="9"/>
        <v>0</v>
      </c>
      <c r="J24" s="211"/>
      <c r="K24" s="212">
        <f t="shared" si="10"/>
        <v>0</v>
      </c>
      <c r="L24" s="212">
        <v>21.0</v>
      </c>
      <c r="M24" s="212">
        <f t="shared" si="11"/>
        <v>70574.46</v>
      </c>
      <c r="N24" s="212">
        <v>0.0</v>
      </c>
      <c r="O24" s="212">
        <f t="shared" si="12"/>
        <v>0</v>
      </c>
      <c r="P24" s="212">
        <v>0.0</v>
      </c>
      <c r="Q24" s="212">
        <f t="shared" si="13"/>
        <v>0</v>
      </c>
      <c r="R24" s="212"/>
      <c r="S24" s="212" t="s">
        <v>184</v>
      </c>
      <c r="T24" s="212" t="s">
        <v>179</v>
      </c>
      <c r="U24" s="212">
        <v>0.0</v>
      </c>
      <c r="V24" s="212">
        <f t="shared" si="14"/>
        <v>0</v>
      </c>
      <c r="W24" s="212"/>
      <c r="X24" s="212" t="s">
        <v>180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185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</row>
    <row r="25" ht="12.75" customHeight="1" outlineLevel="1">
      <c r="A25" s="204">
        <v>16.0</v>
      </c>
      <c r="B25" s="205" t="s">
        <v>212</v>
      </c>
      <c r="C25" s="206" t="s">
        <v>213</v>
      </c>
      <c r="D25" s="207" t="s">
        <v>177</v>
      </c>
      <c r="E25" s="208">
        <v>1.0</v>
      </c>
      <c r="F25" s="209">
        <v>37932.0</v>
      </c>
      <c r="G25" s="210">
        <f t="shared" si="8"/>
        <v>37932</v>
      </c>
      <c r="H25" s="211"/>
      <c r="I25" s="212">
        <f t="shared" si="9"/>
        <v>0</v>
      </c>
      <c r="J25" s="211"/>
      <c r="K25" s="212">
        <f t="shared" si="10"/>
        <v>0</v>
      </c>
      <c r="L25" s="212">
        <v>21.0</v>
      </c>
      <c r="M25" s="212">
        <f t="shared" si="11"/>
        <v>45897.72</v>
      </c>
      <c r="N25" s="212">
        <v>0.0</v>
      </c>
      <c r="O25" s="212">
        <f t="shared" si="12"/>
        <v>0</v>
      </c>
      <c r="P25" s="212">
        <v>0.0</v>
      </c>
      <c r="Q25" s="212">
        <f t="shared" si="13"/>
        <v>0</v>
      </c>
      <c r="R25" s="212"/>
      <c r="S25" s="212" t="s">
        <v>184</v>
      </c>
      <c r="T25" s="212" t="s">
        <v>179</v>
      </c>
      <c r="U25" s="212">
        <v>0.0</v>
      </c>
      <c r="V25" s="212">
        <f t="shared" si="14"/>
        <v>0</v>
      </c>
      <c r="W25" s="212"/>
      <c r="X25" s="212" t="s">
        <v>180</v>
      </c>
      <c r="Y25" s="213"/>
      <c r="Z25" s="213"/>
      <c r="AA25" s="213"/>
      <c r="AB25" s="213"/>
      <c r="AC25" s="213"/>
      <c r="AD25" s="213"/>
      <c r="AE25" s="213"/>
      <c r="AF25" s="213"/>
      <c r="AG25" s="213" t="s">
        <v>185</v>
      </c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</row>
    <row r="26" ht="12.75" customHeight="1" outlineLevel="1">
      <c r="A26" s="204">
        <v>17.0</v>
      </c>
      <c r="B26" s="205" t="s">
        <v>214</v>
      </c>
      <c r="C26" s="206" t="s">
        <v>215</v>
      </c>
      <c r="D26" s="207" t="s">
        <v>177</v>
      </c>
      <c r="E26" s="208">
        <v>1.0</v>
      </c>
      <c r="F26" s="209">
        <v>16995.0</v>
      </c>
      <c r="G26" s="210">
        <f t="shared" si="8"/>
        <v>16995</v>
      </c>
      <c r="H26" s="211"/>
      <c r="I26" s="212">
        <f t="shared" si="9"/>
        <v>0</v>
      </c>
      <c r="J26" s="211"/>
      <c r="K26" s="212">
        <f t="shared" si="10"/>
        <v>0</v>
      </c>
      <c r="L26" s="212">
        <v>21.0</v>
      </c>
      <c r="M26" s="212">
        <f t="shared" si="11"/>
        <v>20563.95</v>
      </c>
      <c r="N26" s="212">
        <v>0.0</v>
      </c>
      <c r="O26" s="212">
        <f t="shared" si="12"/>
        <v>0</v>
      </c>
      <c r="P26" s="212">
        <v>0.0</v>
      </c>
      <c r="Q26" s="212">
        <f t="shared" si="13"/>
        <v>0</v>
      </c>
      <c r="R26" s="212"/>
      <c r="S26" s="212" t="s">
        <v>184</v>
      </c>
      <c r="T26" s="212" t="s">
        <v>179</v>
      </c>
      <c r="U26" s="212">
        <v>0.0</v>
      </c>
      <c r="V26" s="212">
        <f t="shared" si="14"/>
        <v>0</v>
      </c>
      <c r="W26" s="212"/>
      <c r="X26" s="212" t="s">
        <v>180</v>
      </c>
      <c r="Y26" s="213"/>
      <c r="Z26" s="213"/>
      <c r="AA26" s="213"/>
      <c r="AB26" s="213"/>
      <c r="AC26" s="213"/>
      <c r="AD26" s="213"/>
      <c r="AE26" s="213"/>
      <c r="AF26" s="213"/>
      <c r="AG26" s="213" t="s">
        <v>185</v>
      </c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</row>
    <row r="27" ht="12.75" customHeight="1" outlineLevel="1">
      <c r="A27" s="214">
        <v>18.0</v>
      </c>
      <c r="B27" s="215" t="s">
        <v>216</v>
      </c>
      <c r="C27" s="216" t="s">
        <v>217</v>
      </c>
      <c r="D27" s="217" t="s">
        <v>177</v>
      </c>
      <c r="E27" s="218">
        <v>1.0</v>
      </c>
      <c r="F27" s="219">
        <v>16301.0</v>
      </c>
      <c r="G27" s="220">
        <f t="shared" si="8"/>
        <v>16301</v>
      </c>
      <c r="H27" s="211"/>
      <c r="I27" s="212">
        <f t="shared" si="9"/>
        <v>0</v>
      </c>
      <c r="J27" s="211"/>
      <c r="K27" s="212">
        <f t="shared" si="10"/>
        <v>0</v>
      </c>
      <c r="L27" s="212">
        <v>21.0</v>
      </c>
      <c r="M27" s="212">
        <f t="shared" si="11"/>
        <v>19724.21</v>
      </c>
      <c r="N27" s="212">
        <v>0.0</v>
      </c>
      <c r="O27" s="212">
        <f t="shared" si="12"/>
        <v>0</v>
      </c>
      <c r="P27" s="212">
        <v>0.0</v>
      </c>
      <c r="Q27" s="212">
        <f t="shared" si="13"/>
        <v>0</v>
      </c>
      <c r="R27" s="212"/>
      <c r="S27" s="212" t="s">
        <v>178</v>
      </c>
      <c r="T27" s="212" t="s">
        <v>179</v>
      </c>
      <c r="U27" s="212">
        <v>0.0</v>
      </c>
      <c r="V27" s="212">
        <f t="shared" si="14"/>
        <v>0</v>
      </c>
      <c r="W27" s="212"/>
      <c r="X27" s="212" t="s">
        <v>180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181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</row>
    <row r="28" ht="12.75" customHeight="1">
      <c r="A28" s="175"/>
      <c r="B28" s="179"/>
      <c r="C28" s="221"/>
      <c r="D28" s="181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AE28" s="184">
        <v>15.0</v>
      </c>
      <c r="AF28" s="184">
        <v>21.0</v>
      </c>
      <c r="AG28" s="184" t="s">
        <v>160</v>
      </c>
    </row>
    <row r="29" ht="12.75" customHeight="1">
      <c r="A29" s="222"/>
      <c r="B29" s="223" t="s">
        <v>24</v>
      </c>
      <c r="C29" s="224"/>
      <c r="D29" s="225"/>
      <c r="E29" s="226"/>
      <c r="F29" s="226"/>
      <c r="G29" s="227">
        <f>G8+G18</f>
        <v>568703</v>
      </c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AE29" s="184">
        <f>SUMIF(L7:L27,AE28,G7:G27)</f>
        <v>0</v>
      </c>
      <c r="AF29" s="184">
        <f>SUMIF(L7:L27,AF28,G7:G27)</f>
        <v>568703</v>
      </c>
      <c r="AG29" s="184" t="s">
        <v>218</v>
      </c>
    </row>
    <row r="30" ht="12.75" customHeight="1">
      <c r="A30" s="175"/>
      <c r="B30" s="179"/>
      <c r="C30" s="221"/>
      <c r="D30" s="181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 ht="12.75" customHeight="1">
      <c r="A31" s="175"/>
      <c r="B31" s="179"/>
      <c r="C31" s="221"/>
      <c r="D31" s="181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 ht="12.75" customHeight="1">
      <c r="A32" s="175" t="s">
        <v>219</v>
      </c>
      <c r="D32" s="181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 ht="12.75" customHeight="1">
      <c r="A33" s="228"/>
      <c r="B33" s="27"/>
      <c r="C33" s="27"/>
      <c r="D33" s="27"/>
      <c r="E33" s="27"/>
      <c r="F33" s="27"/>
      <c r="G33" s="229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AG33" s="184" t="s">
        <v>220</v>
      </c>
    </row>
    <row r="34" ht="12.75" customHeight="1">
      <c r="A34" s="230"/>
      <c r="G34" s="231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</row>
    <row r="35" ht="12.75" customHeight="1">
      <c r="A35" s="230"/>
      <c r="G35" s="231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</row>
    <row r="36" ht="12.75" customHeight="1">
      <c r="A36" s="230"/>
      <c r="G36" s="231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</row>
    <row r="37" ht="12.75" customHeight="1">
      <c r="A37" s="232"/>
      <c r="B37" s="38"/>
      <c r="C37" s="38"/>
      <c r="D37" s="38"/>
      <c r="E37" s="38"/>
      <c r="F37" s="38"/>
      <c r="G37" s="233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</row>
    <row r="38" ht="12.75" customHeight="1">
      <c r="A38" s="175"/>
      <c r="B38" s="179"/>
      <c r="C38" s="221"/>
      <c r="D38" s="181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</row>
    <row r="39" ht="12.75" customHeight="1">
      <c r="B39" s="185"/>
      <c r="C39" s="234"/>
      <c r="D39" s="126"/>
      <c r="AG39" s="184" t="s">
        <v>221</v>
      </c>
    </row>
    <row r="40" ht="12.75" customHeight="1">
      <c r="B40" s="185"/>
      <c r="C40" s="185"/>
      <c r="D40" s="126"/>
    </row>
    <row r="41" ht="12.75" customHeight="1">
      <c r="B41" s="185"/>
      <c r="C41" s="185"/>
      <c r="D41" s="126"/>
    </row>
    <row r="42" ht="12.75" customHeight="1">
      <c r="B42" s="185"/>
      <c r="C42" s="185"/>
      <c r="D42" s="126"/>
    </row>
    <row r="43" ht="12.75" customHeight="1">
      <c r="B43" s="185"/>
      <c r="C43" s="185"/>
      <c r="D43" s="126"/>
    </row>
    <row r="44" ht="12.75" customHeight="1">
      <c r="B44" s="185"/>
      <c r="C44" s="185"/>
      <c r="D44" s="126"/>
    </row>
    <row r="45" ht="12.75" customHeight="1">
      <c r="B45" s="185"/>
      <c r="C45" s="185"/>
      <c r="D45" s="126"/>
    </row>
    <row r="46" ht="12.75" customHeight="1">
      <c r="B46" s="185"/>
      <c r="C46" s="185"/>
      <c r="D46" s="126"/>
    </row>
    <row r="47" ht="12.75" customHeight="1">
      <c r="B47" s="185"/>
      <c r="C47" s="185"/>
      <c r="D47" s="126"/>
    </row>
    <row r="48" ht="12.75" customHeight="1">
      <c r="B48" s="185"/>
      <c r="C48" s="185"/>
      <c r="D48" s="126"/>
    </row>
    <row r="49" ht="12.75" customHeight="1">
      <c r="B49" s="185"/>
      <c r="C49" s="185"/>
      <c r="D49" s="126"/>
    </row>
    <row r="50" ht="12.75" customHeight="1">
      <c r="B50" s="185"/>
      <c r="C50" s="185"/>
      <c r="D50" s="126"/>
    </row>
    <row r="51" ht="12.75" customHeight="1">
      <c r="B51" s="185"/>
      <c r="C51" s="185"/>
      <c r="D51" s="126"/>
    </row>
    <row r="52" ht="12.75" customHeight="1">
      <c r="B52" s="185"/>
      <c r="C52" s="185"/>
      <c r="D52" s="126"/>
    </row>
    <row r="53" ht="12.75" customHeight="1">
      <c r="B53" s="185"/>
      <c r="C53" s="185"/>
      <c r="D53" s="126"/>
    </row>
    <row r="54" ht="12.75" customHeight="1">
      <c r="B54" s="185"/>
      <c r="C54" s="185"/>
      <c r="D54" s="126"/>
    </row>
    <row r="55" ht="12.75" customHeight="1">
      <c r="B55" s="185"/>
      <c r="C55" s="185"/>
      <c r="D55" s="126"/>
    </row>
    <row r="56" ht="12.75" customHeight="1">
      <c r="B56" s="185"/>
      <c r="C56" s="185"/>
      <c r="D56" s="126"/>
    </row>
    <row r="57" ht="12.75" customHeight="1">
      <c r="B57" s="185"/>
      <c r="C57" s="185"/>
      <c r="D57" s="126"/>
    </row>
    <row r="58" ht="12.75" customHeight="1">
      <c r="B58" s="185"/>
      <c r="C58" s="185"/>
      <c r="D58" s="126"/>
    </row>
    <row r="59" ht="12.75" customHeight="1">
      <c r="B59" s="185"/>
      <c r="C59" s="185"/>
      <c r="D59" s="126"/>
    </row>
    <row r="60" ht="12.75" customHeight="1">
      <c r="B60" s="185"/>
      <c r="C60" s="185"/>
      <c r="D60" s="126"/>
    </row>
    <row r="61" ht="12.75" customHeight="1">
      <c r="B61" s="185"/>
      <c r="C61" s="185"/>
      <c r="D61" s="126"/>
    </row>
    <row r="62" ht="12.75" customHeight="1">
      <c r="B62" s="185"/>
      <c r="C62" s="185"/>
      <c r="D62" s="126"/>
    </row>
    <row r="63" ht="12.75" customHeight="1">
      <c r="B63" s="185"/>
      <c r="C63" s="185"/>
      <c r="D63" s="126"/>
    </row>
    <row r="64" ht="12.75" customHeight="1">
      <c r="B64" s="185"/>
      <c r="C64" s="185"/>
      <c r="D64" s="126"/>
    </row>
    <row r="65" ht="12.75" customHeight="1">
      <c r="B65" s="185"/>
      <c r="C65" s="185"/>
      <c r="D65" s="126"/>
    </row>
    <row r="66" ht="12.75" customHeight="1">
      <c r="B66" s="185"/>
      <c r="C66" s="185"/>
      <c r="D66" s="126"/>
    </row>
    <row r="67" ht="12.75" customHeight="1">
      <c r="B67" s="185"/>
      <c r="C67" s="185"/>
      <c r="D67" s="126"/>
    </row>
    <row r="68" ht="12.75" customHeight="1">
      <c r="B68" s="185"/>
      <c r="C68" s="185"/>
      <c r="D68" s="126"/>
    </row>
    <row r="69" ht="12.75" customHeight="1">
      <c r="B69" s="185"/>
      <c r="C69" s="185"/>
      <c r="D69" s="126"/>
    </row>
    <row r="70" ht="12.75" customHeight="1">
      <c r="B70" s="185"/>
      <c r="C70" s="185"/>
      <c r="D70" s="126"/>
    </row>
    <row r="71" ht="12.75" customHeight="1">
      <c r="B71" s="185"/>
      <c r="C71" s="185"/>
      <c r="D71" s="126"/>
    </row>
    <row r="72" ht="12.75" customHeight="1">
      <c r="B72" s="185"/>
      <c r="C72" s="185"/>
      <c r="D72" s="126"/>
    </row>
    <row r="73" ht="12.75" customHeight="1">
      <c r="B73" s="185"/>
      <c r="C73" s="185"/>
      <c r="D73" s="126"/>
    </row>
    <row r="74" ht="12.75" customHeight="1">
      <c r="B74" s="185"/>
      <c r="C74" s="185"/>
      <c r="D74" s="126"/>
    </row>
    <row r="75" ht="12.75" customHeight="1">
      <c r="B75" s="185"/>
      <c r="C75" s="185"/>
      <c r="D75" s="126"/>
    </row>
    <row r="76" ht="12.75" customHeight="1">
      <c r="B76" s="185"/>
      <c r="C76" s="185"/>
      <c r="D76" s="126"/>
    </row>
    <row r="77" ht="12.75" customHeight="1">
      <c r="B77" s="185"/>
      <c r="C77" s="185"/>
      <c r="D77" s="126"/>
    </row>
    <row r="78" ht="12.75" customHeight="1">
      <c r="B78" s="185"/>
      <c r="C78" s="185"/>
      <c r="D78" s="126"/>
    </row>
    <row r="79" ht="12.75" customHeight="1">
      <c r="B79" s="185"/>
      <c r="C79" s="185"/>
      <c r="D79" s="126"/>
    </row>
    <row r="80" ht="12.75" customHeight="1">
      <c r="B80" s="185"/>
      <c r="C80" s="185"/>
      <c r="D80" s="126"/>
    </row>
    <row r="81" ht="12.75" customHeight="1">
      <c r="B81" s="185"/>
      <c r="C81" s="185"/>
      <c r="D81" s="126"/>
    </row>
    <row r="82" ht="12.75" customHeight="1">
      <c r="B82" s="185"/>
      <c r="C82" s="185"/>
      <c r="D82" s="126"/>
    </row>
    <row r="83" ht="12.75" customHeight="1">
      <c r="B83" s="185"/>
      <c r="C83" s="185"/>
      <c r="D83" s="126"/>
    </row>
    <row r="84" ht="12.75" customHeight="1">
      <c r="B84" s="185"/>
      <c r="C84" s="185"/>
      <c r="D84" s="126"/>
    </row>
    <row r="85" ht="12.75" customHeight="1">
      <c r="B85" s="185"/>
      <c r="C85" s="185"/>
      <c r="D85" s="126"/>
    </row>
    <row r="86" ht="12.75" customHeight="1">
      <c r="B86" s="185"/>
      <c r="C86" s="185"/>
      <c r="D86" s="126"/>
    </row>
    <row r="87" ht="12.75" customHeight="1">
      <c r="B87" s="185"/>
      <c r="C87" s="185"/>
      <c r="D87" s="126"/>
    </row>
    <row r="88" ht="12.75" customHeight="1">
      <c r="B88" s="185"/>
      <c r="C88" s="185"/>
      <c r="D88" s="126"/>
    </row>
    <row r="89" ht="12.75" customHeight="1">
      <c r="B89" s="185"/>
      <c r="C89" s="185"/>
      <c r="D89" s="126"/>
    </row>
    <row r="90" ht="12.75" customHeight="1">
      <c r="B90" s="185"/>
      <c r="C90" s="185"/>
      <c r="D90" s="126"/>
    </row>
    <row r="91" ht="12.75" customHeight="1">
      <c r="B91" s="185"/>
      <c r="C91" s="185"/>
      <c r="D91" s="126"/>
    </row>
    <row r="92" ht="12.75" customHeight="1">
      <c r="B92" s="185"/>
      <c r="C92" s="185"/>
      <c r="D92" s="126"/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</row>
    <row r="241" ht="12.75" customHeight="1">
      <c r="B241" s="185"/>
      <c r="C241" s="185"/>
    </row>
    <row r="242" ht="12.75" customHeight="1">
      <c r="B242" s="185"/>
      <c r="C242" s="185"/>
    </row>
    <row r="243" ht="12.75" customHeight="1">
      <c r="B243" s="185"/>
      <c r="C243" s="185"/>
    </row>
    <row r="244" ht="12.75" customHeight="1">
      <c r="B244" s="185"/>
      <c r="C244" s="185"/>
    </row>
    <row r="245" ht="12.75" customHeight="1">
      <c r="B245" s="185"/>
      <c r="C245" s="185"/>
    </row>
    <row r="246" ht="12.75" customHeight="1">
      <c r="B246" s="185"/>
      <c r="C246" s="185"/>
    </row>
    <row r="247" ht="12.75" customHeight="1">
      <c r="B247" s="185"/>
      <c r="C247" s="185"/>
    </row>
    <row r="248" ht="12.75" customHeight="1">
      <c r="B248" s="185"/>
      <c r="C248" s="185"/>
    </row>
    <row r="249" ht="12.75" customHeight="1">
      <c r="B249" s="185"/>
      <c r="C249" s="185"/>
    </row>
    <row r="250" ht="12.75" customHeight="1">
      <c r="B250" s="185"/>
      <c r="C250" s="185"/>
    </row>
    <row r="251" ht="12.75" customHeight="1">
      <c r="B251" s="185"/>
      <c r="C251" s="185"/>
    </row>
    <row r="252" ht="12.75" customHeight="1">
      <c r="B252" s="185"/>
      <c r="C252" s="185"/>
    </row>
    <row r="253" ht="12.75" customHeight="1">
      <c r="B253" s="185"/>
      <c r="C253" s="185"/>
    </row>
    <row r="254" ht="12.75" customHeight="1">
      <c r="B254" s="185"/>
      <c r="C254" s="185"/>
    </row>
    <row r="255" ht="12.75" customHeight="1">
      <c r="B255" s="185"/>
      <c r="C255" s="185"/>
    </row>
    <row r="256" ht="12.75" customHeight="1">
      <c r="B256" s="185"/>
      <c r="C256" s="185"/>
    </row>
    <row r="257" ht="12.75" customHeight="1">
      <c r="B257" s="185"/>
      <c r="C257" s="185"/>
    </row>
    <row r="258" ht="12.75" customHeight="1">
      <c r="B258" s="185"/>
      <c r="C258" s="185"/>
    </row>
    <row r="259" ht="12.75" customHeight="1">
      <c r="B259" s="185"/>
      <c r="C259" s="185"/>
    </row>
    <row r="260" ht="12.75" customHeight="1">
      <c r="B260" s="185"/>
      <c r="C260" s="185"/>
    </row>
    <row r="261" ht="12.75" customHeight="1">
      <c r="B261" s="185"/>
      <c r="C261" s="185"/>
    </row>
    <row r="262" ht="12.75" customHeight="1">
      <c r="B262" s="185"/>
      <c r="C262" s="185"/>
    </row>
    <row r="263" ht="12.75" customHeight="1">
      <c r="B263" s="185"/>
      <c r="C263" s="185"/>
    </row>
    <row r="264" ht="12.75" customHeight="1">
      <c r="B264" s="185"/>
      <c r="C264" s="185"/>
    </row>
    <row r="265" ht="12.75" customHeight="1">
      <c r="B265" s="185"/>
      <c r="C265" s="185"/>
    </row>
    <row r="266" ht="12.75" customHeight="1">
      <c r="B266" s="185"/>
      <c r="C266" s="185"/>
    </row>
    <row r="267" ht="12.75" customHeight="1">
      <c r="B267" s="185"/>
      <c r="C267" s="185"/>
    </row>
    <row r="268" ht="12.75" customHeight="1">
      <c r="B268" s="185"/>
      <c r="C268" s="185"/>
    </row>
    <row r="269" ht="12.75" customHeight="1">
      <c r="B269" s="185"/>
      <c r="C269" s="185"/>
    </row>
    <row r="270" ht="12.75" customHeight="1">
      <c r="B270" s="185"/>
      <c r="C270" s="185"/>
    </row>
    <row r="271" ht="12.75" customHeight="1">
      <c r="B271" s="185"/>
      <c r="C271" s="185"/>
    </row>
    <row r="272" ht="12.75" customHeight="1">
      <c r="B272" s="185"/>
      <c r="C272" s="185"/>
    </row>
    <row r="273" ht="12.75" customHeight="1">
      <c r="B273" s="185"/>
      <c r="C273" s="185"/>
    </row>
    <row r="274" ht="12.75" customHeight="1">
      <c r="B274" s="185"/>
      <c r="C274" s="185"/>
    </row>
    <row r="275" ht="12.75" customHeight="1">
      <c r="B275" s="185"/>
      <c r="C275" s="185"/>
    </row>
    <row r="276" ht="12.75" customHeight="1">
      <c r="B276" s="185"/>
      <c r="C276" s="185"/>
    </row>
    <row r="277" ht="12.75" customHeight="1">
      <c r="B277" s="185"/>
      <c r="C277" s="185"/>
    </row>
    <row r="278" ht="12.75" customHeight="1">
      <c r="B278" s="185"/>
      <c r="C278" s="185"/>
    </row>
    <row r="279" ht="12.75" customHeight="1">
      <c r="B279" s="185"/>
      <c r="C279" s="185"/>
    </row>
    <row r="280" ht="12.75" customHeight="1">
      <c r="B280" s="185"/>
      <c r="C280" s="185"/>
    </row>
    <row r="281" ht="12.75" customHeight="1">
      <c r="B281" s="185"/>
      <c r="C281" s="185"/>
    </row>
    <row r="282" ht="12.75" customHeight="1">
      <c r="B282" s="185"/>
      <c r="C282" s="185"/>
    </row>
    <row r="283" ht="12.75" customHeight="1">
      <c r="B283" s="185"/>
      <c r="C283" s="185"/>
    </row>
    <row r="284" ht="12.75" customHeight="1">
      <c r="B284" s="185"/>
      <c r="C284" s="185"/>
    </row>
    <row r="285" ht="12.75" customHeight="1">
      <c r="B285" s="185"/>
      <c r="C285" s="185"/>
    </row>
    <row r="286" ht="12.75" customHeight="1">
      <c r="B286" s="185"/>
      <c r="C286" s="185"/>
    </row>
    <row r="287" ht="12.75" customHeight="1">
      <c r="B287" s="185"/>
      <c r="C287" s="185"/>
    </row>
    <row r="288" ht="12.75" customHeight="1">
      <c r="B288" s="185"/>
      <c r="C288" s="185"/>
    </row>
    <row r="289" ht="12.75" customHeight="1">
      <c r="B289" s="185"/>
      <c r="C289" s="185"/>
    </row>
    <row r="290" ht="12.75" customHeight="1">
      <c r="B290" s="185"/>
      <c r="C290" s="185"/>
    </row>
    <row r="291" ht="12.75" customHeight="1">
      <c r="B291" s="185"/>
      <c r="C291" s="185"/>
    </row>
    <row r="292" ht="12.75" customHeight="1">
      <c r="B292" s="185"/>
      <c r="C292" s="185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32:C32"/>
    <mergeCell ref="A33:G37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56</v>
      </c>
      <c r="C3" s="177" t="s">
        <v>57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56</v>
      </c>
      <c r="C4" s="188" t="s">
        <v>57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SUMIF(AG9:AG156,"&lt;&gt;NOR",G9:G156)</f>
        <v>1713227.1</v>
      </c>
      <c r="H8" s="203"/>
      <c r="I8" s="203">
        <f>SUM(I9:I156)</f>
        <v>0</v>
      </c>
      <c r="J8" s="203"/>
      <c r="K8" s="203">
        <f>SUM(K9:K156)</f>
        <v>0</v>
      </c>
      <c r="L8" s="203"/>
      <c r="M8" s="203">
        <f>SUM(M9:M156)</f>
        <v>2073004.791</v>
      </c>
      <c r="N8" s="203"/>
      <c r="O8" s="203">
        <f>SUM(O9:O156)</f>
        <v>492.54</v>
      </c>
      <c r="P8" s="203"/>
      <c r="Q8" s="203">
        <f>SUM(Q9:Q156)</f>
        <v>17.02</v>
      </c>
      <c r="R8" s="203"/>
      <c r="S8" s="203"/>
      <c r="T8" s="203"/>
      <c r="U8" s="203"/>
      <c r="V8" s="203">
        <f>SUM(V9:V156)</f>
        <v>4846.74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222</v>
      </c>
      <c r="C9" s="216" t="s">
        <v>223</v>
      </c>
      <c r="D9" s="217" t="s">
        <v>224</v>
      </c>
      <c r="E9" s="218">
        <v>11.25</v>
      </c>
      <c r="F9" s="219">
        <v>153.0</v>
      </c>
      <c r="G9" s="220">
        <f>ROUND(E9*F9,2)</f>
        <v>1721.25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2082.7125</v>
      </c>
      <c r="N9" s="212">
        <v>0.0</v>
      </c>
      <c r="O9" s="212">
        <f>ROUND(E9*N9,2)</f>
        <v>0</v>
      </c>
      <c r="P9" s="212">
        <v>0.88</v>
      </c>
      <c r="Q9" s="212">
        <f>ROUND(E9*P9,2)</f>
        <v>9.9</v>
      </c>
      <c r="R9" s="212"/>
      <c r="S9" s="212" t="s">
        <v>184</v>
      </c>
      <c r="T9" s="212" t="s">
        <v>184</v>
      </c>
      <c r="U9" s="212">
        <v>1.248</v>
      </c>
      <c r="V9" s="212">
        <f>ROUND(E9*U9,2)</f>
        <v>14.04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227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37" t="s">
        <v>229</v>
      </c>
      <c r="D11" s="238"/>
      <c r="E11" s="239">
        <v>11.25</v>
      </c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>
        <v>0.0</v>
      </c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14">
        <v>2.0</v>
      </c>
      <c r="B12" s="215" t="s">
        <v>230</v>
      </c>
      <c r="C12" s="216" t="s">
        <v>231</v>
      </c>
      <c r="D12" s="217" t="s">
        <v>224</v>
      </c>
      <c r="E12" s="218">
        <v>11.25</v>
      </c>
      <c r="F12" s="219">
        <v>228.5</v>
      </c>
      <c r="G12" s="220">
        <f>ROUND(E12*F12,2)</f>
        <v>2570.63</v>
      </c>
      <c r="H12" s="211"/>
      <c r="I12" s="212">
        <f>ROUND(E12*H12,2)</f>
        <v>0</v>
      </c>
      <c r="J12" s="211"/>
      <c r="K12" s="212">
        <f>ROUND(E12*J12,2)</f>
        <v>0</v>
      </c>
      <c r="L12" s="212">
        <v>21.0</v>
      </c>
      <c r="M12" s="212">
        <f>G12*(1+L12/100)</f>
        <v>3110.4623</v>
      </c>
      <c r="N12" s="212">
        <v>0.0</v>
      </c>
      <c r="O12" s="212">
        <f>ROUND(E12*N12,2)</f>
        <v>0</v>
      </c>
      <c r="P12" s="212">
        <v>0.22</v>
      </c>
      <c r="Q12" s="212">
        <f>ROUND(E12*P12,2)</f>
        <v>2.48</v>
      </c>
      <c r="R12" s="212"/>
      <c r="S12" s="212" t="s">
        <v>184</v>
      </c>
      <c r="T12" s="212" t="s">
        <v>184</v>
      </c>
      <c r="U12" s="212">
        <v>0.375</v>
      </c>
      <c r="V12" s="212">
        <f>ROUND(E12*U12,2)</f>
        <v>4.22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37" t="s">
        <v>227</v>
      </c>
      <c r="D13" s="238"/>
      <c r="E13" s="239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>
        <v>0.0</v>
      </c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229</v>
      </c>
      <c r="D14" s="238"/>
      <c r="E14" s="239">
        <v>11.25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3.0</v>
      </c>
      <c r="B15" s="215" t="s">
        <v>232</v>
      </c>
      <c r="C15" s="216" t="s">
        <v>233</v>
      </c>
      <c r="D15" s="217" t="s">
        <v>234</v>
      </c>
      <c r="E15" s="218">
        <v>539.9625</v>
      </c>
      <c r="F15" s="219">
        <v>39.6</v>
      </c>
      <c r="G15" s="220">
        <f>ROUND(E15*F15,2)</f>
        <v>21382.52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25872.8492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0.084</v>
      </c>
      <c r="V15" s="212">
        <f>ROUND(E15*U15,2)</f>
        <v>45.36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235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40" t="s">
        <v>236</v>
      </c>
      <c r="D17" s="241"/>
      <c r="E17" s="24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35"/>
      <c r="B18" s="236"/>
      <c r="C18" s="243" t="s">
        <v>237</v>
      </c>
      <c r="D18" s="241"/>
      <c r="E18" s="242">
        <v>1079.925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/>
      <c r="AG18" s="213" t="s">
        <v>228</v>
      </c>
      <c r="AH18" s="213">
        <v>2.0</v>
      </c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40" t="s">
        <v>238</v>
      </c>
      <c r="D19" s="241"/>
      <c r="E19" s="24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239</v>
      </c>
      <c r="D20" s="238"/>
      <c r="E20" s="239">
        <v>539.9625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240</v>
      </c>
      <c r="C21" s="216" t="s">
        <v>241</v>
      </c>
      <c r="D21" s="217" t="s">
        <v>224</v>
      </c>
      <c r="E21" s="218">
        <v>6.0</v>
      </c>
      <c r="F21" s="219">
        <v>83.0</v>
      </c>
      <c r="G21" s="220">
        <f>ROUND(E21*F21,2)</f>
        <v>498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602.58</v>
      </c>
      <c r="N21" s="212">
        <v>0.0</v>
      </c>
      <c r="O21" s="212">
        <f>ROUND(E21*N21,2)</f>
        <v>0</v>
      </c>
      <c r="P21" s="212">
        <v>0.225</v>
      </c>
      <c r="Q21" s="212">
        <f>ROUND(E21*P21,2)</f>
        <v>1.35</v>
      </c>
      <c r="R21" s="212"/>
      <c r="S21" s="212" t="s">
        <v>184</v>
      </c>
      <c r="T21" s="212" t="s">
        <v>184</v>
      </c>
      <c r="U21" s="212">
        <v>0.142</v>
      </c>
      <c r="V21" s="212">
        <f>ROUND(E21*U21,2)</f>
        <v>0.85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242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243</v>
      </c>
      <c r="D23" s="238"/>
      <c r="E23" s="239">
        <v>3.0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37" t="s">
        <v>243</v>
      </c>
      <c r="D24" s="238"/>
      <c r="E24" s="239">
        <v>3.0</v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>
        <v>0.0</v>
      </c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14">
        <v>5.0</v>
      </c>
      <c r="B25" s="215" t="s">
        <v>244</v>
      </c>
      <c r="C25" s="216" t="s">
        <v>245</v>
      </c>
      <c r="D25" s="217" t="s">
        <v>224</v>
      </c>
      <c r="E25" s="218">
        <v>6.0</v>
      </c>
      <c r="F25" s="219">
        <v>152.0</v>
      </c>
      <c r="G25" s="220">
        <f>ROUND(E25*F25,2)</f>
        <v>912</v>
      </c>
      <c r="H25" s="211"/>
      <c r="I25" s="212">
        <f>ROUND(E25*H25,2)</f>
        <v>0</v>
      </c>
      <c r="J25" s="211"/>
      <c r="K25" s="212">
        <f>ROUND(E25*J25,2)</f>
        <v>0</v>
      </c>
      <c r="L25" s="212">
        <v>21.0</v>
      </c>
      <c r="M25" s="212">
        <f>G25*(1+L25/100)</f>
        <v>1103.52</v>
      </c>
      <c r="N25" s="212">
        <v>0.0</v>
      </c>
      <c r="O25" s="212">
        <f>ROUND(E25*N25,2)</f>
        <v>0</v>
      </c>
      <c r="P25" s="212">
        <v>0.355</v>
      </c>
      <c r="Q25" s="212">
        <f>ROUND(E25*P25,2)</f>
        <v>2.13</v>
      </c>
      <c r="R25" s="212"/>
      <c r="S25" s="212" t="s">
        <v>184</v>
      </c>
      <c r="T25" s="212" t="s">
        <v>184</v>
      </c>
      <c r="U25" s="212">
        <v>0.062</v>
      </c>
      <c r="V25" s="212">
        <f>ROUND(E25*U25,2)</f>
        <v>0.37</v>
      </c>
      <c r="W25" s="212"/>
      <c r="X25" s="212" t="s">
        <v>225</v>
      </c>
      <c r="Y25" s="213"/>
      <c r="Z25" s="213"/>
      <c r="AA25" s="213"/>
      <c r="AB25" s="213"/>
      <c r="AC25" s="213"/>
      <c r="AD25" s="213"/>
      <c r="AE25" s="213"/>
      <c r="AF25" s="213"/>
      <c r="AG25" s="213" t="s">
        <v>226</v>
      </c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246</v>
      </c>
      <c r="D26" s="238"/>
      <c r="E26" s="239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247</v>
      </c>
      <c r="D27" s="238"/>
      <c r="E27" s="239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248</v>
      </c>
      <c r="D28" s="238"/>
      <c r="E28" s="239">
        <v>6.0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14">
        <v>6.0</v>
      </c>
      <c r="B29" s="215" t="s">
        <v>249</v>
      </c>
      <c r="C29" s="216" t="s">
        <v>250</v>
      </c>
      <c r="D29" s="217" t="s">
        <v>251</v>
      </c>
      <c r="E29" s="218">
        <v>8.0</v>
      </c>
      <c r="F29" s="219">
        <v>73.0</v>
      </c>
      <c r="G29" s="220">
        <f>ROUND(E29*F29,2)</f>
        <v>584</v>
      </c>
      <c r="H29" s="211"/>
      <c r="I29" s="212">
        <f>ROUND(E29*H29,2)</f>
        <v>0</v>
      </c>
      <c r="J29" s="211"/>
      <c r="K29" s="212">
        <f>ROUND(E29*J29,2)</f>
        <v>0</v>
      </c>
      <c r="L29" s="212">
        <v>21.0</v>
      </c>
      <c r="M29" s="212">
        <f>G29*(1+L29/100)</f>
        <v>706.64</v>
      </c>
      <c r="N29" s="212">
        <v>0.0</v>
      </c>
      <c r="O29" s="212">
        <f>ROUND(E29*N29,2)</f>
        <v>0</v>
      </c>
      <c r="P29" s="212">
        <v>0.145</v>
      </c>
      <c r="Q29" s="212">
        <f>ROUND(E29*P29,2)</f>
        <v>1.16</v>
      </c>
      <c r="R29" s="212"/>
      <c r="S29" s="212" t="s">
        <v>184</v>
      </c>
      <c r="T29" s="212" t="s">
        <v>184</v>
      </c>
      <c r="U29" s="212">
        <v>0.133</v>
      </c>
      <c r="V29" s="212">
        <f>ROUND(E29*U29,2)</f>
        <v>1.06</v>
      </c>
      <c r="W29" s="212"/>
      <c r="X29" s="212" t="s">
        <v>225</v>
      </c>
      <c r="Y29" s="213"/>
      <c r="Z29" s="213"/>
      <c r="AA29" s="213"/>
      <c r="AB29" s="213"/>
      <c r="AC29" s="213"/>
      <c r="AD29" s="213"/>
      <c r="AE29" s="213"/>
      <c r="AF29" s="213"/>
      <c r="AG29" s="213" t="s">
        <v>226</v>
      </c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35"/>
      <c r="B30" s="236"/>
      <c r="C30" s="237" t="s">
        <v>242</v>
      </c>
      <c r="D30" s="238"/>
      <c r="E30" s="239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213"/>
      <c r="AA30" s="213"/>
      <c r="AB30" s="213"/>
      <c r="AC30" s="213"/>
      <c r="AD30" s="213"/>
      <c r="AE30" s="213"/>
      <c r="AF30" s="213"/>
      <c r="AG30" s="213" t="s">
        <v>228</v>
      </c>
      <c r="AH30" s="213">
        <v>0.0</v>
      </c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252</v>
      </c>
      <c r="D31" s="238"/>
      <c r="E31" s="239">
        <v>4.0</v>
      </c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252</v>
      </c>
      <c r="D32" s="238"/>
      <c r="E32" s="239">
        <v>4.0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7.0</v>
      </c>
      <c r="B33" s="215" t="s">
        <v>253</v>
      </c>
      <c r="C33" s="216" t="s">
        <v>254</v>
      </c>
      <c r="D33" s="217" t="s">
        <v>234</v>
      </c>
      <c r="E33" s="218">
        <v>1.2</v>
      </c>
      <c r="F33" s="219">
        <v>183.5</v>
      </c>
      <c r="G33" s="220">
        <f>ROUND(E33*F33,2)</f>
        <v>220.2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266.442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0.0134</v>
      </c>
      <c r="V33" s="212">
        <f>ROUND(E33*U33,2)</f>
        <v>0.02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246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255</v>
      </c>
      <c r="D35" s="238"/>
      <c r="E35" s="239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35"/>
      <c r="B36" s="236"/>
      <c r="C36" s="237" t="s">
        <v>256</v>
      </c>
      <c r="D36" s="238"/>
      <c r="E36" s="239">
        <v>1.2</v>
      </c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3"/>
      <c r="Z36" s="213"/>
      <c r="AA36" s="213"/>
      <c r="AB36" s="213"/>
      <c r="AC36" s="213"/>
      <c r="AD36" s="213"/>
      <c r="AE36" s="213"/>
      <c r="AF36" s="213"/>
      <c r="AG36" s="213" t="s">
        <v>228</v>
      </c>
      <c r="AH36" s="213">
        <v>0.0</v>
      </c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14">
        <v>8.0</v>
      </c>
      <c r="B37" s="215" t="s">
        <v>257</v>
      </c>
      <c r="C37" s="216" t="s">
        <v>258</v>
      </c>
      <c r="D37" s="217" t="s">
        <v>234</v>
      </c>
      <c r="E37" s="218">
        <v>1.2</v>
      </c>
      <c r="F37" s="219">
        <v>200.5</v>
      </c>
      <c r="G37" s="220">
        <f>ROUND(E37*F37,2)</f>
        <v>240.6</v>
      </c>
      <c r="H37" s="211"/>
      <c r="I37" s="212">
        <f>ROUND(E37*H37,2)</f>
        <v>0</v>
      </c>
      <c r="J37" s="211"/>
      <c r="K37" s="212">
        <f>ROUND(E37*J37,2)</f>
        <v>0</v>
      </c>
      <c r="L37" s="212">
        <v>21.0</v>
      </c>
      <c r="M37" s="212">
        <f>G37*(1+L37/100)</f>
        <v>291.126</v>
      </c>
      <c r="N37" s="212">
        <v>0.0</v>
      </c>
      <c r="O37" s="212">
        <f>ROUND(E37*N37,2)</f>
        <v>0</v>
      </c>
      <c r="P37" s="212">
        <v>0.0</v>
      </c>
      <c r="Q37" s="212">
        <f>ROUND(E37*P37,2)</f>
        <v>0</v>
      </c>
      <c r="R37" s="212"/>
      <c r="S37" s="212" t="s">
        <v>184</v>
      </c>
      <c r="T37" s="212" t="s">
        <v>184</v>
      </c>
      <c r="U37" s="212">
        <v>0.368</v>
      </c>
      <c r="V37" s="212">
        <f>ROUND(E37*U37,2)</f>
        <v>0.44</v>
      </c>
      <c r="W37" s="212"/>
      <c r="X37" s="212" t="s">
        <v>225</v>
      </c>
      <c r="Y37" s="213"/>
      <c r="Z37" s="213"/>
      <c r="AA37" s="213"/>
      <c r="AB37" s="213"/>
      <c r="AC37" s="213"/>
      <c r="AD37" s="213"/>
      <c r="AE37" s="213"/>
      <c r="AF37" s="213"/>
      <c r="AG37" s="213" t="s">
        <v>226</v>
      </c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246</v>
      </c>
      <c r="D38" s="238"/>
      <c r="E38" s="239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37" t="s">
        <v>259</v>
      </c>
      <c r="D39" s="238"/>
      <c r="E39" s="239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>
        <v>0.0</v>
      </c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256</v>
      </c>
      <c r="D40" s="238"/>
      <c r="E40" s="239">
        <v>1.2</v>
      </c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04">
        <v>9.0</v>
      </c>
      <c r="B41" s="205" t="s">
        <v>260</v>
      </c>
      <c r="C41" s="206" t="s">
        <v>261</v>
      </c>
      <c r="D41" s="207" t="s">
        <v>234</v>
      </c>
      <c r="E41" s="208">
        <v>90.0</v>
      </c>
      <c r="F41" s="209">
        <v>502.5</v>
      </c>
      <c r="G41" s="210">
        <f t="shared" ref="G41:G42" si="1">ROUND(E41*F41,2)</f>
        <v>45225</v>
      </c>
      <c r="H41" s="211"/>
      <c r="I41" s="212">
        <f t="shared" ref="I41:I42" si="2">ROUND(E41*H41,2)</f>
        <v>0</v>
      </c>
      <c r="J41" s="211"/>
      <c r="K41" s="212">
        <f t="shared" ref="K41:K42" si="3">ROUND(E41*J41,2)</f>
        <v>0</v>
      </c>
      <c r="L41" s="212">
        <v>21.0</v>
      </c>
      <c r="M41" s="212">
        <f t="shared" ref="M41:M42" si="4">G41*(1+L41/100)</f>
        <v>54722.25</v>
      </c>
      <c r="N41" s="212">
        <v>0.0</v>
      </c>
      <c r="O41" s="212">
        <f t="shared" ref="O41:O42" si="5">ROUND(E41*N41,2)</f>
        <v>0</v>
      </c>
      <c r="P41" s="212">
        <v>0.0</v>
      </c>
      <c r="Q41" s="212">
        <f t="shared" ref="Q41:Q42" si="6">ROUND(E41*P41,2)</f>
        <v>0</v>
      </c>
      <c r="R41" s="212"/>
      <c r="S41" s="212" t="s">
        <v>184</v>
      </c>
      <c r="T41" s="212" t="s">
        <v>184</v>
      </c>
      <c r="U41" s="212">
        <v>1.763</v>
      </c>
      <c r="V41" s="212">
        <f t="shared" ref="V41:V42" si="7">ROUND(E41*U41,2)</f>
        <v>158.67</v>
      </c>
      <c r="W41" s="212"/>
      <c r="X41" s="212" t="s">
        <v>225</v>
      </c>
      <c r="Y41" s="213"/>
      <c r="Z41" s="213"/>
      <c r="AA41" s="213"/>
      <c r="AB41" s="213"/>
      <c r="AC41" s="213"/>
      <c r="AD41" s="213"/>
      <c r="AE41" s="213"/>
      <c r="AF41" s="213"/>
      <c r="AG41" s="213" t="s">
        <v>226</v>
      </c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10.0</v>
      </c>
      <c r="B42" s="215" t="s">
        <v>262</v>
      </c>
      <c r="C42" s="216" t="s">
        <v>263</v>
      </c>
      <c r="D42" s="217" t="s">
        <v>234</v>
      </c>
      <c r="E42" s="218">
        <v>1719.3</v>
      </c>
      <c r="F42" s="219">
        <v>214.5</v>
      </c>
      <c r="G42" s="220">
        <f t="shared" si="1"/>
        <v>368789.85</v>
      </c>
      <c r="H42" s="211"/>
      <c r="I42" s="212">
        <f t="shared" si="2"/>
        <v>0</v>
      </c>
      <c r="J42" s="211"/>
      <c r="K42" s="212">
        <f t="shared" si="3"/>
        <v>0</v>
      </c>
      <c r="L42" s="212">
        <v>21.0</v>
      </c>
      <c r="M42" s="212">
        <f t="shared" si="4"/>
        <v>446235.7185</v>
      </c>
      <c r="N42" s="212">
        <v>0.0</v>
      </c>
      <c r="O42" s="212">
        <f t="shared" si="5"/>
        <v>0</v>
      </c>
      <c r="P42" s="212">
        <v>0.0</v>
      </c>
      <c r="Q42" s="212">
        <f t="shared" si="6"/>
        <v>0</v>
      </c>
      <c r="R42" s="212"/>
      <c r="S42" s="212" t="s">
        <v>184</v>
      </c>
      <c r="T42" s="212" t="s">
        <v>184</v>
      </c>
      <c r="U42" s="212">
        <v>0.222</v>
      </c>
      <c r="V42" s="212">
        <f t="shared" si="7"/>
        <v>381.68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235</v>
      </c>
      <c r="D43" s="238"/>
      <c r="E43" s="239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264</v>
      </c>
      <c r="D44" s="238"/>
      <c r="E44" s="239">
        <v>1079.92</v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265</v>
      </c>
      <c r="D45" s="238"/>
      <c r="E45" s="239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37" t="s">
        <v>266</v>
      </c>
      <c r="D46" s="238"/>
      <c r="E46" s="239">
        <v>9.63</v>
      </c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>
        <v>0.0</v>
      </c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267</v>
      </c>
      <c r="D47" s="238"/>
      <c r="E47" s="239">
        <v>27.5</v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37" t="s">
        <v>268</v>
      </c>
      <c r="D48" s="238"/>
      <c r="E48" s="239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>
        <v>0.0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37" t="s">
        <v>269</v>
      </c>
      <c r="D49" s="238"/>
      <c r="E49" s="239">
        <v>572.0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0.0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270</v>
      </c>
      <c r="D50" s="238"/>
      <c r="E50" s="239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271</v>
      </c>
      <c r="D51" s="238"/>
      <c r="E51" s="239">
        <v>16.5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35"/>
      <c r="B52" s="236"/>
      <c r="C52" s="237" t="s">
        <v>272</v>
      </c>
      <c r="D52" s="238"/>
      <c r="E52" s="239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3"/>
      <c r="Z52" s="213"/>
      <c r="AA52" s="213"/>
      <c r="AB52" s="213"/>
      <c r="AC52" s="213"/>
      <c r="AD52" s="213"/>
      <c r="AE52" s="213"/>
      <c r="AF52" s="213"/>
      <c r="AG52" s="213" t="s">
        <v>228</v>
      </c>
      <c r="AH52" s="213">
        <v>0.0</v>
      </c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273</v>
      </c>
      <c r="D53" s="238"/>
      <c r="E53" s="239">
        <v>6.88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37" t="s">
        <v>273</v>
      </c>
      <c r="D54" s="238"/>
      <c r="E54" s="239">
        <v>6.88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0.0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14">
        <v>11.0</v>
      </c>
      <c r="B55" s="215" t="s">
        <v>274</v>
      </c>
      <c r="C55" s="216" t="s">
        <v>275</v>
      </c>
      <c r="D55" s="217" t="s">
        <v>234</v>
      </c>
      <c r="E55" s="218">
        <v>10.0</v>
      </c>
      <c r="F55" s="219">
        <v>1400.5</v>
      </c>
      <c r="G55" s="220">
        <f>ROUND(E55*F55,2)</f>
        <v>14005</v>
      </c>
      <c r="H55" s="211"/>
      <c r="I55" s="212">
        <f>ROUND(E55*H55,2)</f>
        <v>0</v>
      </c>
      <c r="J55" s="211"/>
      <c r="K55" s="212">
        <f>ROUND(E55*J55,2)</f>
        <v>0</v>
      </c>
      <c r="L55" s="212">
        <v>21.0</v>
      </c>
      <c r="M55" s="212">
        <f>G55*(1+L55/100)</f>
        <v>16946.05</v>
      </c>
      <c r="N55" s="212">
        <v>0.0</v>
      </c>
      <c r="O55" s="212">
        <f>ROUND(E55*N55,2)</f>
        <v>0</v>
      </c>
      <c r="P55" s="212">
        <v>0.0</v>
      </c>
      <c r="Q55" s="212">
        <f>ROUND(E55*P55,2)</f>
        <v>0</v>
      </c>
      <c r="R55" s="212"/>
      <c r="S55" s="212" t="s">
        <v>184</v>
      </c>
      <c r="T55" s="212" t="s">
        <v>184</v>
      </c>
      <c r="U55" s="212">
        <v>3.131</v>
      </c>
      <c r="V55" s="212">
        <f>ROUND(E55*U55,2)</f>
        <v>31.31</v>
      </c>
      <c r="W55" s="212"/>
      <c r="X55" s="212" t="s">
        <v>225</v>
      </c>
      <c r="Y55" s="213"/>
      <c r="Z55" s="213"/>
      <c r="AA55" s="213"/>
      <c r="AB55" s="213"/>
      <c r="AC55" s="213"/>
      <c r="AD55" s="213"/>
      <c r="AE55" s="213"/>
      <c r="AF55" s="213"/>
      <c r="AG55" s="213" t="s">
        <v>226</v>
      </c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276</v>
      </c>
      <c r="D56" s="238"/>
      <c r="E56" s="239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277</v>
      </c>
      <c r="D57" s="238"/>
      <c r="E57" s="239">
        <v>10.0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14">
        <v>12.0</v>
      </c>
      <c r="B58" s="215" t="s">
        <v>278</v>
      </c>
      <c r="C58" s="216" t="s">
        <v>279</v>
      </c>
      <c r="D58" s="217" t="s">
        <v>224</v>
      </c>
      <c r="E58" s="218">
        <v>3126.0</v>
      </c>
      <c r="F58" s="219">
        <v>69.5</v>
      </c>
      <c r="G58" s="220">
        <f>ROUND(E58*F58,2)</f>
        <v>217257</v>
      </c>
      <c r="H58" s="211"/>
      <c r="I58" s="212">
        <f>ROUND(E58*H58,2)</f>
        <v>0</v>
      </c>
      <c r="J58" s="211"/>
      <c r="K58" s="212">
        <f>ROUND(E58*J58,2)</f>
        <v>0</v>
      </c>
      <c r="L58" s="212">
        <v>21.0</v>
      </c>
      <c r="M58" s="212">
        <f>G58*(1+L58/100)</f>
        <v>262880.97</v>
      </c>
      <c r="N58" s="212">
        <v>8.6E-4</v>
      </c>
      <c r="O58" s="212">
        <f>ROUND(E58*N58,2)</f>
        <v>2.69</v>
      </c>
      <c r="P58" s="212">
        <v>0.0</v>
      </c>
      <c r="Q58" s="212">
        <f>ROUND(E58*P58,2)</f>
        <v>0</v>
      </c>
      <c r="R58" s="212"/>
      <c r="S58" s="212" t="s">
        <v>184</v>
      </c>
      <c r="T58" s="212" t="s">
        <v>184</v>
      </c>
      <c r="U58" s="212">
        <v>0.479</v>
      </c>
      <c r="V58" s="212">
        <f>ROUND(E58*U58,2)</f>
        <v>1497.35</v>
      </c>
      <c r="W58" s="212"/>
      <c r="X58" s="212" t="s">
        <v>225</v>
      </c>
      <c r="Y58" s="213"/>
      <c r="Z58" s="213"/>
      <c r="AA58" s="213"/>
      <c r="AB58" s="213"/>
      <c r="AC58" s="213"/>
      <c r="AD58" s="213"/>
      <c r="AE58" s="213"/>
      <c r="AF58" s="213"/>
      <c r="AG58" s="213" t="s">
        <v>226</v>
      </c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235</v>
      </c>
      <c r="D59" s="238"/>
      <c r="E59" s="239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280</v>
      </c>
      <c r="D60" s="238"/>
      <c r="E60" s="239">
        <v>1963.5</v>
      </c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265</v>
      </c>
      <c r="D61" s="238"/>
      <c r="E61" s="239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35"/>
      <c r="B62" s="236"/>
      <c r="C62" s="237" t="s">
        <v>281</v>
      </c>
      <c r="D62" s="238"/>
      <c r="E62" s="239">
        <v>17.5</v>
      </c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3"/>
      <c r="Z62" s="213"/>
      <c r="AA62" s="213"/>
      <c r="AB62" s="213"/>
      <c r="AC62" s="213"/>
      <c r="AD62" s="213"/>
      <c r="AE62" s="213"/>
      <c r="AF62" s="213"/>
      <c r="AG62" s="213" t="s">
        <v>228</v>
      </c>
      <c r="AH62" s="213">
        <v>0.0</v>
      </c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282</v>
      </c>
      <c r="D63" s="238"/>
      <c r="E63" s="239">
        <v>50.0</v>
      </c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268</v>
      </c>
      <c r="D64" s="238"/>
      <c r="E64" s="239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283</v>
      </c>
      <c r="D65" s="238"/>
      <c r="E65" s="239">
        <v>1040.0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270</v>
      </c>
      <c r="D66" s="238"/>
      <c r="E66" s="239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284</v>
      </c>
      <c r="D67" s="238"/>
      <c r="E67" s="239">
        <v>30.0</v>
      </c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272</v>
      </c>
      <c r="D68" s="238"/>
      <c r="E68" s="239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285</v>
      </c>
      <c r="D69" s="238"/>
      <c r="E69" s="239">
        <v>12.5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285</v>
      </c>
      <c r="D70" s="238"/>
      <c r="E70" s="239">
        <v>12.5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14">
        <v>13.0</v>
      </c>
      <c r="B71" s="215" t="s">
        <v>286</v>
      </c>
      <c r="C71" s="216" t="s">
        <v>287</v>
      </c>
      <c r="D71" s="217" t="s">
        <v>224</v>
      </c>
      <c r="E71" s="218">
        <v>3126.0</v>
      </c>
      <c r="F71" s="219">
        <v>41.3</v>
      </c>
      <c r="G71" s="220">
        <f>ROUND(E71*F71,2)</f>
        <v>129103.8</v>
      </c>
      <c r="H71" s="211"/>
      <c r="I71" s="212">
        <f>ROUND(E71*H71,2)</f>
        <v>0</v>
      </c>
      <c r="J71" s="211"/>
      <c r="K71" s="212">
        <f>ROUND(E71*J71,2)</f>
        <v>0</v>
      </c>
      <c r="L71" s="212">
        <v>21.0</v>
      </c>
      <c r="M71" s="212">
        <f>G71*(1+L71/100)</f>
        <v>156215.598</v>
      </c>
      <c r="N71" s="212">
        <v>0.0</v>
      </c>
      <c r="O71" s="212">
        <f>ROUND(E71*N71,2)</f>
        <v>0</v>
      </c>
      <c r="P71" s="212">
        <v>0.0</v>
      </c>
      <c r="Q71" s="212">
        <f>ROUND(E71*P71,2)</f>
        <v>0</v>
      </c>
      <c r="R71" s="212"/>
      <c r="S71" s="212" t="s">
        <v>184</v>
      </c>
      <c r="T71" s="212" t="s">
        <v>184</v>
      </c>
      <c r="U71" s="212">
        <v>0.327</v>
      </c>
      <c r="V71" s="212">
        <f>ROUND(E71*U71,2)</f>
        <v>1022.2</v>
      </c>
      <c r="W71" s="212"/>
      <c r="X71" s="212" t="s">
        <v>225</v>
      </c>
      <c r="Y71" s="213"/>
      <c r="Z71" s="213"/>
      <c r="AA71" s="213"/>
      <c r="AB71" s="213"/>
      <c r="AC71" s="213"/>
      <c r="AD71" s="213"/>
      <c r="AE71" s="213"/>
      <c r="AF71" s="213"/>
      <c r="AG71" s="213" t="s">
        <v>226</v>
      </c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35"/>
      <c r="B72" s="236"/>
      <c r="C72" s="237" t="s">
        <v>235</v>
      </c>
      <c r="D72" s="238"/>
      <c r="E72" s="239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3"/>
      <c r="Z72" s="213"/>
      <c r="AA72" s="213"/>
      <c r="AB72" s="213"/>
      <c r="AC72" s="213"/>
      <c r="AD72" s="213"/>
      <c r="AE72" s="213"/>
      <c r="AF72" s="213"/>
      <c r="AG72" s="213" t="s">
        <v>228</v>
      </c>
      <c r="AH72" s="213">
        <v>0.0</v>
      </c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280</v>
      </c>
      <c r="D73" s="238"/>
      <c r="E73" s="239">
        <v>1963.5</v>
      </c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265</v>
      </c>
      <c r="D74" s="238"/>
      <c r="E74" s="239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281</v>
      </c>
      <c r="D75" s="238"/>
      <c r="E75" s="239">
        <v>17.5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35"/>
      <c r="B76" s="236"/>
      <c r="C76" s="237" t="s">
        <v>282</v>
      </c>
      <c r="D76" s="238"/>
      <c r="E76" s="239">
        <v>50.0</v>
      </c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3"/>
      <c r="Z76" s="213"/>
      <c r="AA76" s="213"/>
      <c r="AB76" s="213"/>
      <c r="AC76" s="213"/>
      <c r="AD76" s="213"/>
      <c r="AE76" s="213"/>
      <c r="AF76" s="213"/>
      <c r="AG76" s="213" t="s">
        <v>228</v>
      </c>
      <c r="AH76" s="213">
        <v>0.0</v>
      </c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268</v>
      </c>
      <c r="D77" s="238"/>
      <c r="E77" s="239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283</v>
      </c>
      <c r="D78" s="238"/>
      <c r="E78" s="239">
        <v>1040.0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35"/>
      <c r="B79" s="236"/>
      <c r="C79" s="237" t="s">
        <v>270</v>
      </c>
      <c r="D79" s="238"/>
      <c r="E79" s="239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3"/>
      <c r="Z79" s="213"/>
      <c r="AA79" s="213"/>
      <c r="AB79" s="213"/>
      <c r="AC79" s="213"/>
      <c r="AD79" s="213"/>
      <c r="AE79" s="213"/>
      <c r="AF79" s="213"/>
      <c r="AG79" s="213" t="s">
        <v>228</v>
      </c>
      <c r="AH79" s="213">
        <v>0.0</v>
      </c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35"/>
      <c r="B80" s="236"/>
      <c r="C80" s="237" t="s">
        <v>284</v>
      </c>
      <c r="D80" s="238"/>
      <c r="E80" s="239">
        <v>30.0</v>
      </c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3"/>
      <c r="Z80" s="213"/>
      <c r="AA80" s="213"/>
      <c r="AB80" s="213"/>
      <c r="AC80" s="213"/>
      <c r="AD80" s="213"/>
      <c r="AE80" s="213"/>
      <c r="AF80" s="213"/>
      <c r="AG80" s="213" t="s">
        <v>228</v>
      </c>
      <c r="AH80" s="213">
        <v>0.0</v>
      </c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35"/>
      <c r="B81" s="236"/>
      <c r="C81" s="237" t="s">
        <v>272</v>
      </c>
      <c r="D81" s="238"/>
      <c r="E81" s="239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3"/>
      <c r="Z81" s="213"/>
      <c r="AA81" s="213"/>
      <c r="AB81" s="213"/>
      <c r="AC81" s="213"/>
      <c r="AD81" s="213"/>
      <c r="AE81" s="213"/>
      <c r="AF81" s="213"/>
      <c r="AG81" s="213" t="s">
        <v>228</v>
      </c>
      <c r="AH81" s="213">
        <v>0.0</v>
      </c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35"/>
      <c r="B82" s="236"/>
      <c r="C82" s="237" t="s">
        <v>285</v>
      </c>
      <c r="D82" s="238"/>
      <c r="E82" s="239">
        <v>12.5</v>
      </c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3"/>
      <c r="Z82" s="213"/>
      <c r="AA82" s="213"/>
      <c r="AB82" s="213"/>
      <c r="AC82" s="213"/>
      <c r="AD82" s="213"/>
      <c r="AE82" s="213"/>
      <c r="AF82" s="213"/>
      <c r="AG82" s="213" t="s">
        <v>228</v>
      </c>
      <c r="AH82" s="213">
        <v>0.0</v>
      </c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35"/>
      <c r="B83" s="236"/>
      <c r="C83" s="237" t="s">
        <v>285</v>
      </c>
      <c r="D83" s="238"/>
      <c r="E83" s="239">
        <v>12.5</v>
      </c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3"/>
      <c r="Z83" s="213"/>
      <c r="AA83" s="213"/>
      <c r="AB83" s="213"/>
      <c r="AC83" s="213"/>
      <c r="AD83" s="213"/>
      <c r="AE83" s="213"/>
      <c r="AF83" s="213"/>
      <c r="AG83" s="213" t="s">
        <v>228</v>
      </c>
      <c r="AH83" s="213">
        <v>0.0</v>
      </c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14">
        <v>14.0</v>
      </c>
      <c r="B84" s="215" t="s">
        <v>288</v>
      </c>
      <c r="C84" s="216" t="s">
        <v>289</v>
      </c>
      <c r="D84" s="217" t="s">
        <v>234</v>
      </c>
      <c r="E84" s="218">
        <v>1719.3</v>
      </c>
      <c r="F84" s="219">
        <v>36.6</v>
      </c>
      <c r="G84" s="220">
        <f>ROUND(E84*F84,2)</f>
        <v>62926.38</v>
      </c>
      <c r="H84" s="211"/>
      <c r="I84" s="212">
        <f>ROUND(E84*H84,2)</f>
        <v>0</v>
      </c>
      <c r="J84" s="211"/>
      <c r="K84" s="212">
        <f>ROUND(E84*J84,2)</f>
        <v>0</v>
      </c>
      <c r="L84" s="212">
        <v>21.0</v>
      </c>
      <c r="M84" s="212">
        <f>G84*(1+L84/100)</f>
        <v>76140.9198</v>
      </c>
      <c r="N84" s="212">
        <v>0.0</v>
      </c>
      <c r="O84" s="212">
        <f>ROUND(E84*N84,2)</f>
        <v>0</v>
      </c>
      <c r="P84" s="212">
        <v>0.0</v>
      </c>
      <c r="Q84" s="212">
        <f>ROUND(E84*P84,2)</f>
        <v>0</v>
      </c>
      <c r="R84" s="212"/>
      <c r="S84" s="212" t="s">
        <v>184</v>
      </c>
      <c r="T84" s="212" t="s">
        <v>184</v>
      </c>
      <c r="U84" s="212">
        <v>0.039</v>
      </c>
      <c r="V84" s="212">
        <f>ROUND(E84*U84,2)</f>
        <v>67.05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35"/>
      <c r="B85" s="236"/>
      <c r="C85" s="237" t="s">
        <v>235</v>
      </c>
      <c r="D85" s="238"/>
      <c r="E85" s="239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3"/>
      <c r="Z85" s="213"/>
      <c r="AA85" s="213"/>
      <c r="AB85" s="213"/>
      <c r="AC85" s="213"/>
      <c r="AD85" s="213"/>
      <c r="AE85" s="213"/>
      <c r="AF85" s="213"/>
      <c r="AG85" s="213" t="s">
        <v>228</v>
      </c>
      <c r="AH85" s="213">
        <v>0.0</v>
      </c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35"/>
      <c r="B86" s="236"/>
      <c r="C86" s="237" t="s">
        <v>264</v>
      </c>
      <c r="D86" s="238"/>
      <c r="E86" s="239">
        <v>1079.92</v>
      </c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3"/>
      <c r="Z86" s="213"/>
      <c r="AA86" s="213"/>
      <c r="AB86" s="213"/>
      <c r="AC86" s="213"/>
      <c r="AD86" s="213"/>
      <c r="AE86" s="213"/>
      <c r="AF86" s="213"/>
      <c r="AG86" s="213" t="s">
        <v>228</v>
      </c>
      <c r="AH86" s="213">
        <v>0.0</v>
      </c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35"/>
      <c r="B87" s="236"/>
      <c r="C87" s="237" t="s">
        <v>265</v>
      </c>
      <c r="D87" s="238"/>
      <c r="E87" s="239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3"/>
      <c r="Z87" s="213"/>
      <c r="AA87" s="213"/>
      <c r="AB87" s="213"/>
      <c r="AC87" s="213"/>
      <c r="AD87" s="213"/>
      <c r="AE87" s="213"/>
      <c r="AF87" s="213"/>
      <c r="AG87" s="213" t="s">
        <v>228</v>
      </c>
      <c r="AH87" s="213">
        <v>0.0</v>
      </c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35"/>
      <c r="B88" s="236"/>
      <c r="C88" s="237" t="s">
        <v>266</v>
      </c>
      <c r="D88" s="238"/>
      <c r="E88" s="239">
        <v>9.63</v>
      </c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3"/>
      <c r="Z88" s="213"/>
      <c r="AA88" s="213"/>
      <c r="AB88" s="213"/>
      <c r="AC88" s="213"/>
      <c r="AD88" s="213"/>
      <c r="AE88" s="213"/>
      <c r="AF88" s="213"/>
      <c r="AG88" s="213" t="s">
        <v>228</v>
      </c>
      <c r="AH88" s="213">
        <v>0.0</v>
      </c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35"/>
      <c r="B89" s="236"/>
      <c r="C89" s="237" t="s">
        <v>267</v>
      </c>
      <c r="D89" s="238"/>
      <c r="E89" s="239">
        <v>27.5</v>
      </c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3"/>
      <c r="Z89" s="213"/>
      <c r="AA89" s="213"/>
      <c r="AB89" s="213"/>
      <c r="AC89" s="213"/>
      <c r="AD89" s="213"/>
      <c r="AE89" s="213"/>
      <c r="AF89" s="213"/>
      <c r="AG89" s="213" t="s">
        <v>228</v>
      </c>
      <c r="AH89" s="213">
        <v>0.0</v>
      </c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35"/>
      <c r="B90" s="236"/>
      <c r="C90" s="237" t="s">
        <v>268</v>
      </c>
      <c r="D90" s="238"/>
      <c r="E90" s="239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3"/>
      <c r="Z90" s="213"/>
      <c r="AA90" s="213"/>
      <c r="AB90" s="213"/>
      <c r="AC90" s="213"/>
      <c r="AD90" s="213"/>
      <c r="AE90" s="213"/>
      <c r="AF90" s="213"/>
      <c r="AG90" s="213" t="s">
        <v>228</v>
      </c>
      <c r="AH90" s="213">
        <v>0.0</v>
      </c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37" t="s">
        <v>269</v>
      </c>
      <c r="D91" s="238"/>
      <c r="E91" s="239">
        <v>572.0</v>
      </c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>
        <v>0.0</v>
      </c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270</v>
      </c>
      <c r="D92" s="238"/>
      <c r="E92" s="239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271</v>
      </c>
      <c r="D93" s="238"/>
      <c r="E93" s="239">
        <v>16.5</v>
      </c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37" t="s">
        <v>272</v>
      </c>
      <c r="D94" s="238"/>
      <c r="E94" s="239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>
        <v>0.0</v>
      </c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35"/>
      <c r="B95" s="236"/>
      <c r="C95" s="237" t="s">
        <v>273</v>
      </c>
      <c r="D95" s="238"/>
      <c r="E95" s="239">
        <v>6.88</v>
      </c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3"/>
      <c r="Z95" s="213"/>
      <c r="AA95" s="213"/>
      <c r="AB95" s="213"/>
      <c r="AC95" s="213"/>
      <c r="AD95" s="213"/>
      <c r="AE95" s="213"/>
      <c r="AF95" s="213"/>
      <c r="AG95" s="213" t="s">
        <v>228</v>
      </c>
      <c r="AH95" s="213">
        <v>0.0</v>
      </c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35"/>
      <c r="B96" s="236"/>
      <c r="C96" s="237" t="s">
        <v>273</v>
      </c>
      <c r="D96" s="238"/>
      <c r="E96" s="239">
        <v>6.88</v>
      </c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3"/>
      <c r="Z96" s="213"/>
      <c r="AA96" s="213"/>
      <c r="AB96" s="213"/>
      <c r="AC96" s="213"/>
      <c r="AD96" s="213"/>
      <c r="AE96" s="213"/>
      <c r="AF96" s="213"/>
      <c r="AG96" s="213" t="s">
        <v>228</v>
      </c>
      <c r="AH96" s="213">
        <v>0.0</v>
      </c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14">
        <v>15.0</v>
      </c>
      <c r="B97" s="215" t="s">
        <v>290</v>
      </c>
      <c r="C97" s="216" t="s">
        <v>291</v>
      </c>
      <c r="D97" s="217" t="s">
        <v>234</v>
      </c>
      <c r="E97" s="218">
        <v>1729.3</v>
      </c>
      <c r="F97" s="219">
        <v>64.0</v>
      </c>
      <c r="G97" s="220">
        <f>ROUND(E97*F97,2)</f>
        <v>110675.2</v>
      </c>
      <c r="H97" s="211"/>
      <c r="I97" s="212">
        <f>ROUND(E97*H97,2)</f>
        <v>0</v>
      </c>
      <c r="J97" s="211"/>
      <c r="K97" s="212">
        <f>ROUND(E97*J97,2)</f>
        <v>0</v>
      </c>
      <c r="L97" s="212">
        <v>21.0</v>
      </c>
      <c r="M97" s="212">
        <f>G97*(1+L97/100)</f>
        <v>133916.992</v>
      </c>
      <c r="N97" s="212">
        <v>0.0</v>
      </c>
      <c r="O97" s="212">
        <f>ROUND(E97*N97,2)</f>
        <v>0</v>
      </c>
      <c r="P97" s="212">
        <v>0.0</v>
      </c>
      <c r="Q97" s="212">
        <f>ROUND(E97*P97,2)</f>
        <v>0</v>
      </c>
      <c r="R97" s="212"/>
      <c r="S97" s="212" t="s">
        <v>184</v>
      </c>
      <c r="T97" s="212" t="s">
        <v>184</v>
      </c>
      <c r="U97" s="212">
        <v>0.519</v>
      </c>
      <c r="V97" s="212">
        <f>ROUND(E97*U97,2)</f>
        <v>897.51</v>
      </c>
      <c r="W97" s="212"/>
      <c r="X97" s="212" t="s">
        <v>225</v>
      </c>
      <c r="Y97" s="213"/>
      <c r="Z97" s="213"/>
      <c r="AA97" s="213"/>
      <c r="AB97" s="213"/>
      <c r="AC97" s="213"/>
      <c r="AD97" s="213"/>
      <c r="AE97" s="213"/>
      <c r="AF97" s="213"/>
      <c r="AG97" s="213" t="s">
        <v>292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35"/>
      <c r="B98" s="236"/>
      <c r="C98" s="237" t="s">
        <v>235</v>
      </c>
      <c r="D98" s="238"/>
      <c r="E98" s="239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3"/>
      <c r="Z98" s="213"/>
      <c r="AA98" s="213"/>
      <c r="AB98" s="213"/>
      <c r="AC98" s="213"/>
      <c r="AD98" s="213"/>
      <c r="AE98" s="213"/>
      <c r="AF98" s="213"/>
      <c r="AG98" s="213" t="s">
        <v>228</v>
      </c>
      <c r="AH98" s="213">
        <v>0.0</v>
      </c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264</v>
      </c>
      <c r="D99" s="238"/>
      <c r="E99" s="239">
        <v>1079.92</v>
      </c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35"/>
      <c r="B100" s="236"/>
      <c r="C100" s="237" t="s">
        <v>276</v>
      </c>
      <c r="D100" s="238"/>
      <c r="E100" s="239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3"/>
      <c r="Z100" s="213"/>
      <c r="AA100" s="213"/>
      <c r="AB100" s="213"/>
      <c r="AC100" s="213"/>
      <c r="AD100" s="213"/>
      <c r="AE100" s="213"/>
      <c r="AF100" s="213"/>
      <c r="AG100" s="213" t="s">
        <v>228</v>
      </c>
      <c r="AH100" s="213">
        <v>0.0</v>
      </c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35"/>
      <c r="B101" s="236"/>
      <c r="C101" s="237" t="s">
        <v>277</v>
      </c>
      <c r="D101" s="238"/>
      <c r="E101" s="239">
        <v>10.0</v>
      </c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3"/>
      <c r="Z101" s="213"/>
      <c r="AA101" s="213"/>
      <c r="AB101" s="213"/>
      <c r="AC101" s="213"/>
      <c r="AD101" s="213"/>
      <c r="AE101" s="213"/>
      <c r="AF101" s="213"/>
      <c r="AG101" s="213" t="s">
        <v>228</v>
      </c>
      <c r="AH101" s="213">
        <v>0.0</v>
      </c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37" t="s">
        <v>265</v>
      </c>
      <c r="D102" s="238"/>
      <c r="E102" s="239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0.0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35"/>
      <c r="B103" s="236"/>
      <c r="C103" s="237" t="s">
        <v>266</v>
      </c>
      <c r="D103" s="238"/>
      <c r="E103" s="239">
        <v>9.63</v>
      </c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3"/>
      <c r="Z103" s="213"/>
      <c r="AA103" s="213"/>
      <c r="AB103" s="213"/>
      <c r="AC103" s="213"/>
      <c r="AD103" s="213"/>
      <c r="AE103" s="213"/>
      <c r="AF103" s="213"/>
      <c r="AG103" s="213" t="s">
        <v>228</v>
      </c>
      <c r="AH103" s="213">
        <v>0.0</v>
      </c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35"/>
      <c r="B104" s="236"/>
      <c r="C104" s="237" t="s">
        <v>267</v>
      </c>
      <c r="D104" s="238"/>
      <c r="E104" s="239">
        <v>27.5</v>
      </c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3"/>
      <c r="Z104" s="213"/>
      <c r="AA104" s="213"/>
      <c r="AB104" s="213"/>
      <c r="AC104" s="213"/>
      <c r="AD104" s="213"/>
      <c r="AE104" s="213"/>
      <c r="AF104" s="213"/>
      <c r="AG104" s="213" t="s">
        <v>228</v>
      </c>
      <c r="AH104" s="213">
        <v>0.0</v>
      </c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35"/>
      <c r="B105" s="236"/>
      <c r="C105" s="237" t="s">
        <v>268</v>
      </c>
      <c r="D105" s="238"/>
      <c r="E105" s="239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3"/>
      <c r="Z105" s="213"/>
      <c r="AA105" s="213"/>
      <c r="AB105" s="213"/>
      <c r="AC105" s="213"/>
      <c r="AD105" s="213"/>
      <c r="AE105" s="213"/>
      <c r="AF105" s="213"/>
      <c r="AG105" s="213" t="s">
        <v>228</v>
      </c>
      <c r="AH105" s="213">
        <v>0.0</v>
      </c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35"/>
      <c r="B106" s="236"/>
      <c r="C106" s="237" t="s">
        <v>269</v>
      </c>
      <c r="D106" s="238"/>
      <c r="E106" s="239">
        <v>572.0</v>
      </c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3"/>
      <c r="Z106" s="213"/>
      <c r="AA106" s="213"/>
      <c r="AB106" s="213"/>
      <c r="AC106" s="213"/>
      <c r="AD106" s="213"/>
      <c r="AE106" s="213"/>
      <c r="AF106" s="213"/>
      <c r="AG106" s="213" t="s">
        <v>228</v>
      </c>
      <c r="AH106" s="213">
        <v>0.0</v>
      </c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35"/>
      <c r="B107" s="236"/>
      <c r="C107" s="237" t="s">
        <v>270</v>
      </c>
      <c r="D107" s="238"/>
      <c r="E107" s="239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3"/>
      <c r="Z107" s="213"/>
      <c r="AA107" s="213"/>
      <c r="AB107" s="213"/>
      <c r="AC107" s="213"/>
      <c r="AD107" s="213"/>
      <c r="AE107" s="213"/>
      <c r="AF107" s="213"/>
      <c r="AG107" s="213" t="s">
        <v>228</v>
      </c>
      <c r="AH107" s="213">
        <v>0.0</v>
      </c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271</v>
      </c>
      <c r="D108" s="238"/>
      <c r="E108" s="239">
        <v>16.5</v>
      </c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35"/>
      <c r="B109" s="236"/>
      <c r="C109" s="237" t="s">
        <v>272</v>
      </c>
      <c r="D109" s="238"/>
      <c r="E109" s="239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3"/>
      <c r="Z109" s="213"/>
      <c r="AA109" s="213"/>
      <c r="AB109" s="213"/>
      <c r="AC109" s="213"/>
      <c r="AD109" s="213"/>
      <c r="AE109" s="213"/>
      <c r="AF109" s="213"/>
      <c r="AG109" s="213" t="s">
        <v>228</v>
      </c>
      <c r="AH109" s="213">
        <v>0.0</v>
      </c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35"/>
      <c r="B110" s="236"/>
      <c r="C110" s="237" t="s">
        <v>273</v>
      </c>
      <c r="D110" s="238"/>
      <c r="E110" s="239">
        <v>6.88</v>
      </c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3"/>
      <c r="Z110" s="213"/>
      <c r="AA110" s="213"/>
      <c r="AB110" s="213"/>
      <c r="AC110" s="213"/>
      <c r="AD110" s="213"/>
      <c r="AE110" s="213"/>
      <c r="AF110" s="213"/>
      <c r="AG110" s="213" t="s">
        <v>228</v>
      </c>
      <c r="AH110" s="213">
        <v>0.0</v>
      </c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35"/>
      <c r="B111" s="236"/>
      <c r="C111" s="237" t="s">
        <v>273</v>
      </c>
      <c r="D111" s="238"/>
      <c r="E111" s="239">
        <v>6.88</v>
      </c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3"/>
      <c r="Z111" s="213"/>
      <c r="AA111" s="213"/>
      <c r="AB111" s="213"/>
      <c r="AC111" s="213"/>
      <c r="AD111" s="213"/>
      <c r="AE111" s="213"/>
      <c r="AF111" s="213"/>
      <c r="AG111" s="213" t="s">
        <v>228</v>
      </c>
      <c r="AH111" s="213">
        <v>0.0</v>
      </c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14">
        <v>16.0</v>
      </c>
      <c r="B112" s="215" t="s">
        <v>293</v>
      </c>
      <c r="C112" s="216" t="s">
        <v>294</v>
      </c>
      <c r="D112" s="217" t="s">
        <v>234</v>
      </c>
      <c r="E112" s="218">
        <v>302.379</v>
      </c>
      <c r="F112" s="219">
        <v>215.5</v>
      </c>
      <c r="G112" s="220">
        <f>ROUND(E112*F112,2)</f>
        <v>65162.67</v>
      </c>
      <c r="H112" s="211"/>
      <c r="I112" s="212">
        <f>ROUND(E112*H112,2)</f>
        <v>0</v>
      </c>
      <c r="J112" s="211"/>
      <c r="K112" s="212">
        <f>ROUND(E112*J112,2)</f>
        <v>0</v>
      </c>
      <c r="L112" s="212">
        <v>21.0</v>
      </c>
      <c r="M112" s="212">
        <f>G112*(1+L112/100)</f>
        <v>78846.8307</v>
      </c>
      <c r="N112" s="212">
        <v>0.0</v>
      </c>
      <c r="O112" s="212">
        <f>ROUND(E112*N112,2)</f>
        <v>0</v>
      </c>
      <c r="P112" s="212">
        <v>0.0</v>
      </c>
      <c r="Q112" s="212">
        <f>ROUND(E112*P112,2)</f>
        <v>0</v>
      </c>
      <c r="R112" s="212"/>
      <c r="S112" s="212" t="s">
        <v>184</v>
      </c>
      <c r="T112" s="212" t="s">
        <v>184</v>
      </c>
      <c r="U112" s="212">
        <v>0.011</v>
      </c>
      <c r="V112" s="212">
        <f>ROUND(E112*U112,2)</f>
        <v>3.33</v>
      </c>
      <c r="W112" s="212"/>
      <c r="X112" s="212" t="s">
        <v>225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226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35"/>
      <c r="B113" s="236"/>
      <c r="C113" s="237" t="s">
        <v>295</v>
      </c>
      <c r="D113" s="238"/>
      <c r="E113" s="239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3"/>
      <c r="Z113" s="213"/>
      <c r="AA113" s="213"/>
      <c r="AB113" s="213"/>
      <c r="AC113" s="213"/>
      <c r="AD113" s="213"/>
      <c r="AE113" s="213"/>
      <c r="AF113" s="213"/>
      <c r="AG113" s="213" t="s">
        <v>228</v>
      </c>
      <c r="AH113" s="213">
        <v>0.0</v>
      </c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235</v>
      </c>
      <c r="D114" s="238"/>
      <c r="E114" s="239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296</v>
      </c>
      <c r="D115" s="238"/>
      <c r="E115" s="239">
        <v>302.38</v>
      </c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14">
        <v>17.0</v>
      </c>
      <c r="B116" s="215" t="s">
        <v>297</v>
      </c>
      <c r="C116" s="216" t="s">
        <v>298</v>
      </c>
      <c r="D116" s="217" t="s">
        <v>234</v>
      </c>
      <c r="E116" s="218">
        <v>302.379</v>
      </c>
      <c r="F116" s="219">
        <v>61.0</v>
      </c>
      <c r="G116" s="220">
        <f>ROUND(E116*F116,2)</f>
        <v>18445.12</v>
      </c>
      <c r="H116" s="211"/>
      <c r="I116" s="212">
        <f>ROUND(E116*H116,2)</f>
        <v>0</v>
      </c>
      <c r="J116" s="211"/>
      <c r="K116" s="212">
        <f>ROUND(E116*J116,2)</f>
        <v>0</v>
      </c>
      <c r="L116" s="212">
        <v>21.0</v>
      </c>
      <c r="M116" s="212">
        <f>G116*(1+L116/100)</f>
        <v>22318.5952</v>
      </c>
      <c r="N116" s="212">
        <v>0.0</v>
      </c>
      <c r="O116" s="212">
        <f>ROUND(E116*N116,2)</f>
        <v>0</v>
      </c>
      <c r="P116" s="212">
        <v>0.0</v>
      </c>
      <c r="Q116" s="212">
        <f>ROUND(E116*P116,2)</f>
        <v>0</v>
      </c>
      <c r="R116" s="212"/>
      <c r="S116" s="212" t="s">
        <v>184</v>
      </c>
      <c r="T116" s="212" t="s">
        <v>184</v>
      </c>
      <c r="U116" s="212">
        <v>0.053</v>
      </c>
      <c r="V116" s="212">
        <f>ROUND(E116*U116,2)</f>
        <v>16.03</v>
      </c>
      <c r="W116" s="212"/>
      <c r="X116" s="212" t="s">
        <v>225</v>
      </c>
      <c r="Y116" s="213"/>
      <c r="Z116" s="213"/>
      <c r="AA116" s="213"/>
      <c r="AB116" s="213"/>
      <c r="AC116" s="213"/>
      <c r="AD116" s="213"/>
      <c r="AE116" s="213"/>
      <c r="AF116" s="213"/>
      <c r="AG116" s="213" t="s">
        <v>226</v>
      </c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295</v>
      </c>
      <c r="D117" s="238"/>
      <c r="E117" s="239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35"/>
      <c r="B118" s="236"/>
      <c r="C118" s="237" t="s">
        <v>235</v>
      </c>
      <c r="D118" s="238"/>
      <c r="E118" s="239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3"/>
      <c r="Z118" s="213"/>
      <c r="AA118" s="213"/>
      <c r="AB118" s="213"/>
      <c r="AC118" s="213"/>
      <c r="AD118" s="213"/>
      <c r="AE118" s="213"/>
      <c r="AF118" s="213"/>
      <c r="AG118" s="213" t="s">
        <v>228</v>
      </c>
      <c r="AH118" s="213">
        <v>0.0</v>
      </c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 outlineLevel="1">
      <c r="A119" s="235"/>
      <c r="B119" s="236"/>
      <c r="C119" s="237" t="s">
        <v>296</v>
      </c>
      <c r="D119" s="238"/>
      <c r="E119" s="239">
        <v>302.38</v>
      </c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3"/>
      <c r="Z119" s="213"/>
      <c r="AA119" s="213"/>
      <c r="AB119" s="213"/>
      <c r="AC119" s="213"/>
      <c r="AD119" s="213"/>
      <c r="AE119" s="213"/>
      <c r="AF119" s="213"/>
      <c r="AG119" s="213" t="s">
        <v>228</v>
      </c>
      <c r="AH119" s="213">
        <v>0.0</v>
      </c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14">
        <v>18.0</v>
      </c>
      <c r="B120" s="215" t="s">
        <v>299</v>
      </c>
      <c r="C120" s="216" t="s">
        <v>300</v>
      </c>
      <c r="D120" s="217" t="s">
        <v>234</v>
      </c>
      <c r="E120" s="218">
        <v>302.379</v>
      </c>
      <c r="F120" s="219">
        <v>15.1</v>
      </c>
      <c r="G120" s="220">
        <f>ROUND(E120*F120,2)</f>
        <v>4565.92</v>
      </c>
      <c r="H120" s="211"/>
      <c r="I120" s="212">
        <f>ROUND(E120*H120,2)</f>
        <v>0</v>
      </c>
      <c r="J120" s="211"/>
      <c r="K120" s="212">
        <f>ROUND(E120*J120,2)</f>
        <v>0</v>
      </c>
      <c r="L120" s="212">
        <v>21.0</v>
      </c>
      <c r="M120" s="212">
        <f>G120*(1+L120/100)</f>
        <v>5524.7632</v>
      </c>
      <c r="N120" s="212">
        <v>0.0</v>
      </c>
      <c r="O120" s="212">
        <f>ROUND(E120*N120,2)</f>
        <v>0</v>
      </c>
      <c r="P120" s="212">
        <v>0.0</v>
      </c>
      <c r="Q120" s="212">
        <f>ROUND(E120*P120,2)</f>
        <v>0</v>
      </c>
      <c r="R120" s="212"/>
      <c r="S120" s="212" t="s">
        <v>184</v>
      </c>
      <c r="T120" s="212" t="s">
        <v>184</v>
      </c>
      <c r="U120" s="212">
        <v>0.009</v>
      </c>
      <c r="V120" s="212">
        <f>ROUND(E120*U120,2)</f>
        <v>2.72</v>
      </c>
      <c r="W120" s="212"/>
      <c r="X120" s="212" t="s">
        <v>225</v>
      </c>
      <c r="Y120" s="213"/>
      <c r="Z120" s="213"/>
      <c r="AA120" s="213"/>
      <c r="AB120" s="213"/>
      <c r="AC120" s="213"/>
      <c r="AD120" s="213"/>
      <c r="AE120" s="213"/>
      <c r="AF120" s="213"/>
      <c r="AG120" s="213" t="s">
        <v>226</v>
      </c>
      <c r="AH120" s="213"/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35"/>
      <c r="B121" s="236"/>
      <c r="C121" s="237" t="s">
        <v>295</v>
      </c>
      <c r="D121" s="238"/>
      <c r="E121" s="239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3"/>
      <c r="Z121" s="213"/>
      <c r="AA121" s="213"/>
      <c r="AB121" s="213"/>
      <c r="AC121" s="213"/>
      <c r="AD121" s="213"/>
      <c r="AE121" s="213"/>
      <c r="AF121" s="213"/>
      <c r="AG121" s="213" t="s">
        <v>228</v>
      </c>
      <c r="AH121" s="213">
        <v>0.0</v>
      </c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 outlineLevel="1">
      <c r="A122" s="235"/>
      <c r="B122" s="236"/>
      <c r="C122" s="237" t="s">
        <v>235</v>
      </c>
      <c r="D122" s="238"/>
      <c r="E122" s="239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3"/>
      <c r="Z122" s="213"/>
      <c r="AA122" s="213"/>
      <c r="AB122" s="213"/>
      <c r="AC122" s="213"/>
      <c r="AD122" s="213"/>
      <c r="AE122" s="213"/>
      <c r="AF122" s="213"/>
      <c r="AG122" s="213" t="s">
        <v>228</v>
      </c>
      <c r="AH122" s="213">
        <v>0.0</v>
      </c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 outlineLevel="1">
      <c r="A123" s="235"/>
      <c r="B123" s="236"/>
      <c r="C123" s="237" t="s">
        <v>296</v>
      </c>
      <c r="D123" s="238"/>
      <c r="E123" s="239">
        <v>302.38</v>
      </c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3"/>
      <c r="Z123" s="213"/>
      <c r="AA123" s="213"/>
      <c r="AB123" s="213"/>
      <c r="AC123" s="213"/>
      <c r="AD123" s="213"/>
      <c r="AE123" s="213"/>
      <c r="AF123" s="213"/>
      <c r="AG123" s="213" t="s">
        <v>228</v>
      </c>
      <c r="AH123" s="213">
        <v>0.0</v>
      </c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</row>
    <row r="124" ht="12.75" customHeight="1" outlineLevel="1">
      <c r="A124" s="214">
        <v>19.0</v>
      </c>
      <c r="B124" s="215" t="s">
        <v>301</v>
      </c>
      <c r="C124" s="216" t="s">
        <v>302</v>
      </c>
      <c r="D124" s="217" t="s">
        <v>234</v>
      </c>
      <c r="E124" s="218">
        <v>1441.6162</v>
      </c>
      <c r="F124" s="219">
        <v>169.0</v>
      </c>
      <c r="G124" s="220">
        <f>ROUND(E124*F124,2)</f>
        <v>243633.14</v>
      </c>
      <c r="H124" s="211"/>
      <c r="I124" s="212">
        <f>ROUND(E124*H124,2)</f>
        <v>0</v>
      </c>
      <c r="J124" s="211"/>
      <c r="K124" s="212">
        <f>ROUND(E124*J124,2)</f>
        <v>0</v>
      </c>
      <c r="L124" s="212">
        <v>21.0</v>
      </c>
      <c r="M124" s="212">
        <f>G124*(1+L124/100)</f>
        <v>294796.0994</v>
      </c>
      <c r="N124" s="212">
        <v>0.0</v>
      </c>
      <c r="O124" s="212">
        <f>ROUND(E124*N124,2)</f>
        <v>0</v>
      </c>
      <c r="P124" s="212">
        <v>0.0</v>
      </c>
      <c r="Q124" s="212">
        <f>ROUND(E124*P124,2)</f>
        <v>0</v>
      </c>
      <c r="R124" s="212"/>
      <c r="S124" s="212" t="s">
        <v>184</v>
      </c>
      <c r="T124" s="212" t="s">
        <v>184</v>
      </c>
      <c r="U124" s="212">
        <v>0.202</v>
      </c>
      <c r="V124" s="212">
        <f>ROUND(E124*U124,2)</f>
        <v>291.21</v>
      </c>
      <c r="W124" s="212"/>
      <c r="X124" s="212" t="s">
        <v>225</v>
      </c>
      <c r="Y124" s="213"/>
      <c r="Z124" s="213"/>
      <c r="AA124" s="213"/>
      <c r="AB124" s="213"/>
      <c r="AC124" s="213"/>
      <c r="AD124" s="213"/>
      <c r="AE124" s="213"/>
      <c r="AF124" s="213"/>
      <c r="AG124" s="213" t="s">
        <v>226</v>
      </c>
      <c r="AH124" s="213"/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</row>
    <row r="125" ht="12.75" customHeight="1" outlineLevel="1">
      <c r="A125" s="235"/>
      <c r="B125" s="236"/>
      <c r="C125" s="237" t="s">
        <v>303</v>
      </c>
      <c r="D125" s="238"/>
      <c r="E125" s="239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3"/>
      <c r="Z125" s="213"/>
      <c r="AA125" s="213"/>
      <c r="AB125" s="213"/>
      <c r="AC125" s="213"/>
      <c r="AD125" s="213"/>
      <c r="AE125" s="213"/>
      <c r="AF125" s="213"/>
      <c r="AG125" s="213" t="s">
        <v>228</v>
      </c>
      <c r="AH125" s="213">
        <v>0.0</v>
      </c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</row>
    <row r="126" ht="12.75" customHeight="1" outlineLevel="1">
      <c r="A126" s="235"/>
      <c r="B126" s="236"/>
      <c r="C126" s="237" t="s">
        <v>235</v>
      </c>
      <c r="D126" s="238"/>
      <c r="E126" s="239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3"/>
      <c r="Z126" s="213"/>
      <c r="AA126" s="213"/>
      <c r="AB126" s="213"/>
      <c r="AC126" s="213"/>
      <c r="AD126" s="213"/>
      <c r="AE126" s="213"/>
      <c r="AF126" s="213"/>
      <c r="AG126" s="213" t="s">
        <v>228</v>
      </c>
      <c r="AH126" s="213">
        <v>0.0</v>
      </c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</row>
    <row r="127" ht="12.75" customHeight="1" outlineLevel="1">
      <c r="A127" s="235"/>
      <c r="B127" s="236"/>
      <c r="C127" s="237" t="s">
        <v>304</v>
      </c>
      <c r="D127" s="238"/>
      <c r="E127" s="239">
        <v>777.55</v>
      </c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3"/>
      <c r="Z127" s="213"/>
      <c r="AA127" s="213"/>
      <c r="AB127" s="213"/>
      <c r="AC127" s="213"/>
      <c r="AD127" s="213"/>
      <c r="AE127" s="213"/>
      <c r="AF127" s="213"/>
      <c r="AG127" s="213" t="s">
        <v>228</v>
      </c>
      <c r="AH127" s="213">
        <v>0.0</v>
      </c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</row>
    <row r="128" ht="12.75" customHeight="1" outlineLevel="1">
      <c r="A128" s="235"/>
      <c r="B128" s="236"/>
      <c r="C128" s="237" t="s">
        <v>305</v>
      </c>
      <c r="D128" s="238"/>
      <c r="E128" s="239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3"/>
      <c r="Z128" s="213"/>
      <c r="AA128" s="213"/>
      <c r="AB128" s="213"/>
      <c r="AC128" s="213"/>
      <c r="AD128" s="213"/>
      <c r="AE128" s="213"/>
      <c r="AF128" s="213"/>
      <c r="AG128" s="213" t="s">
        <v>228</v>
      </c>
      <c r="AH128" s="213">
        <v>0.0</v>
      </c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/>
      <c r="BB128" s="213"/>
    </row>
    <row r="129" ht="12.75" customHeight="1" outlineLevel="1">
      <c r="A129" s="235"/>
      <c r="B129" s="236"/>
      <c r="C129" s="237" t="s">
        <v>277</v>
      </c>
      <c r="D129" s="238"/>
      <c r="E129" s="239">
        <v>10.0</v>
      </c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 t="s">
        <v>228</v>
      </c>
      <c r="AH129" s="213">
        <v>0.0</v>
      </c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</row>
    <row r="130" ht="12.75" customHeight="1" outlineLevel="1">
      <c r="A130" s="235"/>
      <c r="B130" s="236"/>
      <c r="C130" s="237" t="s">
        <v>306</v>
      </c>
      <c r="D130" s="238"/>
      <c r="E130" s="239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3"/>
      <c r="Z130" s="213"/>
      <c r="AA130" s="213"/>
      <c r="AB130" s="213"/>
      <c r="AC130" s="213"/>
      <c r="AD130" s="213"/>
      <c r="AE130" s="213"/>
      <c r="AF130" s="213"/>
      <c r="AG130" s="213" t="s">
        <v>228</v>
      </c>
      <c r="AH130" s="213">
        <v>0.0</v>
      </c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/>
      <c r="AU130" s="213"/>
      <c r="AV130" s="213"/>
      <c r="AW130" s="213"/>
      <c r="AX130" s="213"/>
      <c r="AY130" s="213"/>
      <c r="AZ130" s="213"/>
      <c r="BA130" s="213"/>
      <c r="BB130" s="213"/>
    </row>
    <row r="131" ht="12.75" customHeight="1" outlineLevel="1">
      <c r="A131" s="235"/>
      <c r="B131" s="236"/>
      <c r="C131" s="237" t="s">
        <v>266</v>
      </c>
      <c r="D131" s="238"/>
      <c r="E131" s="239">
        <v>9.63</v>
      </c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3"/>
      <c r="Z131" s="213"/>
      <c r="AA131" s="213"/>
      <c r="AB131" s="213"/>
      <c r="AC131" s="213"/>
      <c r="AD131" s="213"/>
      <c r="AE131" s="213"/>
      <c r="AF131" s="213"/>
      <c r="AG131" s="213" t="s">
        <v>228</v>
      </c>
      <c r="AH131" s="213">
        <v>0.0</v>
      </c>
      <c r="AI131" s="213"/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13"/>
      <c r="AX131" s="213"/>
      <c r="AY131" s="213"/>
      <c r="AZ131" s="213"/>
      <c r="BA131" s="213"/>
      <c r="BB131" s="213"/>
    </row>
    <row r="132" ht="12.75" customHeight="1" outlineLevel="1">
      <c r="A132" s="235"/>
      <c r="B132" s="236"/>
      <c r="C132" s="237" t="s">
        <v>267</v>
      </c>
      <c r="D132" s="238"/>
      <c r="E132" s="239">
        <v>27.5</v>
      </c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3"/>
      <c r="Z132" s="213"/>
      <c r="AA132" s="213"/>
      <c r="AB132" s="213"/>
      <c r="AC132" s="213"/>
      <c r="AD132" s="213"/>
      <c r="AE132" s="213"/>
      <c r="AF132" s="213"/>
      <c r="AG132" s="213" t="s">
        <v>228</v>
      </c>
      <c r="AH132" s="213">
        <v>0.0</v>
      </c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</row>
    <row r="133" ht="12.75" customHeight="1" outlineLevel="1">
      <c r="A133" s="235"/>
      <c r="B133" s="236"/>
      <c r="C133" s="237" t="s">
        <v>307</v>
      </c>
      <c r="D133" s="238"/>
      <c r="E133" s="239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3"/>
      <c r="Z133" s="213"/>
      <c r="AA133" s="213"/>
      <c r="AB133" s="213"/>
      <c r="AC133" s="213"/>
      <c r="AD133" s="213"/>
      <c r="AE133" s="213"/>
      <c r="AF133" s="213"/>
      <c r="AG133" s="213" t="s">
        <v>228</v>
      </c>
      <c r="AH133" s="213">
        <v>0.0</v>
      </c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</row>
    <row r="134" ht="12.75" customHeight="1" outlineLevel="1">
      <c r="A134" s="235"/>
      <c r="B134" s="236"/>
      <c r="C134" s="237" t="s">
        <v>269</v>
      </c>
      <c r="D134" s="238"/>
      <c r="E134" s="239">
        <v>572.0</v>
      </c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3"/>
      <c r="Z134" s="213"/>
      <c r="AA134" s="213"/>
      <c r="AB134" s="213"/>
      <c r="AC134" s="213"/>
      <c r="AD134" s="213"/>
      <c r="AE134" s="213"/>
      <c r="AF134" s="213"/>
      <c r="AG134" s="213" t="s">
        <v>228</v>
      </c>
      <c r="AH134" s="213">
        <v>0.0</v>
      </c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</row>
    <row r="135" ht="12.75" customHeight="1" outlineLevel="1">
      <c r="A135" s="235"/>
      <c r="B135" s="236"/>
      <c r="C135" s="237" t="s">
        <v>308</v>
      </c>
      <c r="D135" s="238"/>
      <c r="E135" s="239">
        <v>14.7</v>
      </c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3"/>
      <c r="Z135" s="213"/>
      <c r="AA135" s="213"/>
      <c r="AB135" s="213"/>
      <c r="AC135" s="213"/>
      <c r="AD135" s="213"/>
      <c r="AE135" s="213"/>
      <c r="AF135" s="213"/>
      <c r="AG135" s="213" t="s">
        <v>228</v>
      </c>
      <c r="AH135" s="213">
        <v>0.0</v>
      </c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</row>
    <row r="136" ht="12.75" customHeight="1" outlineLevel="1">
      <c r="A136" s="235"/>
      <c r="B136" s="236"/>
      <c r="C136" s="237" t="s">
        <v>309</v>
      </c>
      <c r="D136" s="238"/>
      <c r="E136" s="239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3"/>
      <c r="Z136" s="213"/>
      <c r="AA136" s="213"/>
      <c r="AB136" s="213"/>
      <c r="AC136" s="213"/>
      <c r="AD136" s="213"/>
      <c r="AE136" s="213"/>
      <c r="AF136" s="213"/>
      <c r="AG136" s="213" t="s">
        <v>228</v>
      </c>
      <c r="AH136" s="213">
        <v>0.0</v>
      </c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</row>
    <row r="137" ht="12.75" customHeight="1" outlineLevel="1">
      <c r="A137" s="235"/>
      <c r="B137" s="236"/>
      <c r="C137" s="237" t="s">
        <v>271</v>
      </c>
      <c r="D137" s="238"/>
      <c r="E137" s="239">
        <v>16.5</v>
      </c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3"/>
      <c r="Z137" s="213"/>
      <c r="AA137" s="213"/>
      <c r="AB137" s="213"/>
      <c r="AC137" s="213"/>
      <c r="AD137" s="213"/>
      <c r="AE137" s="213"/>
      <c r="AF137" s="213"/>
      <c r="AG137" s="213" t="s">
        <v>228</v>
      </c>
      <c r="AH137" s="213">
        <v>0.0</v>
      </c>
      <c r="AI137" s="213"/>
      <c r="AJ137" s="213"/>
      <c r="AK137" s="213"/>
      <c r="AL137" s="213"/>
      <c r="AM137" s="213"/>
      <c r="AN137" s="213"/>
      <c r="AO137" s="213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</row>
    <row r="138" ht="12.75" customHeight="1" outlineLevel="1">
      <c r="A138" s="235"/>
      <c r="B138" s="236"/>
      <c r="C138" s="237" t="s">
        <v>310</v>
      </c>
      <c r="D138" s="238"/>
      <c r="E138" s="239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3"/>
      <c r="Z138" s="213"/>
      <c r="AA138" s="213"/>
      <c r="AB138" s="213"/>
      <c r="AC138" s="213"/>
      <c r="AD138" s="213"/>
      <c r="AE138" s="213"/>
      <c r="AF138" s="213"/>
      <c r="AG138" s="213" t="s">
        <v>228</v>
      </c>
      <c r="AH138" s="213">
        <v>0.0</v>
      </c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</row>
    <row r="139" ht="12.75" customHeight="1" outlineLevel="1">
      <c r="A139" s="235"/>
      <c r="B139" s="236"/>
      <c r="C139" s="237" t="s">
        <v>273</v>
      </c>
      <c r="D139" s="238"/>
      <c r="E139" s="239">
        <v>6.88</v>
      </c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3"/>
      <c r="Z139" s="213"/>
      <c r="AA139" s="213"/>
      <c r="AB139" s="213"/>
      <c r="AC139" s="213"/>
      <c r="AD139" s="213"/>
      <c r="AE139" s="213"/>
      <c r="AF139" s="213"/>
      <c r="AG139" s="213" t="s">
        <v>228</v>
      </c>
      <c r="AH139" s="213">
        <v>0.0</v>
      </c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</row>
    <row r="140" ht="12.75" customHeight="1" outlineLevel="1">
      <c r="A140" s="235"/>
      <c r="B140" s="236"/>
      <c r="C140" s="237" t="s">
        <v>273</v>
      </c>
      <c r="D140" s="238"/>
      <c r="E140" s="239">
        <v>6.88</v>
      </c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3"/>
      <c r="Z140" s="213"/>
      <c r="AA140" s="213"/>
      <c r="AB140" s="213"/>
      <c r="AC140" s="213"/>
      <c r="AD140" s="213"/>
      <c r="AE140" s="213"/>
      <c r="AF140" s="213"/>
      <c r="AG140" s="213" t="s">
        <v>228</v>
      </c>
      <c r="AH140" s="213">
        <v>0.0</v>
      </c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</row>
    <row r="141" ht="12.75" customHeight="1" outlineLevel="1">
      <c r="A141" s="214">
        <v>20.0</v>
      </c>
      <c r="B141" s="215" t="s">
        <v>311</v>
      </c>
      <c r="C141" s="216" t="s">
        <v>312</v>
      </c>
      <c r="D141" s="217" t="s">
        <v>234</v>
      </c>
      <c r="E141" s="218">
        <v>259.182</v>
      </c>
      <c r="F141" s="219">
        <v>469.0</v>
      </c>
      <c r="G141" s="220">
        <f>ROUND(E141*F141,2)</f>
        <v>121556.36</v>
      </c>
      <c r="H141" s="211"/>
      <c r="I141" s="212">
        <f>ROUND(E141*H141,2)</f>
        <v>0</v>
      </c>
      <c r="J141" s="211"/>
      <c r="K141" s="212">
        <f>ROUND(E141*J141,2)</f>
        <v>0</v>
      </c>
      <c r="L141" s="212">
        <v>21.0</v>
      </c>
      <c r="M141" s="212">
        <f>G141*(1+L141/100)</f>
        <v>147083.1956</v>
      </c>
      <c r="N141" s="212">
        <v>0.0</v>
      </c>
      <c r="O141" s="212">
        <f>ROUND(E141*N141,2)</f>
        <v>0</v>
      </c>
      <c r="P141" s="212">
        <v>0.0</v>
      </c>
      <c r="Q141" s="212">
        <f>ROUND(E141*P141,2)</f>
        <v>0</v>
      </c>
      <c r="R141" s="212"/>
      <c r="S141" s="212" t="s">
        <v>184</v>
      </c>
      <c r="T141" s="212" t="s">
        <v>184</v>
      </c>
      <c r="U141" s="212">
        <v>1.587</v>
      </c>
      <c r="V141" s="212">
        <f>ROUND(E141*U141,2)</f>
        <v>411.32</v>
      </c>
      <c r="W141" s="212"/>
      <c r="X141" s="212" t="s">
        <v>225</v>
      </c>
      <c r="Y141" s="213"/>
      <c r="Z141" s="213"/>
      <c r="AA141" s="213"/>
      <c r="AB141" s="213"/>
      <c r="AC141" s="213"/>
      <c r="AD141" s="213"/>
      <c r="AE141" s="213"/>
      <c r="AF141" s="213"/>
      <c r="AG141" s="213" t="s">
        <v>226</v>
      </c>
      <c r="AH141" s="213"/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</row>
    <row r="142" ht="12.75" customHeight="1" outlineLevel="1">
      <c r="A142" s="235"/>
      <c r="B142" s="236"/>
      <c r="C142" s="237" t="s">
        <v>235</v>
      </c>
      <c r="D142" s="238"/>
      <c r="E142" s="239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3"/>
      <c r="Z142" s="213"/>
      <c r="AA142" s="213"/>
      <c r="AB142" s="213"/>
      <c r="AC142" s="213"/>
      <c r="AD142" s="213"/>
      <c r="AE142" s="213"/>
      <c r="AF142" s="213"/>
      <c r="AG142" s="213" t="s">
        <v>228</v>
      </c>
      <c r="AH142" s="213">
        <v>0.0</v>
      </c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</row>
    <row r="143" ht="12.75" customHeight="1" outlineLevel="1">
      <c r="A143" s="235"/>
      <c r="B143" s="236"/>
      <c r="C143" s="237" t="s">
        <v>313</v>
      </c>
      <c r="D143" s="238"/>
      <c r="E143" s="239">
        <v>259.18</v>
      </c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3"/>
      <c r="Z143" s="213"/>
      <c r="AA143" s="213"/>
      <c r="AB143" s="213"/>
      <c r="AC143" s="213"/>
      <c r="AD143" s="213"/>
      <c r="AE143" s="213"/>
      <c r="AF143" s="213"/>
      <c r="AG143" s="213" t="s">
        <v>228</v>
      </c>
      <c r="AH143" s="213">
        <v>0.0</v>
      </c>
      <c r="AI143" s="213"/>
      <c r="AJ143" s="213"/>
      <c r="AK143" s="213"/>
      <c r="AL143" s="213"/>
      <c r="AM143" s="213"/>
      <c r="AN143" s="213"/>
      <c r="AO143" s="213"/>
      <c r="AP143" s="213"/>
      <c r="AQ143" s="213"/>
      <c r="AR143" s="213"/>
      <c r="AS143" s="213"/>
      <c r="AT143" s="213"/>
      <c r="AU143" s="213"/>
      <c r="AV143" s="213"/>
      <c r="AW143" s="213"/>
      <c r="AX143" s="213"/>
      <c r="AY143" s="213"/>
      <c r="AZ143" s="213"/>
      <c r="BA143" s="213"/>
      <c r="BB143" s="213"/>
    </row>
    <row r="144" ht="12.75" customHeight="1" outlineLevel="1">
      <c r="A144" s="214">
        <v>21.0</v>
      </c>
      <c r="B144" s="215" t="s">
        <v>314</v>
      </c>
      <c r="C144" s="216" t="s">
        <v>315</v>
      </c>
      <c r="D144" s="217" t="s">
        <v>316</v>
      </c>
      <c r="E144" s="218">
        <v>574.5201</v>
      </c>
      <c r="F144" s="219">
        <v>285.0</v>
      </c>
      <c r="G144" s="220">
        <f>ROUND(E144*F144,2)</f>
        <v>163738.23</v>
      </c>
      <c r="H144" s="211"/>
      <c r="I144" s="212">
        <f>ROUND(E144*H144,2)</f>
        <v>0</v>
      </c>
      <c r="J144" s="211"/>
      <c r="K144" s="212">
        <f>ROUND(E144*J144,2)</f>
        <v>0</v>
      </c>
      <c r="L144" s="212">
        <v>21.0</v>
      </c>
      <c r="M144" s="212">
        <f>G144*(1+L144/100)</f>
        <v>198123.2583</v>
      </c>
      <c r="N144" s="212">
        <v>0.0</v>
      </c>
      <c r="O144" s="212">
        <f>ROUND(E144*N144,2)</f>
        <v>0</v>
      </c>
      <c r="P144" s="212">
        <v>0.0</v>
      </c>
      <c r="Q144" s="212">
        <f>ROUND(E144*P144,2)</f>
        <v>0</v>
      </c>
      <c r="R144" s="212"/>
      <c r="S144" s="212" t="s">
        <v>184</v>
      </c>
      <c r="T144" s="212" t="s">
        <v>184</v>
      </c>
      <c r="U144" s="212">
        <v>0.0</v>
      </c>
      <c r="V144" s="212">
        <f>ROUND(E144*U144,2)</f>
        <v>0</v>
      </c>
      <c r="W144" s="212"/>
      <c r="X144" s="212" t="s">
        <v>225</v>
      </c>
      <c r="Y144" s="213"/>
      <c r="Z144" s="213"/>
      <c r="AA144" s="213"/>
      <c r="AB144" s="213"/>
      <c r="AC144" s="213"/>
      <c r="AD144" s="213"/>
      <c r="AE144" s="213"/>
      <c r="AF144" s="213"/>
      <c r="AG144" s="213" t="s">
        <v>226</v>
      </c>
      <c r="AH144" s="213"/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</row>
    <row r="145" ht="12.75" customHeight="1" outlineLevel="1">
      <c r="A145" s="235"/>
      <c r="B145" s="236"/>
      <c r="C145" s="237" t="s">
        <v>295</v>
      </c>
      <c r="D145" s="238"/>
      <c r="E145" s="239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3"/>
      <c r="Z145" s="213"/>
      <c r="AA145" s="213"/>
      <c r="AB145" s="213"/>
      <c r="AC145" s="213"/>
      <c r="AD145" s="213"/>
      <c r="AE145" s="213"/>
      <c r="AF145" s="213"/>
      <c r="AG145" s="213" t="s">
        <v>228</v>
      </c>
      <c r="AH145" s="213">
        <v>0.0</v>
      </c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</row>
    <row r="146" ht="12.75" customHeight="1" outlineLevel="1">
      <c r="A146" s="235"/>
      <c r="B146" s="236"/>
      <c r="C146" s="237" t="s">
        <v>235</v>
      </c>
      <c r="D146" s="238"/>
      <c r="E146" s="239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3"/>
      <c r="Z146" s="213"/>
      <c r="AA146" s="213"/>
      <c r="AB146" s="213"/>
      <c r="AC146" s="213"/>
      <c r="AD146" s="213"/>
      <c r="AE146" s="213"/>
      <c r="AF146" s="213"/>
      <c r="AG146" s="213" t="s">
        <v>228</v>
      </c>
      <c r="AH146" s="213">
        <v>0.0</v>
      </c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</row>
    <row r="147" ht="12.75" customHeight="1" outlineLevel="1">
      <c r="A147" s="235"/>
      <c r="B147" s="236"/>
      <c r="C147" s="240" t="s">
        <v>236</v>
      </c>
      <c r="D147" s="241"/>
      <c r="E147" s="24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3"/>
      <c r="Z147" s="213"/>
      <c r="AA147" s="213"/>
      <c r="AB147" s="213"/>
      <c r="AC147" s="213"/>
      <c r="AD147" s="213"/>
      <c r="AE147" s="213"/>
      <c r="AF147" s="213"/>
      <c r="AG147" s="213" t="s">
        <v>228</v>
      </c>
      <c r="AH147" s="213"/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</row>
    <row r="148" ht="12.75" customHeight="1" outlineLevel="1">
      <c r="A148" s="235"/>
      <c r="B148" s="236"/>
      <c r="C148" s="243" t="s">
        <v>317</v>
      </c>
      <c r="D148" s="241"/>
      <c r="E148" s="242">
        <v>302.38</v>
      </c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3"/>
      <c r="Z148" s="213"/>
      <c r="AA148" s="213"/>
      <c r="AB148" s="213"/>
      <c r="AC148" s="213"/>
      <c r="AD148" s="213"/>
      <c r="AE148" s="213"/>
      <c r="AF148" s="213"/>
      <c r="AG148" s="213" t="s">
        <v>228</v>
      </c>
      <c r="AH148" s="213">
        <v>2.0</v>
      </c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</row>
    <row r="149" ht="12.75" customHeight="1" outlineLevel="1">
      <c r="A149" s="235"/>
      <c r="B149" s="236"/>
      <c r="C149" s="240" t="s">
        <v>238</v>
      </c>
      <c r="D149" s="241"/>
      <c r="E149" s="24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3"/>
      <c r="Z149" s="213"/>
      <c r="AA149" s="213"/>
      <c r="AB149" s="213"/>
      <c r="AC149" s="213"/>
      <c r="AD149" s="213"/>
      <c r="AE149" s="213"/>
      <c r="AF149" s="213"/>
      <c r="AG149" s="213" t="s">
        <v>228</v>
      </c>
      <c r="AH149" s="213"/>
      <c r="AI149" s="213"/>
      <c r="AJ149" s="213"/>
      <c r="AK149" s="213"/>
      <c r="AL149" s="213"/>
      <c r="AM149" s="213"/>
      <c r="AN149" s="213"/>
      <c r="AO149" s="213"/>
      <c r="AP149" s="213"/>
      <c r="AQ149" s="213"/>
      <c r="AR149" s="213"/>
      <c r="AS149" s="213"/>
      <c r="AT149" s="213"/>
      <c r="AU149" s="213"/>
      <c r="AV149" s="213"/>
      <c r="AW149" s="213"/>
      <c r="AX149" s="213"/>
      <c r="AY149" s="213"/>
      <c r="AZ149" s="213"/>
      <c r="BA149" s="213"/>
      <c r="BB149" s="213"/>
    </row>
    <row r="150" ht="12.75" customHeight="1" outlineLevel="1">
      <c r="A150" s="235"/>
      <c r="B150" s="236"/>
      <c r="C150" s="237" t="s">
        <v>318</v>
      </c>
      <c r="D150" s="238"/>
      <c r="E150" s="239">
        <v>574.52</v>
      </c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3"/>
      <c r="Z150" s="213"/>
      <c r="AA150" s="213"/>
      <c r="AB150" s="213"/>
      <c r="AC150" s="213"/>
      <c r="AD150" s="213"/>
      <c r="AE150" s="213"/>
      <c r="AF150" s="213"/>
      <c r="AG150" s="213" t="s">
        <v>228</v>
      </c>
      <c r="AH150" s="213">
        <v>0.0</v>
      </c>
      <c r="AI150" s="213"/>
      <c r="AJ150" s="213"/>
      <c r="AK150" s="213"/>
      <c r="AL150" s="213"/>
      <c r="AM150" s="213"/>
      <c r="AN150" s="213"/>
      <c r="AO150" s="213"/>
      <c r="AP150" s="213"/>
      <c r="AQ150" s="213"/>
      <c r="AR150" s="213"/>
      <c r="AS150" s="213"/>
      <c r="AT150" s="213"/>
      <c r="AU150" s="213"/>
      <c r="AV150" s="213"/>
      <c r="AW150" s="213"/>
      <c r="AX150" s="213"/>
      <c r="AY150" s="213"/>
      <c r="AZ150" s="213"/>
      <c r="BA150" s="213"/>
      <c r="BB150" s="213"/>
    </row>
    <row r="151" ht="12.75" customHeight="1" outlineLevel="1">
      <c r="A151" s="214">
        <v>22.0</v>
      </c>
      <c r="B151" s="215" t="s">
        <v>319</v>
      </c>
      <c r="C151" s="216" t="s">
        <v>320</v>
      </c>
      <c r="D151" s="217" t="s">
        <v>321</v>
      </c>
      <c r="E151" s="218">
        <v>489.854</v>
      </c>
      <c r="F151" s="219">
        <v>245.0</v>
      </c>
      <c r="G151" s="220">
        <f>ROUND(E151*F151,2)</f>
        <v>120014.23</v>
      </c>
      <c r="H151" s="211"/>
      <c r="I151" s="212">
        <f>ROUND(E151*H151,2)</f>
        <v>0</v>
      </c>
      <c r="J151" s="211"/>
      <c r="K151" s="212">
        <f>ROUND(E151*J151,2)</f>
        <v>0</v>
      </c>
      <c r="L151" s="212">
        <v>21.0</v>
      </c>
      <c r="M151" s="212">
        <f>G151*(1+L151/100)</f>
        <v>145217.2183</v>
      </c>
      <c r="N151" s="212">
        <v>1.0</v>
      </c>
      <c r="O151" s="212">
        <f>ROUND(E151*N151,2)</f>
        <v>489.85</v>
      </c>
      <c r="P151" s="212">
        <v>0.0</v>
      </c>
      <c r="Q151" s="212">
        <f>ROUND(E151*P151,2)</f>
        <v>0</v>
      </c>
      <c r="R151" s="212" t="s">
        <v>322</v>
      </c>
      <c r="S151" s="212" t="s">
        <v>184</v>
      </c>
      <c r="T151" s="212" t="s">
        <v>184</v>
      </c>
      <c r="U151" s="212">
        <v>0.0</v>
      </c>
      <c r="V151" s="212">
        <f>ROUND(E151*U151,2)</f>
        <v>0</v>
      </c>
      <c r="W151" s="212"/>
      <c r="X151" s="212" t="s">
        <v>323</v>
      </c>
      <c r="Y151" s="213"/>
      <c r="Z151" s="213"/>
      <c r="AA151" s="213"/>
      <c r="AB151" s="213"/>
      <c r="AC151" s="213"/>
      <c r="AD151" s="213"/>
      <c r="AE151" s="213"/>
      <c r="AF151" s="213"/>
      <c r="AG151" s="213" t="s">
        <v>324</v>
      </c>
      <c r="AH151" s="213"/>
      <c r="AI151" s="213"/>
      <c r="AJ151" s="213"/>
      <c r="AK151" s="213"/>
      <c r="AL151" s="213"/>
      <c r="AM151" s="213"/>
      <c r="AN151" s="213"/>
      <c r="AO151" s="213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</row>
    <row r="152" ht="12.75" customHeight="1" outlineLevel="1">
      <c r="A152" s="235"/>
      <c r="B152" s="236"/>
      <c r="C152" s="237" t="s">
        <v>235</v>
      </c>
      <c r="D152" s="238"/>
      <c r="E152" s="239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3"/>
      <c r="Z152" s="213"/>
      <c r="AA152" s="213"/>
      <c r="AB152" s="213"/>
      <c r="AC152" s="213"/>
      <c r="AD152" s="213"/>
      <c r="AE152" s="213"/>
      <c r="AF152" s="213"/>
      <c r="AG152" s="213" t="s">
        <v>228</v>
      </c>
      <c r="AH152" s="213">
        <v>0.0</v>
      </c>
      <c r="AI152" s="213"/>
      <c r="AJ152" s="213"/>
      <c r="AK152" s="213"/>
      <c r="AL152" s="213"/>
      <c r="AM152" s="213"/>
      <c r="AN152" s="213"/>
      <c r="AO152" s="213"/>
      <c r="AP152" s="213"/>
      <c r="AQ152" s="213"/>
      <c r="AR152" s="213"/>
      <c r="AS152" s="213"/>
      <c r="AT152" s="213"/>
      <c r="AU152" s="213"/>
      <c r="AV152" s="213"/>
      <c r="AW152" s="213"/>
      <c r="AX152" s="213"/>
      <c r="AY152" s="213"/>
      <c r="AZ152" s="213"/>
      <c r="BA152" s="213"/>
      <c r="BB152" s="213"/>
    </row>
    <row r="153" ht="12.75" customHeight="1" outlineLevel="1">
      <c r="A153" s="235"/>
      <c r="B153" s="236"/>
      <c r="C153" s="240" t="s">
        <v>236</v>
      </c>
      <c r="D153" s="241"/>
      <c r="E153" s="24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3"/>
      <c r="Z153" s="213"/>
      <c r="AA153" s="213"/>
      <c r="AB153" s="213"/>
      <c r="AC153" s="213"/>
      <c r="AD153" s="213"/>
      <c r="AE153" s="213"/>
      <c r="AF153" s="213"/>
      <c r="AG153" s="213" t="s">
        <v>228</v>
      </c>
      <c r="AH153" s="213"/>
      <c r="AI153" s="213"/>
      <c r="AJ153" s="213"/>
      <c r="AK153" s="213"/>
      <c r="AL153" s="213"/>
      <c r="AM153" s="213"/>
      <c r="AN153" s="213"/>
      <c r="AO153" s="213"/>
      <c r="AP153" s="213"/>
      <c r="AQ153" s="213"/>
      <c r="AR153" s="213"/>
      <c r="AS153" s="213"/>
      <c r="AT153" s="213"/>
      <c r="AU153" s="213"/>
      <c r="AV153" s="213"/>
      <c r="AW153" s="213"/>
      <c r="AX153" s="213"/>
      <c r="AY153" s="213"/>
      <c r="AZ153" s="213"/>
      <c r="BA153" s="213"/>
      <c r="BB153" s="213"/>
    </row>
    <row r="154" ht="12.75" customHeight="1" outlineLevel="1">
      <c r="A154" s="235"/>
      <c r="B154" s="236"/>
      <c r="C154" s="243" t="s">
        <v>325</v>
      </c>
      <c r="D154" s="241"/>
      <c r="E154" s="242">
        <v>259.18</v>
      </c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3"/>
      <c r="Z154" s="213"/>
      <c r="AA154" s="213"/>
      <c r="AB154" s="213"/>
      <c r="AC154" s="213"/>
      <c r="AD154" s="213"/>
      <c r="AE154" s="213"/>
      <c r="AF154" s="213"/>
      <c r="AG154" s="213" t="s">
        <v>228</v>
      </c>
      <c r="AH154" s="213">
        <v>2.0</v>
      </c>
      <c r="AI154" s="213"/>
      <c r="AJ154" s="213"/>
      <c r="AK154" s="213"/>
      <c r="AL154" s="213"/>
      <c r="AM154" s="213"/>
      <c r="AN154" s="213"/>
      <c r="AO154" s="213"/>
      <c r="AP154" s="213"/>
      <c r="AQ154" s="213"/>
      <c r="AR154" s="213"/>
      <c r="AS154" s="213"/>
      <c r="AT154" s="213"/>
      <c r="AU154" s="213"/>
      <c r="AV154" s="213"/>
      <c r="AW154" s="213"/>
      <c r="AX154" s="213"/>
      <c r="AY154" s="213"/>
      <c r="AZ154" s="213"/>
      <c r="BA154" s="213"/>
      <c r="BB154" s="213"/>
    </row>
    <row r="155" ht="12.75" customHeight="1" outlineLevel="1">
      <c r="A155" s="235"/>
      <c r="B155" s="236"/>
      <c r="C155" s="240" t="s">
        <v>238</v>
      </c>
      <c r="D155" s="241"/>
      <c r="E155" s="24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3"/>
      <c r="Z155" s="213"/>
      <c r="AA155" s="213"/>
      <c r="AB155" s="213"/>
      <c r="AC155" s="213"/>
      <c r="AD155" s="213"/>
      <c r="AE155" s="213"/>
      <c r="AF155" s="213"/>
      <c r="AG155" s="213" t="s">
        <v>228</v>
      </c>
      <c r="AH155" s="213"/>
      <c r="AI155" s="213"/>
      <c r="AJ155" s="213"/>
      <c r="AK155" s="213"/>
      <c r="AL155" s="213"/>
      <c r="AM155" s="213"/>
      <c r="AN155" s="213"/>
      <c r="AO155" s="213"/>
      <c r="AP155" s="213"/>
      <c r="AQ155" s="213"/>
      <c r="AR155" s="213"/>
      <c r="AS155" s="213"/>
      <c r="AT155" s="213"/>
      <c r="AU155" s="213"/>
      <c r="AV155" s="213"/>
      <c r="AW155" s="213"/>
      <c r="AX155" s="213"/>
      <c r="AY155" s="213"/>
      <c r="AZ155" s="213"/>
      <c r="BA155" s="213"/>
      <c r="BB155" s="213"/>
    </row>
    <row r="156" ht="12.75" customHeight="1" outlineLevel="1">
      <c r="A156" s="235"/>
      <c r="B156" s="236"/>
      <c r="C156" s="237" t="s">
        <v>326</v>
      </c>
      <c r="D156" s="238"/>
      <c r="E156" s="239">
        <v>489.85</v>
      </c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3"/>
      <c r="Z156" s="213"/>
      <c r="AA156" s="213"/>
      <c r="AB156" s="213"/>
      <c r="AC156" s="213"/>
      <c r="AD156" s="213"/>
      <c r="AE156" s="213"/>
      <c r="AF156" s="213"/>
      <c r="AG156" s="213" t="s">
        <v>228</v>
      </c>
      <c r="AH156" s="213">
        <v>0.0</v>
      </c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</row>
    <row r="157" ht="12.75" customHeight="1">
      <c r="A157" s="196" t="s">
        <v>173</v>
      </c>
      <c r="B157" s="197" t="s">
        <v>96</v>
      </c>
      <c r="C157" s="198" t="s">
        <v>97</v>
      </c>
      <c r="D157" s="199"/>
      <c r="E157" s="200"/>
      <c r="F157" s="201"/>
      <c r="G157" s="202">
        <f>SUMIF(AG158:AG193,"&lt;&gt;NOR",G158:G193)</f>
        <v>98761.94</v>
      </c>
      <c r="H157" s="203"/>
      <c r="I157" s="203">
        <f>SUM(I158:I193)</f>
        <v>0</v>
      </c>
      <c r="J157" s="203"/>
      <c r="K157" s="203">
        <f>SUM(K158:K193)</f>
        <v>0</v>
      </c>
      <c r="L157" s="203"/>
      <c r="M157" s="203">
        <f>SUM(M158:M193)</f>
        <v>119501.9474</v>
      </c>
      <c r="N157" s="203"/>
      <c r="O157" s="203">
        <f>SUM(O158:O193)</f>
        <v>0.03</v>
      </c>
      <c r="P157" s="203"/>
      <c r="Q157" s="203">
        <f>SUM(Q158:Q193)</f>
        <v>0</v>
      </c>
      <c r="R157" s="203"/>
      <c r="S157" s="203"/>
      <c r="T157" s="203"/>
      <c r="U157" s="203"/>
      <c r="V157" s="203">
        <f>SUM(V158:V193)</f>
        <v>279.49</v>
      </c>
      <c r="W157" s="203"/>
      <c r="X157" s="203"/>
      <c r="AG157" s="184" t="s">
        <v>174</v>
      </c>
    </row>
    <row r="158" ht="12.75" customHeight="1" outlineLevel="1">
      <c r="A158" s="214">
        <v>23.0</v>
      </c>
      <c r="B158" s="215" t="s">
        <v>327</v>
      </c>
      <c r="C158" s="216" t="s">
        <v>328</v>
      </c>
      <c r="D158" s="217" t="s">
        <v>224</v>
      </c>
      <c r="E158" s="218">
        <v>606.0</v>
      </c>
      <c r="F158" s="219">
        <v>37.39</v>
      </c>
      <c r="G158" s="220">
        <f>ROUND(E158*F158,2)</f>
        <v>22658.34</v>
      </c>
      <c r="H158" s="211"/>
      <c r="I158" s="212">
        <f>ROUND(E158*H158,2)</f>
        <v>0</v>
      </c>
      <c r="J158" s="211"/>
      <c r="K158" s="212">
        <f>ROUND(E158*J158,2)</f>
        <v>0</v>
      </c>
      <c r="L158" s="212">
        <v>21.0</v>
      </c>
      <c r="M158" s="212">
        <f>G158*(1+L158/100)</f>
        <v>27416.5914</v>
      </c>
      <c r="N158" s="212">
        <v>0.0</v>
      </c>
      <c r="O158" s="212">
        <f>ROUND(E158*N158,2)</f>
        <v>0</v>
      </c>
      <c r="P158" s="212">
        <v>0.0</v>
      </c>
      <c r="Q158" s="212">
        <f>ROUND(E158*P158,2)</f>
        <v>0</v>
      </c>
      <c r="R158" s="212"/>
      <c r="S158" s="212" t="s">
        <v>184</v>
      </c>
      <c r="T158" s="212" t="s">
        <v>184</v>
      </c>
      <c r="U158" s="212">
        <v>0.097</v>
      </c>
      <c r="V158" s="212">
        <f>ROUND(E158*U158,2)</f>
        <v>58.78</v>
      </c>
      <c r="W158" s="212"/>
      <c r="X158" s="212" t="s">
        <v>225</v>
      </c>
      <c r="Y158" s="213"/>
      <c r="Z158" s="213"/>
      <c r="AA158" s="213"/>
      <c r="AB158" s="213"/>
      <c r="AC158" s="213"/>
      <c r="AD158" s="213"/>
      <c r="AE158" s="213"/>
      <c r="AF158" s="213"/>
      <c r="AG158" s="213" t="s">
        <v>226</v>
      </c>
      <c r="AH158" s="213"/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3"/>
      <c r="AX158" s="213"/>
      <c r="AY158" s="213"/>
      <c r="AZ158" s="213"/>
      <c r="BA158" s="213"/>
      <c r="BB158" s="213"/>
    </row>
    <row r="159" ht="12.75" customHeight="1" outlineLevel="1">
      <c r="A159" s="235"/>
      <c r="B159" s="236"/>
      <c r="C159" s="237" t="s">
        <v>329</v>
      </c>
      <c r="D159" s="238"/>
      <c r="E159" s="239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3"/>
      <c r="Z159" s="213"/>
      <c r="AA159" s="213"/>
      <c r="AB159" s="213"/>
      <c r="AC159" s="213"/>
      <c r="AD159" s="213"/>
      <c r="AE159" s="213"/>
      <c r="AF159" s="213"/>
      <c r="AG159" s="213" t="s">
        <v>228</v>
      </c>
      <c r="AH159" s="213">
        <v>0.0</v>
      </c>
      <c r="AI159" s="213"/>
      <c r="AJ159" s="213"/>
      <c r="AK159" s="213"/>
      <c r="AL159" s="213"/>
      <c r="AM159" s="213"/>
      <c r="AN159" s="213"/>
      <c r="AO159" s="213"/>
      <c r="AP159" s="213"/>
      <c r="AQ159" s="213"/>
      <c r="AR159" s="213"/>
      <c r="AS159" s="213"/>
      <c r="AT159" s="213"/>
      <c r="AU159" s="213"/>
      <c r="AV159" s="213"/>
      <c r="AW159" s="213"/>
      <c r="AX159" s="213"/>
      <c r="AY159" s="213"/>
      <c r="AZ159" s="213"/>
      <c r="BA159" s="213"/>
      <c r="BB159" s="213"/>
    </row>
    <row r="160" ht="12.75" customHeight="1" outlineLevel="1">
      <c r="A160" s="235"/>
      <c r="B160" s="236"/>
      <c r="C160" s="237" t="s">
        <v>330</v>
      </c>
      <c r="D160" s="238"/>
      <c r="E160" s="239">
        <v>600.0</v>
      </c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3"/>
      <c r="Z160" s="213"/>
      <c r="AA160" s="213"/>
      <c r="AB160" s="213"/>
      <c r="AC160" s="213"/>
      <c r="AD160" s="213"/>
      <c r="AE160" s="213"/>
      <c r="AF160" s="213"/>
      <c r="AG160" s="213" t="s">
        <v>228</v>
      </c>
      <c r="AH160" s="213">
        <v>0.0</v>
      </c>
      <c r="AI160" s="213"/>
      <c r="AJ160" s="213"/>
      <c r="AK160" s="213"/>
      <c r="AL160" s="213"/>
      <c r="AM160" s="213"/>
      <c r="AN160" s="213"/>
      <c r="AO160" s="213"/>
      <c r="AP160" s="213"/>
      <c r="AQ160" s="213"/>
      <c r="AR160" s="213"/>
      <c r="AS160" s="213"/>
      <c r="AT160" s="213"/>
      <c r="AU160" s="213"/>
      <c r="AV160" s="213"/>
      <c r="AW160" s="213"/>
      <c r="AX160" s="213"/>
      <c r="AY160" s="213"/>
      <c r="AZ160" s="213"/>
      <c r="BA160" s="213"/>
      <c r="BB160" s="213"/>
    </row>
    <row r="161" ht="12.75" customHeight="1" outlineLevel="1">
      <c r="A161" s="235"/>
      <c r="B161" s="236"/>
      <c r="C161" s="237" t="s">
        <v>246</v>
      </c>
      <c r="D161" s="238"/>
      <c r="E161" s="239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3"/>
      <c r="Z161" s="213"/>
      <c r="AA161" s="213"/>
      <c r="AB161" s="213"/>
      <c r="AC161" s="213"/>
      <c r="AD161" s="213"/>
      <c r="AE161" s="213"/>
      <c r="AF161" s="213"/>
      <c r="AG161" s="213" t="s">
        <v>228</v>
      </c>
      <c r="AH161" s="213">
        <v>0.0</v>
      </c>
      <c r="AI161" s="213"/>
      <c r="AJ161" s="213"/>
      <c r="AK161" s="213"/>
      <c r="AL161" s="213"/>
      <c r="AM161" s="213"/>
      <c r="AN161" s="213"/>
      <c r="AO161" s="213"/>
      <c r="AP161" s="213"/>
      <c r="AQ161" s="213"/>
      <c r="AR161" s="213"/>
      <c r="AS161" s="213"/>
      <c r="AT161" s="213"/>
      <c r="AU161" s="213"/>
      <c r="AV161" s="213"/>
      <c r="AW161" s="213"/>
      <c r="AX161" s="213"/>
      <c r="AY161" s="213"/>
      <c r="AZ161" s="213"/>
      <c r="BA161" s="213"/>
      <c r="BB161" s="213"/>
    </row>
    <row r="162" ht="12.75" customHeight="1" outlineLevel="1">
      <c r="A162" s="235"/>
      <c r="B162" s="236"/>
      <c r="C162" s="237" t="s">
        <v>331</v>
      </c>
      <c r="D162" s="238"/>
      <c r="E162" s="239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3"/>
      <c r="Z162" s="213"/>
      <c r="AA162" s="213"/>
      <c r="AB162" s="213"/>
      <c r="AC162" s="213"/>
      <c r="AD162" s="213"/>
      <c r="AE162" s="213"/>
      <c r="AF162" s="213"/>
      <c r="AG162" s="213" t="s">
        <v>228</v>
      </c>
      <c r="AH162" s="213">
        <v>0.0</v>
      </c>
      <c r="AI162" s="213"/>
      <c r="AJ162" s="213"/>
      <c r="AK162" s="213"/>
      <c r="AL162" s="213"/>
      <c r="AM162" s="213"/>
      <c r="AN162" s="213"/>
      <c r="AO162" s="213"/>
      <c r="AP162" s="213"/>
      <c r="AQ162" s="213"/>
      <c r="AR162" s="213"/>
      <c r="AS162" s="213"/>
      <c r="AT162" s="213"/>
      <c r="AU162" s="213"/>
      <c r="AV162" s="213"/>
      <c r="AW162" s="213"/>
      <c r="AX162" s="213"/>
      <c r="AY162" s="213"/>
      <c r="AZ162" s="213"/>
      <c r="BA162" s="213"/>
      <c r="BB162" s="213"/>
    </row>
    <row r="163" ht="12.75" customHeight="1" outlineLevel="1">
      <c r="A163" s="235"/>
      <c r="B163" s="236"/>
      <c r="C163" s="237" t="s">
        <v>248</v>
      </c>
      <c r="D163" s="238"/>
      <c r="E163" s="239">
        <v>6.0</v>
      </c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3"/>
      <c r="Z163" s="213"/>
      <c r="AA163" s="213"/>
      <c r="AB163" s="213"/>
      <c r="AC163" s="213"/>
      <c r="AD163" s="213"/>
      <c r="AE163" s="213"/>
      <c r="AF163" s="213"/>
      <c r="AG163" s="213" t="s">
        <v>228</v>
      </c>
      <c r="AH163" s="213">
        <v>0.0</v>
      </c>
      <c r="AI163" s="213"/>
      <c r="AJ163" s="213"/>
      <c r="AK163" s="213"/>
      <c r="AL163" s="213"/>
      <c r="AM163" s="213"/>
      <c r="AN163" s="213"/>
      <c r="AO163" s="213"/>
      <c r="AP163" s="213"/>
      <c r="AQ163" s="213"/>
      <c r="AR163" s="213"/>
      <c r="AS163" s="213"/>
      <c r="AT163" s="213"/>
      <c r="AU163" s="213"/>
      <c r="AV163" s="213"/>
      <c r="AW163" s="213"/>
      <c r="AX163" s="213"/>
      <c r="AY163" s="213"/>
      <c r="AZ163" s="213"/>
      <c r="BA163" s="213"/>
      <c r="BB163" s="213"/>
    </row>
    <row r="164" ht="12.75" customHeight="1" outlineLevel="1">
      <c r="A164" s="214">
        <v>24.0</v>
      </c>
      <c r="B164" s="215" t="s">
        <v>332</v>
      </c>
      <c r="C164" s="216" t="s">
        <v>333</v>
      </c>
      <c r="D164" s="217" t="s">
        <v>234</v>
      </c>
      <c r="E164" s="218">
        <v>121.2</v>
      </c>
      <c r="F164" s="219">
        <v>25.9</v>
      </c>
      <c r="G164" s="220">
        <f>ROUND(E164*F164,2)</f>
        <v>3139.08</v>
      </c>
      <c r="H164" s="211"/>
      <c r="I164" s="212">
        <f>ROUND(E164*H164,2)</f>
        <v>0</v>
      </c>
      <c r="J164" s="211"/>
      <c r="K164" s="212">
        <f>ROUND(E164*J164,2)</f>
        <v>0</v>
      </c>
      <c r="L164" s="212">
        <v>21.0</v>
      </c>
      <c r="M164" s="212">
        <f>G164*(1+L164/100)</f>
        <v>3798.2868</v>
      </c>
      <c r="N164" s="212">
        <v>0.0</v>
      </c>
      <c r="O164" s="212">
        <f>ROUND(E164*N164,2)</f>
        <v>0</v>
      </c>
      <c r="P164" s="212">
        <v>0.0</v>
      </c>
      <c r="Q164" s="212">
        <f>ROUND(E164*P164,2)</f>
        <v>0</v>
      </c>
      <c r="R164" s="212"/>
      <c r="S164" s="212" t="s">
        <v>184</v>
      </c>
      <c r="T164" s="212" t="s">
        <v>184</v>
      </c>
      <c r="U164" s="212">
        <v>0.016</v>
      </c>
      <c r="V164" s="212">
        <f>ROUND(E164*U164,2)</f>
        <v>1.94</v>
      </c>
      <c r="W164" s="212"/>
      <c r="X164" s="212" t="s">
        <v>225</v>
      </c>
      <c r="Y164" s="213"/>
      <c r="Z164" s="213"/>
      <c r="AA164" s="213"/>
      <c r="AB164" s="213"/>
      <c r="AC164" s="213"/>
      <c r="AD164" s="213"/>
      <c r="AE164" s="213"/>
      <c r="AF164" s="213"/>
      <c r="AG164" s="213" t="s">
        <v>226</v>
      </c>
      <c r="AH164" s="213"/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</row>
    <row r="165" ht="12.75" customHeight="1" outlineLevel="1">
      <c r="A165" s="235"/>
      <c r="B165" s="236"/>
      <c r="C165" s="237" t="s">
        <v>329</v>
      </c>
      <c r="D165" s="238"/>
      <c r="E165" s="239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3"/>
      <c r="Z165" s="213"/>
      <c r="AA165" s="213"/>
      <c r="AB165" s="213"/>
      <c r="AC165" s="213"/>
      <c r="AD165" s="213"/>
      <c r="AE165" s="213"/>
      <c r="AF165" s="213"/>
      <c r="AG165" s="213" t="s">
        <v>228</v>
      </c>
      <c r="AH165" s="213">
        <v>0.0</v>
      </c>
      <c r="AI165" s="213"/>
      <c r="AJ165" s="213"/>
      <c r="AK165" s="213"/>
      <c r="AL165" s="213"/>
      <c r="AM165" s="213"/>
      <c r="AN165" s="213"/>
      <c r="AO165" s="213"/>
      <c r="AP165" s="213"/>
      <c r="AQ165" s="213"/>
      <c r="AR165" s="213"/>
      <c r="AS165" s="213"/>
      <c r="AT165" s="213"/>
      <c r="AU165" s="213"/>
      <c r="AV165" s="213"/>
      <c r="AW165" s="213"/>
      <c r="AX165" s="213"/>
      <c r="AY165" s="213"/>
      <c r="AZ165" s="213"/>
      <c r="BA165" s="213"/>
      <c r="BB165" s="213"/>
    </row>
    <row r="166" ht="12.75" customHeight="1" outlineLevel="1">
      <c r="A166" s="235"/>
      <c r="B166" s="236"/>
      <c r="C166" s="237" t="s">
        <v>334</v>
      </c>
      <c r="D166" s="238"/>
      <c r="E166" s="239">
        <v>120.0</v>
      </c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3"/>
      <c r="Z166" s="213"/>
      <c r="AA166" s="213"/>
      <c r="AB166" s="213"/>
      <c r="AC166" s="213"/>
      <c r="AD166" s="213"/>
      <c r="AE166" s="213"/>
      <c r="AF166" s="213"/>
      <c r="AG166" s="213" t="s">
        <v>228</v>
      </c>
      <c r="AH166" s="213">
        <v>0.0</v>
      </c>
      <c r="AI166" s="213"/>
      <c r="AJ166" s="213"/>
      <c r="AK166" s="213"/>
      <c r="AL166" s="213"/>
      <c r="AM166" s="213"/>
      <c r="AN166" s="213"/>
      <c r="AO166" s="213"/>
      <c r="AP166" s="213"/>
      <c r="AQ166" s="213"/>
      <c r="AR166" s="213"/>
      <c r="AS166" s="213"/>
      <c r="AT166" s="213"/>
      <c r="AU166" s="213"/>
      <c r="AV166" s="213"/>
      <c r="AW166" s="213"/>
      <c r="AX166" s="213"/>
      <c r="AY166" s="213"/>
      <c r="AZ166" s="213"/>
      <c r="BA166" s="213"/>
      <c r="BB166" s="213"/>
    </row>
    <row r="167" ht="12.75" customHeight="1" outlineLevel="1">
      <c r="A167" s="235"/>
      <c r="B167" s="236"/>
      <c r="C167" s="237" t="s">
        <v>246</v>
      </c>
      <c r="D167" s="238"/>
      <c r="E167" s="239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3"/>
      <c r="Z167" s="213"/>
      <c r="AA167" s="213"/>
      <c r="AB167" s="213"/>
      <c r="AC167" s="213"/>
      <c r="AD167" s="213"/>
      <c r="AE167" s="213"/>
      <c r="AF167" s="213"/>
      <c r="AG167" s="213" t="s">
        <v>228</v>
      </c>
      <c r="AH167" s="213">
        <v>0.0</v>
      </c>
      <c r="AI167" s="213"/>
      <c r="AJ167" s="213"/>
      <c r="AK167" s="213"/>
      <c r="AL167" s="213"/>
      <c r="AM167" s="213"/>
      <c r="AN167" s="213"/>
      <c r="AO167" s="213"/>
      <c r="AP167" s="213"/>
      <c r="AQ167" s="213"/>
      <c r="AR167" s="213"/>
      <c r="AS167" s="213"/>
      <c r="AT167" s="213"/>
      <c r="AU167" s="213"/>
      <c r="AV167" s="213"/>
      <c r="AW167" s="213"/>
      <c r="AX167" s="213"/>
      <c r="AY167" s="213"/>
      <c r="AZ167" s="213"/>
      <c r="BA167" s="213"/>
      <c r="BB167" s="213"/>
    </row>
    <row r="168" ht="12.75" customHeight="1" outlineLevel="1">
      <c r="A168" s="235"/>
      <c r="B168" s="236"/>
      <c r="C168" s="237" t="s">
        <v>331</v>
      </c>
      <c r="D168" s="238"/>
      <c r="E168" s="239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3"/>
      <c r="Z168" s="213"/>
      <c r="AA168" s="213"/>
      <c r="AB168" s="213"/>
      <c r="AC168" s="213"/>
      <c r="AD168" s="213"/>
      <c r="AE168" s="213"/>
      <c r="AF168" s="213"/>
      <c r="AG168" s="213" t="s">
        <v>228</v>
      </c>
      <c r="AH168" s="213">
        <v>0.0</v>
      </c>
      <c r="AI168" s="213"/>
      <c r="AJ168" s="213"/>
      <c r="AK168" s="213"/>
      <c r="AL168" s="213"/>
      <c r="AM168" s="213"/>
      <c r="AN168" s="213"/>
      <c r="AO168" s="213"/>
      <c r="AP168" s="213"/>
      <c r="AQ168" s="213"/>
      <c r="AR168" s="213"/>
      <c r="AS168" s="213"/>
      <c r="AT168" s="213"/>
      <c r="AU168" s="213"/>
      <c r="AV168" s="213"/>
      <c r="AW168" s="213"/>
      <c r="AX168" s="213"/>
      <c r="AY168" s="213"/>
      <c r="AZ168" s="213"/>
      <c r="BA168" s="213"/>
      <c r="BB168" s="213"/>
    </row>
    <row r="169" ht="12.75" customHeight="1" outlineLevel="1">
      <c r="A169" s="235"/>
      <c r="B169" s="236"/>
      <c r="C169" s="237" t="s">
        <v>256</v>
      </c>
      <c r="D169" s="238"/>
      <c r="E169" s="239">
        <v>1.2</v>
      </c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3"/>
      <c r="Z169" s="213"/>
      <c r="AA169" s="213"/>
      <c r="AB169" s="213"/>
      <c r="AC169" s="213"/>
      <c r="AD169" s="213"/>
      <c r="AE169" s="213"/>
      <c r="AF169" s="213"/>
      <c r="AG169" s="213" t="s">
        <v>228</v>
      </c>
      <c r="AH169" s="213">
        <v>0.0</v>
      </c>
      <c r="AI169" s="213"/>
      <c r="AJ169" s="213"/>
      <c r="AK169" s="213"/>
      <c r="AL169" s="213"/>
      <c r="AM169" s="213"/>
      <c r="AN169" s="213"/>
      <c r="AO169" s="213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213"/>
      <c r="BA169" s="213"/>
      <c r="BB169" s="213"/>
    </row>
    <row r="170" ht="12.75" customHeight="1" outlineLevel="1">
      <c r="A170" s="214">
        <v>25.0</v>
      </c>
      <c r="B170" s="215" t="s">
        <v>335</v>
      </c>
      <c r="C170" s="216" t="s">
        <v>336</v>
      </c>
      <c r="D170" s="217" t="s">
        <v>224</v>
      </c>
      <c r="E170" s="218">
        <v>606.0</v>
      </c>
      <c r="F170" s="219">
        <v>52.27</v>
      </c>
      <c r="G170" s="220">
        <f>ROUND(E170*F170,2)</f>
        <v>31675.62</v>
      </c>
      <c r="H170" s="211"/>
      <c r="I170" s="212">
        <f>ROUND(E170*H170,2)</f>
        <v>0</v>
      </c>
      <c r="J170" s="211"/>
      <c r="K170" s="212">
        <f>ROUND(E170*J170,2)</f>
        <v>0</v>
      </c>
      <c r="L170" s="212">
        <v>21.0</v>
      </c>
      <c r="M170" s="212">
        <f>G170*(1+L170/100)</f>
        <v>38327.5002</v>
      </c>
      <c r="N170" s="212">
        <v>0.0</v>
      </c>
      <c r="O170" s="212">
        <f>ROUND(E170*N170,2)</f>
        <v>0</v>
      </c>
      <c r="P170" s="212">
        <v>0.0</v>
      </c>
      <c r="Q170" s="212">
        <f>ROUND(E170*P170,2)</f>
        <v>0</v>
      </c>
      <c r="R170" s="212"/>
      <c r="S170" s="212" t="s">
        <v>184</v>
      </c>
      <c r="T170" s="212" t="s">
        <v>184</v>
      </c>
      <c r="U170" s="212">
        <v>0.171</v>
      </c>
      <c r="V170" s="212">
        <f>ROUND(E170*U170,2)</f>
        <v>103.63</v>
      </c>
      <c r="W170" s="212"/>
      <c r="X170" s="212" t="s">
        <v>225</v>
      </c>
      <c r="Y170" s="213"/>
      <c r="Z170" s="213"/>
      <c r="AA170" s="213"/>
      <c r="AB170" s="213"/>
      <c r="AC170" s="213"/>
      <c r="AD170" s="213"/>
      <c r="AE170" s="213"/>
      <c r="AF170" s="213"/>
      <c r="AG170" s="213" t="s">
        <v>226</v>
      </c>
      <c r="AH170" s="213"/>
      <c r="AI170" s="213"/>
      <c r="AJ170" s="213"/>
      <c r="AK170" s="213"/>
      <c r="AL170" s="213"/>
      <c r="AM170" s="213"/>
      <c r="AN170" s="213"/>
      <c r="AO170" s="213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</row>
    <row r="171" ht="12.75" customHeight="1" outlineLevel="1">
      <c r="A171" s="235"/>
      <c r="B171" s="236"/>
      <c r="C171" s="237" t="s">
        <v>329</v>
      </c>
      <c r="D171" s="238"/>
      <c r="E171" s="239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3"/>
      <c r="Z171" s="213"/>
      <c r="AA171" s="213"/>
      <c r="AB171" s="213"/>
      <c r="AC171" s="213"/>
      <c r="AD171" s="213"/>
      <c r="AE171" s="213"/>
      <c r="AF171" s="213"/>
      <c r="AG171" s="213" t="s">
        <v>228</v>
      </c>
      <c r="AH171" s="213">
        <v>0.0</v>
      </c>
      <c r="AI171" s="213"/>
      <c r="AJ171" s="213"/>
      <c r="AK171" s="213"/>
      <c r="AL171" s="213"/>
      <c r="AM171" s="213"/>
      <c r="AN171" s="213"/>
      <c r="AO171" s="213"/>
      <c r="AP171" s="213"/>
      <c r="AQ171" s="213"/>
      <c r="AR171" s="213"/>
      <c r="AS171" s="213"/>
      <c r="AT171" s="213"/>
      <c r="AU171" s="213"/>
      <c r="AV171" s="213"/>
      <c r="AW171" s="213"/>
      <c r="AX171" s="213"/>
      <c r="AY171" s="213"/>
      <c r="AZ171" s="213"/>
      <c r="BA171" s="213"/>
      <c r="BB171" s="213"/>
    </row>
    <row r="172" ht="12.75" customHeight="1" outlineLevel="1">
      <c r="A172" s="235"/>
      <c r="B172" s="236"/>
      <c r="C172" s="237" t="s">
        <v>330</v>
      </c>
      <c r="D172" s="238"/>
      <c r="E172" s="239">
        <v>600.0</v>
      </c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3"/>
      <c r="Z172" s="213"/>
      <c r="AA172" s="213"/>
      <c r="AB172" s="213"/>
      <c r="AC172" s="213"/>
      <c r="AD172" s="213"/>
      <c r="AE172" s="213"/>
      <c r="AF172" s="213"/>
      <c r="AG172" s="213" t="s">
        <v>228</v>
      </c>
      <c r="AH172" s="213">
        <v>0.0</v>
      </c>
      <c r="AI172" s="213"/>
      <c r="AJ172" s="213"/>
      <c r="AK172" s="213"/>
      <c r="AL172" s="213"/>
      <c r="AM172" s="213"/>
      <c r="AN172" s="213"/>
      <c r="AO172" s="213"/>
      <c r="AP172" s="213"/>
      <c r="AQ172" s="213"/>
      <c r="AR172" s="213"/>
      <c r="AS172" s="213"/>
      <c r="AT172" s="213"/>
      <c r="AU172" s="213"/>
      <c r="AV172" s="213"/>
      <c r="AW172" s="213"/>
      <c r="AX172" s="213"/>
      <c r="AY172" s="213"/>
      <c r="AZ172" s="213"/>
      <c r="BA172" s="213"/>
      <c r="BB172" s="213"/>
    </row>
    <row r="173" ht="12.75" customHeight="1" outlineLevel="1">
      <c r="A173" s="235"/>
      <c r="B173" s="236"/>
      <c r="C173" s="237" t="s">
        <v>246</v>
      </c>
      <c r="D173" s="238"/>
      <c r="E173" s="239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3"/>
      <c r="Z173" s="213"/>
      <c r="AA173" s="213"/>
      <c r="AB173" s="213"/>
      <c r="AC173" s="213"/>
      <c r="AD173" s="213"/>
      <c r="AE173" s="213"/>
      <c r="AF173" s="213"/>
      <c r="AG173" s="213" t="s">
        <v>228</v>
      </c>
      <c r="AH173" s="213">
        <v>0.0</v>
      </c>
      <c r="AI173" s="213"/>
      <c r="AJ173" s="213"/>
      <c r="AK173" s="213"/>
      <c r="AL173" s="213"/>
      <c r="AM173" s="213"/>
      <c r="AN173" s="213"/>
      <c r="AO173" s="213"/>
      <c r="AP173" s="213"/>
      <c r="AQ173" s="213"/>
      <c r="AR173" s="213"/>
      <c r="AS173" s="213"/>
      <c r="AT173" s="213"/>
      <c r="AU173" s="213"/>
      <c r="AV173" s="213"/>
      <c r="AW173" s="213"/>
      <c r="AX173" s="213"/>
      <c r="AY173" s="213"/>
      <c r="AZ173" s="213"/>
      <c r="BA173" s="213"/>
      <c r="BB173" s="213"/>
    </row>
    <row r="174" ht="12.75" customHeight="1" outlineLevel="1">
      <c r="A174" s="235"/>
      <c r="B174" s="236"/>
      <c r="C174" s="237" t="s">
        <v>331</v>
      </c>
      <c r="D174" s="238"/>
      <c r="E174" s="239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3"/>
      <c r="Z174" s="213"/>
      <c r="AA174" s="213"/>
      <c r="AB174" s="213"/>
      <c r="AC174" s="213"/>
      <c r="AD174" s="213"/>
      <c r="AE174" s="213"/>
      <c r="AF174" s="213"/>
      <c r="AG174" s="213" t="s">
        <v>228</v>
      </c>
      <c r="AH174" s="213">
        <v>0.0</v>
      </c>
      <c r="AI174" s="213"/>
      <c r="AJ174" s="213"/>
      <c r="AK174" s="213"/>
      <c r="AL174" s="213"/>
      <c r="AM174" s="213"/>
      <c r="AN174" s="213"/>
      <c r="AO174" s="213"/>
      <c r="AP174" s="213"/>
      <c r="AQ174" s="213"/>
      <c r="AR174" s="213"/>
      <c r="AS174" s="213"/>
      <c r="AT174" s="213"/>
      <c r="AU174" s="213"/>
      <c r="AV174" s="213"/>
      <c r="AW174" s="213"/>
      <c r="AX174" s="213"/>
      <c r="AY174" s="213"/>
      <c r="AZ174" s="213"/>
      <c r="BA174" s="213"/>
      <c r="BB174" s="213"/>
    </row>
    <row r="175" ht="12.75" customHeight="1" outlineLevel="1">
      <c r="A175" s="235"/>
      <c r="B175" s="236"/>
      <c r="C175" s="237" t="s">
        <v>248</v>
      </c>
      <c r="D175" s="238"/>
      <c r="E175" s="239">
        <v>6.0</v>
      </c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3"/>
      <c r="Z175" s="213"/>
      <c r="AA175" s="213"/>
      <c r="AB175" s="213"/>
      <c r="AC175" s="213"/>
      <c r="AD175" s="213"/>
      <c r="AE175" s="213"/>
      <c r="AF175" s="213"/>
      <c r="AG175" s="213" t="s">
        <v>228</v>
      </c>
      <c r="AH175" s="213">
        <v>0.0</v>
      </c>
      <c r="AI175" s="213"/>
      <c r="AJ175" s="213"/>
      <c r="AK175" s="213"/>
      <c r="AL175" s="213"/>
      <c r="AM175" s="213"/>
      <c r="AN175" s="213"/>
      <c r="AO175" s="213"/>
      <c r="AP175" s="213"/>
      <c r="AQ175" s="213"/>
      <c r="AR175" s="213"/>
      <c r="AS175" s="213"/>
      <c r="AT175" s="213"/>
      <c r="AU175" s="213"/>
      <c r="AV175" s="213"/>
      <c r="AW175" s="213"/>
      <c r="AX175" s="213"/>
      <c r="AY175" s="213"/>
      <c r="AZ175" s="213"/>
      <c r="BA175" s="213"/>
      <c r="BB175" s="213"/>
    </row>
    <row r="176" ht="12.75" customHeight="1" outlineLevel="1">
      <c r="A176" s="214">
        <v>26.0</v>
      </c>
      <c r="B176" s="215" t="s">
        <v>337</v>
      </c>
      <c r="C176" s="216" t="s">
        <v>338</v>
      </c>
      <c r="D176" s="217" t="s">
        <v>224</v>
      </c>
      <c r="E176" s="218">
        <v>606.0</v>
      </c>
      <c r="F176" s="219">
        <v>60.67</v>
      </c>
      <c r="G176" s="220">
        <f>ROUND(E176*F176,2)</f>
        <v>36766.02</v>
      </c>
      <c r="H176" s="211"/>
      <c r="I176" s="212">
        <f>ROUND(E176*H176,2)</f>
        <v>0</v>
      </c>
      <c r="J176" s="211"/>
      <c r="K176" s="212">
        <f>ROUND(E176*J176,2)</f>
        <v>0</v>
      </c>
      <c r="L176" s="212">
        <v>21.0</v>
      </c>
      <c r="M176" s="212">
        <f>G176*(1+L176/100)</f>
        <v>44486.8842</v>
      </c>
      <c r="N176" s="212">
        <v>0.0</v>
      </c>
      <c r="O176" s="212">
        <f>ROUND(E176*N176,2)</f>
        <v>0</v>
      </c>
      <c r="P176" s="212">
        <v>0.0</v>
      </c>
      <c r="Q176" s="212">
        <f>ROUND(E176*P176,2)</f>
        <v>0</v>
      </c>
      <c r="R176" s="212"/>
      <c r="S176" s="212" t="s">
        <v>184</v>
      </c>
      <c r="T176" s="212" t="s">
        <v>184</v>
      </c>
      <c r="U176" s="212">
        <v>0.19</v>
      </c>
      <c r="V176" s="212">
        <f>ROUND(E176*U176,2)</f>
        <v>115.14</v>
      </c>
      <c r="W176" s="212"/>
      <c r="X176" s="212" t="s">
        <v>225</v>
      </c>
      <c r="Y176" s="213"/>
      <c r="Z176" s="213"/>
      <c r="AA176" s="213"/>
      <c r="AB176" s="213"/>
      <c r="AC176" s="213"/>
      <c r="AD176" s="213"/>
      <c r="AE176" s="213"/>
      <c r="AF176" s="213"/>
      <c r="AG176" s="213" t="s">
        <v>226</v>
      </c>
      <c r="AH176" s="213"/>
      <c r="AI176" s="213"/>
      <c r="AJ176" s="213"/>
      <c r="AK176" s="213"/>
      <c r="AL176" s="213"/>
      <c r="AM176" s="213"/>
      <c r="AN176" s="213"/>
      <c r="AO176" s="213"/>
      <c r="AP176" s="213"/>
      <c r="AQ176" s="213"/>
      <c r="AR176" s="213"/>
      <c r="AS176" s="213"/>
      <c r="AT176" s="213"/>
      <c r="AU176" s="213"/>
      <c r="AV176" s="213"/>
      <c r="AW176" s="213"/>
      <c r="AX176" s="213"/>
      <c r="AY176" s="213"/>
      <c r="AZ176" s="213"/>
      <c r="BA176" s="213"/>
      <c r="BB176" s="213"/>
    </row>
    <row r="177" ht="12.75" customHeight="1" outlineLevel="1">
      <c r="A177" s="235"/>
      <c r="B177" s="236"/>
      <c r="C177" s="237" t="s">
        <v>339</v>
      </c>
      <c r="D177" s="238"/>
      <c r="E177" s="239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3"/>
      <c r="Z177" s="213"/>
      <c r="AA177" s="213"/>
      <c r="AB177" s="213"/>
      <c r="AC177" s="213"/>
      <c r="AD177" s="213"/>
      <c r="AE177" s="213"/>
      <c r="AF177" s="213"/>
      <c r="AG177" s="213" t="s">
        <v>228</v>
      </c>
      <c r="AH177" s="213">
        <v>0.0</v>
      </c>
      <c r="AI177" s="213"/>
      <c r="AJ177" s="213"/>
      <c r="AK177" s="213"/>
      <c r="AL177" s="213"/>
      <c r="AM177" s="213"/>
      <c r="AN177" s="213"/>
      <c r="AO177" s="213"/>
      <c r="AP177" s="213"/>
      <c r="AQ177" s="213"/>
      <c r="AR177" s="213"/>
      <c r="AS177" s="213"/>
      <c r="AT177" s="213"/>
      <c r="AU177" s="213"/>
      <c r="AV177" s="213"/>
      <c r="AW177" s="213"/>
      <c r="AX177" s="213"/>
      <c r="AY177" s="213"/>
      <c r="AZ177" s="213"/>
      <c r="BA177" s="213"/>
      <c r="BB177" s="213"/>
    </row>
    <row r="178" ht="12.75" customHeight="1" outlineLevel="1">
      <c r="A178" s="235"/>
      <c r="B178" s="236"/>
      <c r="C178" s="237" t="s">
        <v>330</v>
      </c>
      <c r="D178" s="238"/>
      <c r="E178" s="239">
        <v>600.0</v>
      </c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3"/>
      <c r="Z178" s="213"/>
      <c r="AA178" s="213"/>
      <c r="AB178" s="213"/>
      <c r="AC178" s="213"/>
      <c r="AD178" s="213"/>
      <c r="AE178" s="213"/>
      <c r="AF178" s="213"/>
      <c r="AG178" s="213" t="s">
        <v>228</v>
      </c>
      <c r="AH178" s="213">
        <v>0.0</v>
      </c>
      <c r="AI178" s="213"/>
      <c r="AJ178" s="213"/>
      <c r="AK178" s="213"/>
      <c r="AL178" s="213"/>
      <c r="AM178" s="213"/>
      <c r="AN178" s="213"/>
      <c r="AO178" s="213"/>
      <c r="AP178" s="213"/>
      <c r="AQ178" s="213"/>
      <c r="AR178" s="213"/>
      <c r="AS178" s="213"/>
      <c r="AT178" s="213"/>
      <c r="AU178" s="213"/>
      <c r="AV178" s="213"/>
      <c r="AW178" s="213"/>
      <c r="AX178" s="213"/>
      <c r="AY178" s="213"/>
      <c r="AZ178" s="213"/>
      <c r="BA178" s="213"/>
      <c r="BB178" s="213"/>
    </row>
    <row r="179" ht="12.75" customHeight="1" outlineLevel="1">
      <c r="A179" s="235"/>
      <c r="B179" s="236"/>
      <c r="C179" s="237" t="s">
        <v>246</v>
      </c>
      <c r="D179" s="238"/>
      <c r="E179" s="239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3"/>
      <c r="Z179" s="213"/>
      <c r="AA179" s="213"/>
      <c r="AB179" s="213"/>
      <c r="AC179" s="213"/>
      <c r="AD179" s="213"/>
      <c r="AE179" s="213"/>
      <c r="AF179" s="213"/>
      <c r="AG179" s="213" t="s">
        <v>228</v>
      </c>
      <c r="AH179" s="213">
        <v>0.0</v>
      </c>
      <c r="AI179" s="213"/>
      <c r="AJ179" s="213"/>
      <c r="AK179" s="213"/>
      <c r="AL179" s="213"/>
      <c r="AM179" s="213"/>
      <c r="AN179" s="213"/>
      <c r="AO179" s="213"/>
      <c r="AP179" s="213"/>
      <c r="AQ179" s="213"/>
      <c r="AR179" s="213"/>
      <c r="AS179" s="213"/>
      <c r="AT179" s="213"/>
      <c r="AU179" s="213"/>
      <c r="AV179" s="213"/>
      <c r="AW179" s="213"/>
      <c r="AX179" s="213"/>
      <c r="AY179" s="213"/>
      <c r="AZ179" s="213"/>
      <c r="BA179" s="213"/>
      <c r="BB179" s="213"/>
    </row>
    <row r="180" ht="12.75" customHeight="1" outlineLevel="1">
      <c r="A180" s="235"/>
      <c r="B180" s="236"/>
      <c r="C180" s="237" t="s">
        <v>331</v>
      </c>
      <c r="D180" s="238"/>
      <c r="E180" s="239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3"/>
      <c r="Z180" s="213"/>
      <c r="AA180" s="213"/>
      <c r="AB180" s="213"/>
      <c r="AC180" s="213"/>
      <c r="AD180" s="213"/>
      <c r="AE180" s="213"/>
      <c r="AF180" s="213"/>
      <c r="AG180" s="213" t="s">
        <v>228</v>
      </c>
      <c r="AH180" s="213">
        <v>0.0</v>
      </c>
      <c r="AI180" s="213"/>
      <c r="AJ180" s="213"/>
      <c r="AK180" s="213"/>
      <c r="AL180" s="213"/>
      <c r="AM180" s="213"/>
      <c r="AN180" s="213"/>
      <c r="AO180" s="213"/>
      <c r="AP180" s="213"/>
      <c r="AQ180" s="213"/>
      <c r="AR180" s="213"/>
      <c r="AS180" s="213"/>
      <c r="AT180" s="213"/>
      <c r="AU180" s="213"/>
      <c r="AV180" s="213"/>
      <c r="AW180" s="213"/>
      <c r="AX180" s="213"/>
      <c r="AY180" s="213"/>
      <c r="AZ180" s="213"/>
      <c r="BA180" s="213"/>
      <c r="BB180" s="213"/>
    </row>
    <row r="181" ht="12.75" customHeight="1" outlineLevel="1">
      <c r="A181" s="235"/>
      <c r="B181" s="236"/>
      <c r="C181" s="237" t="s">
        <v>248</v>
      </c>
      <c r="D181" s="238"/>
      <c r="E181" s="239">
        <v>6.0</v>
      </c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3"/>
      <c r="Z181" s="213"/>
      <c r="AA181" s="213"/>
      <c r="AB181" s="213"/>
      <c r="AC181" s="213"/>
      <c r="AD181" s="213"/>
      <c r="AE181" s="213"/>
      <c r="AF181" s="213"/>
      <c r="AG181" s="213" t="s">
        <v>228</v>
      </c>
      <c r="AH181" s="213">
        <v>0.0</v>
      </c>
      <c r="AI181" s="213"/>
      <c r="AJ181" s="213"/>
      <c r="AK181" s="213"/>
      <c r="AL181" s="213"/>
      <c r="AM181" s="213"/>
      <c r="AN181" s="213"/>
      <c r="AO181" s="213"/>
      <c r="AP181" s="213"/>
      <c r="AQ181" s="213"/>
      <c r="AR181" s="213"/>
      <c r="AS181" s="213"/>
      <c r="AT181" s="213"/>
      <c r="AU181" s="213"/>
      <c r="AV181" s="213"/>
      <c r="AW181" s="213"/>
      <c r="AX181" s="213"/>
      <c r="AY181" s="213"/>
      <c r="AZ181" s="213"/>
      <c r="BA181" s="213"/>
      <c r="BB181" s="213"/>
    </row>
    <row r="182" ht="12.75" customHeight="1" outlineLevel="1">
      <c r="A182" s="214">
        <v>27.0</v>
      </c>
      <c r="B182" s="215" t="s">
        <v>340</v>
      </c>
      <c r="C182" s="216" t="s">
        <v>341</v>
      </c>
      <c r="D182" s="217" t="s">
        <v>342</v>
      </c>
      <c r="E182" s="218">
        <v>33.33</v>
      </c>
      <c r="F182" s="219">
        <v>135.7</v>
      </c>
      <c r="G182" s="220">
        <f>ROUND(E182*F182,2)</f>
        <v>4522.88</v>
      </c>
      <c r="H182" s="211"/>
      <c r="I182" s="212">
        <f>ROUND(E182*H182,2)</f>
        <v>0</v>
      </c>
      <c r="J182" s="211"/>
      <c r="K182" s="212">
        <f>ROUND(E182*J182,2)</f>
        <v>0</v>
      </c>
      <c r="L182" s="212">
        <v>21.0</v>
      </c>
      <c r="M182" s="212">
        <f>G182*(1+L182/100)</f>
        <v>5472.6848</v>
      </c>
      <c r="N182" s="212">
        <v>0.001</v>
      </c>
      <c r="O182" s="212">
        <f>ROUND(E182*N182,2)</f>
        <v>0.03</v>
      </c>
      <c r="P182" s="212">
        <v>0.0</v>
      </c>
      <c r="Q182" s="212">
        <f>ROUND(E182*P182,2)</f>
        <v>0</v>
      </c>
      <c r="R182" s="212" t="s">
        <v>322</v>
      </c>
      <c r="S182" s="212" t="s">
        <v>184</v>
      </c>
      <c r="T182" s="212" t="s">
        <v>184</v>
      </c>
      <c r="U182" s="212">
        <v>0.0</v>
      </c>
      <c r="V182" s="212">
        <f>ROUND(E182*U182,2)</f>
        <v>0</v>
      </c>
      <c r="W182" s="212"/>
      <c r="X182" s="212" t="s">
        <v>323</v>
      </c>
      <c r="Y182" s="213"/>
      <c r="Z182" s="213"/>
      <c r="AA182" s="213"/>
      <c r="AB182" s="213"/>
      <c r="AC182" s="213"/>
      <c r="AD182" s="213"/>
      <c r="AE182" s="213"/>
      <c r="AF182" s="213"/>
      <c r="AG182" s="213" t="s">
        <v>324</v>
      </c>
      <c r="AH182" s="213"/>
      <c r="AI182" s="213"/>
      <c r="AJ182" s="213"/>
      <c r="AK182" s="213"/>
      <c r="AL182" s="213"/>
      <c r="AM182" s="213"/>
      <c r="AN182" s="213"/>
      <c r="AO182" s="213"/>
      <c r="AP182" s="213"/>
      <c r="AQ182" s="213"/>
      <c r="AR182" s="213"/>
      <c r="AS182" s="213"/>
      <c r="AT182" s="213"/>
      <c r="AU182" s="213"/>
      <c r="AV182" s="213"/>
      <c r="AW182" s="213"/>
      <c r="AX182" s="213"/>
      <c r="AY182" s="213"/>
      <c r="AZ182" s="213"/>
      <c r="BA182" s="213"/>
      <c r="BB182" s="213"/>
    </row>
    <row r="183" ht="12.75" customHeight="1" outlineLevel="1">
      <c r="A183" s="235"/>
      <c r="B183" s="236"/>
      <c r="C183" s="237" t="s">
        <v>329</v>
      </c>
      <c r="D183" s="238"/>
      <c r="E183" s="239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3"/>
      <c r="Z183" s="213"/>
      <c r="AA183" s="213"/>
      <c r="AB183" s="213"/>
      <c r="AC183" s="213"/>
      <c r="AD183" s="213"/>
      <c r="AE183" s="213"/>
      <c r="AF183" s="213"/>
      <c r="AG183" s="213" t="s">
        <v>228</v>
      </c>
      <c r="AH183" s="213">
        <v>0.0</v>
      </c>
      <c r="AI183" s="213"/>
      <c r="AJ183" s="213"/>
      <c r="AK183" s="213"/>
      <c r="AL183" s="213"/>
      <c r="AM183" s="213"/>
      <c r="AN183" s="213"/>
      <c r="AO183" s="213"/>
      <c r="AP183" s="213"/>
      <c r="AQ183" s="213"/>
      <c r="AR183" s="213"/>
      <c r="AS183" s="213"/>
      <c r="AT183" s="213"/>
      <c r="AU183" s="213"/>
      <c r="AV183" s="213"/>
      <c r="AW183" s="213"/>
      <c r="AX183" s="213"/>
      <c r="AY183" s="213"/>
      <c r="AZ183" s="213"/>
      <c r="BA183" s="213"/>
      <c r="BB183" s="213"/>
    </row>
    <row r="184" ht="12.75" customHeight="1" outlineLevel="1">
      <c r="A184" s="235"/>
      <c r="B184" s="236"/>
      <c r="C184" s="240" t="s">
        <v>236</v>
      </c>
      <c r="D184" s="241"/>
      <c r="E184" s="24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3"/>
      <c r="Z184" s="213"/>
      <c r="AA184" s="213"/>
      <c r="AB184" s="213"/>
      <c r="AC184" s="213"/>
      <c r="AD184" s="213"/>
      <c r="AE184" s="213"/>
      <c r="AF184" s="213"/>
      <c r="AG184" s="213" t="s">
        <v>228</v>
      </c>
      <c r="AH184" s="213"/>
      <c r="AI184" s="213"/>
      <c r="AJ184" s="213"/>
      <c r="AK184" s="213"/>
      <c r="AL184" s="213"/>
      <c r="AM184" s="213"/>
      <c r="AN184" s="213"/>
      <c r="AO184" s="213"/>
      <c r="AP184" s="213"/>
      <c r="AQ184" s="213"/>
      <c r="AR184" s="213"/>
      <c r="AS184" s="213"/>
      <c r="AT184" s="213"/>
      <c r="AU184" s="213"/>
      <c r="AV184" s="213"/>
      <c r="AW184" s="213"/>
      <c r="AX184" s="213"/>
      <c r="AY184" s="213"/>
      <c r="AZ184" s="213"/>
      <c r="BA184" s="213"/>
      <c r="BB184" s="213"/>
    </row>
    <row r="185" ht="12.75" customHeight="1" outlineLevel="1">
      <c r="A185" s="235"/>
      <c r="B185" s="236"/>
      <c r="C185" s="243" t="s">
        <v>343</v>
      </c>
      <c r="D185" s="241"/>
      <c r="E185" s="242">
        <v>600.0</v>
      </c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3"/>
      <c r="Z185" s="213"/>
      <c r="AA185" s="213"/>
      <c r="AB185" s="213"/>
      <c r="AC185" s="213"/>
      <c r="AD185" s="213"/>
      <c r="AE185" s="213"/>
      <c r="AF185" s="213"/>
      <c r="AG185" s="213" t="s">
        <v>228</v>
      </c>
      <c r="AH185" s="213">
        <v>2.0</v>
      </c>
      <c r="AI185" s="213"/>
      <c r="AJ185" s="213"/>
      <c r="AK185" s="213"/>
      <c r="AL185" s="213"/>
      <c r="AM185" s="213"/>
      <c r="AN185" s="213"/>
      <c r="AO185" s="213"/>
      <c r="AP185" s="213"/>
      <c r="AQ185" s="213"/>
      <c r="AR185" s="213"/>
      <c r="AS185" s="213"/>
      <c r="AT185" s="213"/>
      <c r="AU185" s="213"/>
      <c r="AV185" s="213"/>
      <c r="AW185" s="213"/>
      <c r="AX185" s="213"/>
      <c r="AY185" s="213"/>
      <c r="AZ185" s="213"/>
      <c r="BA185" s="213"/>
      <c r="BB185" s="213"/>
    </row>
    <row r="186" ht="12.75" customHeight="1" outlineLevel="1">
      <c r="A186" s="235"/>
      <c r="B186" s="236"/>
      <c r="C186" s="240" t="s">
        <v>238</v>
      </c>
      <c r="D186" s="241"/>
      <c r="E186" s="24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3"/>
      <c r="Z186" s="213"/>
      <c r="AA186" s="213"/>
      <c r="AB186" s="213"/>
      <c r="AC186" s="213"/>
      <c r="AD186" s="213"/>
      <c r="AE186" s="213"/>
      <c r="AF186" s="213"/>
      <c r="AG186" s="213" t="s">
        <v>228</v>
      </c>
      <c r="AH186" s="213"/>
      <c r="AI186" s="213"/>
      <c r="AJ186" s="213"/>
      <c r="AK186" s="213"/>
      <c r="AL186" s="213"/>
      <c r="AM186" s="213"/>
      <c r="AN186" s="213"/>
      <c r="AO186" s="213"/>
      <c r="AP186" s="213"/>
      <c r="AQ186" s="213"/>
      <c r="AR186" s="213"/>
      <c r="AS186" s="213"/>
      <c r="AT186" s="213"/>
      <c r="AU186" s="213"/>
      <c r="AV186" s="213"/>
      <c r="AW186" s="213"/>
      <c r="AX186" s="213"/>
      <c r="AY186" s="213"/>
      <c r="AZ186" s="213"/>
      <c r="BA186" s="213"/>
      <c r="BB186" s="213"/>
    </row>
    <row r="187" ht="12.75" customHeight="1" outlineLevel="1">
      <c r="A187" s="235"/>
      <c r="B187" s="236"/>
      <c r="C187" s="237" t="s">
        <v>344</v>
      </c>
      <c r="D187" s="238"/>
      <c r="E187" s="239">
        <v>33.0</v>
      </c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3"/>
      <c r="Z187" s="213"/>
      <c r="AA187" s="213"/>
      <c r="AB187" s="213"/>
      <c r="AC187" s="213"/>
      <c r="AD187" s="213"/>
      <c r="AE187" s="213"/>
      <c r="AF187" s="213"/>
      <c r="AG187" s="213" t="s">
        <v>228</v>
      </c>
      <c r="AH187" s="213">
        <v>0.0</v>
      </c>
      <c r="AI187" s="213"/>
      <c r="AJ187" s="213"/>
      <c r="AK187" s="213"/>
      <c r="AL187" s="213"/>
      <c r="AM187" s="213"/>
      <c r="AN187" s="213"/>
      <c r="AO187" s="213"/>
      <c r="AP187" s="213"/>
      <c r="AQ187" s="213"/>
      <c r="AR187" s="213"/>
      <c r="AS187" s="213"/>
      <c r="AT187" s="213"/>
      <c r="AU187" s="213"/>
      <c r="AV187" s="213"/>
      <c r="AW187" s="213"/>
      <c r="AX187" s="213"/>
      <c r="AY187" s="213"/>
      <c r="AZ187" s="213"/>
      <c r="BA187" s="213"/>
      <c r="BB187" s="213"/>
    </row>
    <row r="188" ht="12.75" customHeight="1" outlineLevel="1">
      <c r="A188" s="235"/>
      <c r="B188" s="236"/>
      <c r="C188" s="237" t="s">
        <v>246</v>
      </c>
      <c r="D188" s="238"/>
      <c r="E188" s="239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3"/>
      <c r="Z188" s="213"/>
      <c r="AA188" s="213"/>
      <c r="AB188" s="213"/>
      <c r="AC188" s="213"/>
      <c r="AD188" s="213"/>
      <c r="AE188" s="213"/>
      <c r="AF188" s="213"/>
      <c r="AG188" s="213" t="s">
        <v>228</v>
      </c>
      <c r="AH188" s="213">
        <v>0.0</v>
      </c>
      <c r="AI188" s="213"/>
      <c r="AJ188" s="213"/>
      <c r="AK188" s="213"/>
      <c r="AL188" s="213"/>
      <c r="AM188" s="213"/>
      <c r="AN188" s="213"/>
      <c r="AO188" s="213"/>
      <c r="AP188" s="213"/>
      <c r="AQ188" s="213"/>
      <c r="AR188" s="213"/>
      <c r="AS188" s="213"/>
      <c r="AT188" s="213"/>
      <c r="AU188" s="213"/>
      <c r="AV188" s="213"/>
      <c r="AW188" s="213"/>
      <c r="AX188" s="213"/>
      <c r="AY188" s="213"/>
      <c r="AZ188" s="213"/>
      <c r="BA188" s="213"/>
      <c r="BB188" s="213"/>
    </row>
    <row r="189" ht="12.75" customHeight="1" outlineLevel="1">
      <c r="A189" s="235"/>
      <c r="B189" s="236"/>
      <c r="C189" s="237" t="s">
        <v>331</v>
      </c>
      <c r="D189" s="238"/>
      <c r="E189" s="239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3"/>
      <c r="Z189" s="213"/>
      <c r="AA189" s="213"/>
      <c r="AB189" s="213"/>
      <c r="AC189" s="213"/>
      <c r="AD189" s="213"/>
      <c r="AE189" s="213"/>
      <c r="AF189" s="213"/>
      <c r="AG189" s="213" t="s">
        <v>228</v>
      </c>
      <c r="AH189" s="213">
        <v>0.0</v>
      </c>
      <c r="AI189" s="213"/>
      <c r="AJ189" s="213"/>
      <c r="AK189" s="213"/>
      <c r="AL189" s="213"/>
      <c r="AM189" s="213"/>
      <c r="AN189" s="213"/>
      <c r="AO189" s="213"/>
      <c r="AP189" s="213"/>
      <c r="AQ189" s="213"/>
      <c r="AR189" s="213"/>
      <c r="AS189" s="213"/>
      <c r="AT189" s="213"/>
      <c r="AU189" s="213"/>
      <c r="AV189" s="213"/>
      <c r="AW189" s="213"/>
      <c r="AX189" s="213"/>
      <c r="AY189" s="213"/>
      <c r="AZ189" s="213"/>
      <c r="BA189" s="213"/>
      <c r="BB189" s="213"/>
    </row>
    <row r="190" ht="12.75" customHeight="1" outlineLevel="1">
      <c r="A190" s="235"/>
      <c r="B190" s="236"/>
      <c r="C190" s="240" t="s">
        <v>236</v>
      </c>
      <c r="D190" s="241"/>
      <c r="E190" s="24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3"/>
      <c r="Z190" s="213"/>
      <c r="AA190" s="213"/>
      <c r="AB190" s="213"/>
      <c r="AC190" s="213"/>
      <c r="AD190" s="213"/>
      <c r="AE190" s="213"/>
      <c r="AF190" s="213"/>
      <c r="AG190" s="213" t="s">
        <v>228</v>
      </c>
      <c r="AH190" s="213"/>
      <c r="AI190" s="213"/>
      <c r="AJ190" s="213"/>
      <c r="AK190" s="213"/>
      <c r="AL190" s="213"/>
      <c r="AM190" s="213"/>
      <c r="AN190" s="213"/>
      <c r="AO190" s="213"/>
      <c r="AP190" s="213"/>
      <c r="AQ190" s="213"/>
      <c r="AR190" s="213"/>
      <c r="AS190" s="213"/>
      <c r="AT190" s="213"/>
      <c r="AU190" s="213"/>
      <c r="AV190" s="213"/>
      <c r="AW190" s="213"/>
      <c r="AX190" s="213"/>
      <c r="AY190" s="213"/>
      <c r="AZ190" s="213"/>
      <c r="BA190" s="213"/>
      <c r="BB190" s="213"/>
    </row>
    <row r="191" ht="12.75" customHeight="1" outlineLevel="1">
      <c r="A191" s="235"/>
      <c r="B191" s="236"/>
      <c r="C191" s="243" t="s">
        <v>345</v>
      </c>
      <c r="D191" s="241"/>
      <c r="E191" s="242">
        <v>6.0</v>
      </c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3"/>
      <c r="Z191" s="213"/>
      <c r="AA191" s="213"/>
      <c r="AB191" s="213"/>
      <c r="AC191" s="213"/>
      <c r="AD191" s="213"/>
      <c r="AE191" s="213"/>
      <c r="AF191" s="213"/>
      <c r="AG191" s="213" t="s">
        <v>228</v>
      </c>
      <c r="AH191" s="213">
        <v>2.0</v>
      </c>
      <c r="AI191" s="213"/>
      <c r="AJ191" s="213"/>
      <c r="AK191" s="213"/>
      <c r="AL191" s="213"/>
      <c r="AM191" s="213"/>
      <c r="AN191" s="213"/>
      <c r="AO191" s="213"/>
      <c r="AP191" s="213"/>
      <c r="AQ191" s="213"/>
      <c r="AR191" s="213"/>
      <c r="AS191" s="213"/>
      <c r="AT191" s="213"/>
      <c r="AU191" s="213"/>
      <c r="AV191" s="213"/>
      <c r="AW191" s="213"/>
      <c r="AX191" s="213"/>
      <c r="AY191" s="213"/>
      <c r="AZ191" s="213"/>
      <c r="BA191" s="213"/>
      <c r="BB191" s="213"/>
    </row>
    <row r="192" ht="12.75" customHeight="1" outlineLevel="1">
      <c r="A192" s="235"/>
      <c r="B192" s="236"/>
      <c r="C192" s="240" t="s">
        <v>238</v>
      </c>
      <c r="D192" s="241"/>
      <c r="E192" s="24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3"/>
      <c r="Z192" s="213"/>
      <c r="AA192" s="213"/>
      <c r="AB192" s="213"/>
      <c r="AC192" s="213"/>
      <c r="AD192" s="213"/>
      <c r="AE192" s="213"/>
      <c r="AF192" s="213"/>
      <c r="AG192" s="213" t="s">
        <v>228</v>
      </c>
      <c r="AH192" s="213"/>
      <c r="AI192" s="213"/>
      <c r="AJ192" s="213"/>
      <c r="AK192" s="213"/>
      <c r="AL192" s="213"/>
      <c r="AM192" s="213"/>
      <c r="AN192" s="213"/>
      <c r="AO192" s="213"/>
      <c r="AP192" s="213"/>
      <c r="AQ192" s="213"/>
      <c r="AR192" s="213"/>
      <c r="AS192" s="213"/>
      <c r="AT192" s="213"/>
      <c r="AU192" s="213"/>
      <c r="AV192" s="213"/>
      <c r="AW192" s="213"/>
      <c r="AX192" s="213"/>
      <c r="AY192" s="213"/>
      <c r="AZ192" s="213"/>
      <c r="BA192" s="213"/>
      <c r="BB192" s="213"/>
    </row>
    <row r="193" ht="12.75" customHeight="1" outlineLevel="1">
      <c r="A193" s="235"/>
      <c r="B193" s="236"/>
      <c r="C193" s="237" t="s">
        <v>346</v>
      </c>
      <c r="D193" s="238"/>
      <c r="E193" s="239">
        <v>0.33</v>
      </c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3"/>
      <c r="Z193" s="213"/>
      <c r="AA193" s="213"/>
      <c r="AB193" s="213"/>
      <c r="AC193" s="213"/>
      <c r="AD193" s="213"/>
      <c r="AE193" s="213"/>
      <c r="AF193" s="213"/>
      <c r="AG193" s="213" t="s">
        <v>228</v>
      </c>
      <c r="AH193" s="213">
        <v>0.0</v>
      </c>
      <c r="AI193" s="213"/>
      <c r="AJ193" s="213"/>
      <c r="AK193" s="213"/>
      <c r="AL193" s="213"/>
      <c r="AM193" s="213"/>
      <c r="AN193" s="213"/>
      <c r="AO193" s="213"/>
      <c r="AP193" s="213"/>
      <c r="AQ193" s="213"/>
      <c r="AR193" s="213"/>
      <c r="AS193" s="213"/>
      <c r="AT193" s="213"/>
      <c r="AU193" s="213"/>
      <c r="AV193" s="213"/>
      <c r="AW193" s="213"/>
      <c r="AX193" s="213"/>
      <c r="AY193" s="213"/>
      <c r="AZ193" s="213"/>
      <c r="BA193" s="213"/>
      <c r="BB193" s="213"/>
    </row>
    <row r="194" ht="12.75" customHeight="1">
      <c r="A194" s="196" t="s">
        <v>173</v>
      </c>
      <c r="B194" s="197" t="s">
        <v>100</v>
      </c>
      <c r="C194" s="198" t="s">
        <v>101</v>
      </c>
      <c r="D194" s="199"/>
      <c r="E194" s="200"/>
      <c r="F194" s="201"/>
      <c r="G194" s="202">
        <f>SUMIF(AG195:AG197,"&lt;&gt;NOR",G195:G197)</f>
        <v>43658.78</v>
      </c>
      <c r="H194" s="203"/>
      <c r="I194" s="203">
        <f>SUM(I195:I197)</f>
        <v>0</v>
      </c>
      <c r="J194" s="203"/>
      <c r="K194" s="203">
        <f>SUM(K195:K197)</f>
        <v>0</v>
      </c>
      <c r="L194" s="203"/>
      <c r="M194" s="203">
        <f>SUM(M195:M197)</f>
        <v>52827.1238</v>
      </c>
      <c r="N194" s="203"/>
      <c r="O194" s="203">
        <f>SUM(O195:O197)</f>
        <v>48.91</v>
      </c>
      <c r="P194" s="203"/>
      <c r="Q194" s="203">
        <f>SUM(Q195:Q197)</f>
        <v>0</v>
      </c>
      <c r="R194" s="203"/>
      <c r="S194" s="203"/>
      <c r="T194" s="203"/>
      <c r="U194" s="203"/>
      <c r="V194" s="203">
        <f>SUM(V195:V197)</f>
        <v>73.22</v>
      </c>
      <c r="W194" s="203"/>
      <c r="X194" s="203"/>
      <c r="AG194" s="184" t="s">
        <v>174</v>
      </c>
    </row>
    <row r="195" ht="12.75" customHeight="1" outlineLevel="1">
      <c r="A195" s="214">
        <v>28.0</v>
      </c>
      <c r="B195" s="215" t="s">
        <v>347</v>
      </c>
      <c r="C195" s="216" t="s">
        <v>348</v>
      </c>
      <c r="D195" s="217" t="s">
        <v>234</v>
      </c>
      <c r="E195" s="218">
        <v>43.197</v>
      </c>
      <c r="F195" s="219">
        <v>1010.69</v>
      </c>
      <c r="G195" s="220">
        <f>ROUND(E195*F195,2)</f>
        <v>43658.78</v>
      </c>
      <c r="H195" s="211"/>
      <c r="I195" s="212">
        <f>ROUND(E195*H195,2)</f>
        <v>0</v>
      </c>
      <c r="J195" s="211"/>
      <c r="K195" s="212">
        <f>ROUND(E195*J195,2)</f>
        <v>0</v>
      </c>
      <c r="L195" s="212">
        <v>21.0</v>
      </c>
      <c r="M195" s="212">
        <f>G195*(1+L195/100)</f>
        <v>52827.1238</v>
      </c>
      <c r="N195" s="212">
        <v>1.1322</v>
      </c>
      <c r="O195" s="212">
        <f>ROUND(E195*N195,2)</f>
        <v>48.91</v>
      </c>
      <c r="P195" s="212">
        <v>0.0</v>
      </c>
      <c r="Q195" s="212">
        <f>ROUND(E195*P195,2)</f>
        <v>0</v>
      </c>
      <c r="R195" s="212"/>
      <c r="S195" s="212" t="s">
        <v>184</v>
      </c>
      <c r="T195" s="212" t="s">
        <v>184</v>
      </c>
      <c r="U195" s="212">
        <v>1.695</v>
      </c>
      <c r="V195" s="212">
        <f>ROUND(E195*U195,2)</f>
        <v>73.22</v>
      </c>
      <c r="W195" s="212"/>
      <c r="X195" s="212" t="s">
        <v>225</v>
      </c>
      <c r="Y195" s="213"/>
      <c r="Z195" s="213"/>
      <c r="AA195" s="213"/>
      <c r="AB195" s="213"/>
      <c r="AC195" s="213"/>
      <c r="AD195" s="213"/>
      <c r="AE195" s="213"/>
      <c r="AF195" s="213"/>
      <c r="AG195" s="213" t="s">
        <v>226</v>
      </c>
      <c r="AH195" s="213"/>
      <c r="AI195" s="213"/>
      <c r="AJ195" s="213"/>
      <c r="AK195" s="213"/>
      <c r="AL195" s="213"/>
      <c r="AM195" s="213"/>
      <c r="AN195" s="213"/>
      <c r="AO195" s="213"/>
      <c r="AP195" s="213"/>
      <c r="AQ195" s="213"/>
      <c r="AR195" s="213"/>
      <c r="AS195" s="213"/>
      <c r="AT195" s="213"/>
      <c r="AU195" s="213"/>
      <c r="AV195" s="213"/>
      <c r="AW195" s="213"/>
      <c r="AX195" s="213"/>
      <c r="AY195" s="213"/>
      <c r="AZ195" s="213"/>
      <c r="BA195" s="213"/>
      <c r="BB195" s="213"/>
    </row>
    <row r="196" ht="12.75" customHeight="1" outlineLevel="1">
      <c r="A196" s="235"/>
      <c r="B196" s="236"/>
      <c r="C196" s="237" t="s">
        <v>235</v>
      </c>
      <c r="D196" s="238"/>
      <c r="E196" s="239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3"/>
      <c r="Z196" s="213"/>
      <c r="AA196" s="213"/>
      <c r="AB196" s="213"/>
      <c r="AC196" s="213"/>
      <c r="AD196" s="213"/>
      <c r="AE196" s="213"/>
      <c r="AF196" s="213"/>
      <c r="AG196" s="213" t="s">
        <v>228</v>
      </c>
      <c r="AH196" s="213">
        <v>0.0</v>
      </c>
      <c r="AI196" s="213"/>
      <c r="AJ196" s="213"/>
      <c r="AK196" s="213"/>
      <c r="AL196" s="213"/>
      <c r="AM196" s="213"/>
      <c r="AN196" s="213"/>
      <c r="AO196" s="213"/>
      <c r="AP196" s="213"/>
      <c r="AQ196" s="213"/>
      <c r="AR196" s="213"/>
      <c r="AS196" s="213"/>
      <c r="AT196" s="213"/>
      <c r="AU196" s="213"/>
      <c r="AV196" s="213"/>
      <c r="AW196" s="213"/>
      <c r="AX196" s="213"/>
      <c r="AY196" s="213"/>
      <c r="AZ196" s="213"/>
      <c r="BA196" s="213"/>
      <c r="BB196" s="213"/>
    </row>
    <row r="197" ht="12.75" customHeight="1" outlineLevel="1">
      <c r="A197" s="235"/>
      <c r="B197" s="236"/>
      <c r="C197" s="237" t="s">
        <v>349</v>
      </c>
      <c r="D197" s="238"/>
      <c r="E197" s="239">
        <v>43.2</v>
      </c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3"/>
      <c r="Z197" s="213"/>
      <c r="AA197" s="213"/>
      <c r="AB197" s="213"/>
      <c r="AC197" s="213"/>
      <c r="AD197" s="213"/>
      <c r="AE197" s="213"/>
      <c r="AF197" s="213"/>
      <c r="AG197" s="213" t="s">
        <v>228</v>
      </c>
      <c r="AH197" s="213">
        <v>0.0</v>
      </c>
      <c r="AI197" s="213"/>
      <c r="AJ197" s="213"/>
      <c r="AK197" s="213"/>
      <c r="AL197" s="213"/>
      <c r="AM197" s="213"/>
      <c r="AN197" s="213"/>
      <c r="AO197" s="213"/>
      <c r="AP197" s="213"/>
      <c r="AQ197" s="213"/>
      <c r="AR197" s="213"/>
      <c r="AS197" s="213"/>
      <c r="AT197" s="213"/>
      <c r="AU197" s="213"/>
      <c r="AV197" s="213"/>
      <c r="AW197" s="213"/>
      <c r="AX197" s="213"/>
      <c r="AY197" s="213"/>
      <c r="AZ197" s="213"/>
      <c r="BA197" s="213"/>
      <c r="BB197" s="213"/>
    </row>
    <row r="198" ht="12.75" customHeight="1">
      <c r="A198" s="196" t="s">
        <v>173</v>
      </c>
      <c r="B198" s="197" t="s">
        <v>102</v>
      </c>
      <c r="C198" s="198" t="s">
        <v>103</v>
      </c>
      <c r="D198" s="199"/>
      <c r="E198" s="200"/>
      <c r="F198" s="201"/>
      <c r="G198" s="202">
        <f>SUMIF(AG199:AG237,"&lt;&gt;NOR",G199:G237)</f>
        <v>46953.76</v>
      </c>
      <c r="H198" s="203"/>
      <c r="I198" s="203">
        <f>SUM(I199:I237)</f>
        <v>0</v>
      </c>
      <c r="J198" s="203"/>
      <c r="K198" s="203">
        <f>SUM(K199:K237)</f>
        <v>0</v>
      </c>
      <c r="L198" s="203"/>
      <c r="M198" s="203">
        <f>SUM(M199:M237)</f>
        <v>56814.0496</v>
      </c>
      <c r="N198" s="203"/>
      <c r="O198" s="203">
        <f>SUM(O199:O237)</f>
        <v>21.79</v>
      </c>
      <c r="P198" s="203"/>
      <c r="Q198" s="203">
        <f>SUM(Q199:Q237)</f>
        <v>0</v>
      </c>
      <c r="R198" s="203"/>
      <c r="S198" s="203"/>
      <c r="T198" s="203"/>
      <c r="U198" s="203"/>
      <c r="V198" s="203">
        <f>SUM(V199:V237)</f>
        <v>6.63</v>
      </c>
      <c r="W198" s="203"/>
      <c r="X198" s="203"/>
      <c r="AG198" s="184" t="s">
        <v>174</v>
      </c>
    </row>
    <row r="199" ht="12.75" customHeight="1" outlineLevel="1">
      <c r="A199" s="214">
        <v>29.0</v>
      </c>
      <c r="B199" s="215" t="s">
        <v>350</v>
      </c>
      <c r="C199" s="216" t="s">
        <v>351</v>
      </c>
      <c r="D199" s="217" t="s">
        <v>224</v>
      </c>
      <c r="E199" s="218">
        <v>6.0</v>
      </c>
      <c r="F199" s="219">
        <v>95.0</v>
      </c>
      <c r="G199" s="220">
        <f>ROUND(E199*F199,2)</f>
        <v>570</v>
      </c>
      <c r="H199" s="211"/>
      <c r="I199" s="212">
        <f>ROUND(E199*H199,2)</f>
        <v>0</v>
      </c>
      <c r="J199" s="211"/>
      <c r="K199" s="212">
        <f>ROUND(E199*J199,2)</f>
        <v>0</v>
      </c>
      <c r="L199" s="212">
        <v>21.0</v>
      </c>
      <c r="M199" s="212">
        <f>G199*(1+L199/100)</f>
        <v>689.7</v>
      </c>
      <c r="N199" s="212">
        <v>0.2024</v>
      </c>
      <c r="O199" s="212">
        <f>ROUND(E199*N199,2)</f>
        <v>1.21</v>
      </c>
      <c r="P199" s="212">
        <v>0.0</v>
      </c>
      <c r="Q199" s="212">
        <f>ROUND(E199*P199,2)</f>
        <v>0</v>
      </c>
      <c r="R199" s="212"/>
      <c r="S199" s="212" t="s">
        <v>184</v>
      </c>
      <c r="T199" s="212" t="s">
        <v>184</v>
      </c>
      <c r="U199" s="212">
        <v>0.026</v>
      </c>
      <c r="V199" s="212">
        <f>ROUND(E199*U199,2)</f>
        <v>0.16</v>
      </c>
      <c r="W199" s="212"/>
      <c r="X199" s="212" t="s">
        <v>225</v>
      </c>
      <c r="Y199" s="213"/>
      <c r="Z199" s="213"/>
      <c r="AA199" s="213"/>
      <c r="AB199" s="213"/>
      <c r="AC199" s="213"/>
      <c r="AD199" s="213"/>
      <c r="AE199" s="213"/>
      <c r="AF199" s="213"/>
      <c r="AG199" s="213" t="s">
        <v>226</v>
      </c>
      <c r="AH199" s="213"/>
      <c r="AI199" s="213"/>
      <c r="AJ199" s="213"/>
      <c r="AK199" s="213"/>
      <c r="AL199" s="213"/>
      <c r="AM199" s="213"/>
      <c r="AN199" s="213"/>
      <c r="AO199" s="213"/>
      <c r="AP199" s="213"/>
      <c r="AQ199" s="213"/>
      <c r="AR199" s="213"/>
      <c r="AS199" s="213"/>
      <c r="AT199" s="213"/>
      <c r="AU199" s="213"/>
      <c r="AV199" s="213"/>
      <c r="AW199" s="213"/>
      <c r="AX199" s="213"/>
      <c r="AY199" s="213"/>
      <c r="AZ199" s="213"/>
      <c r="BA199" s="213"/>
      <c r="BB199" s="213"/>
    </row>
    <row r="200" ht="12.75" customHeight="1" outlineLevel="1">
      <c r="A200" s="235"/>
      <c r="B200" s="236"/>
      <c r="C200" s="237" t="s">
        <v>242</v>
      </c>
      <c r="D200" s="238"/>
      <c r="E200" s="239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3"/>
      <c r="Z200" s="213"/>
      <c r="AA200" s="213"/>
      <c r="AB200" s="213"/>
      <c r="AC200" s="213"/>
      <c r="AD200" s="213"/>
      <c r="AE200" s="213"/>
      <c r="AF200" s="213"/>
      <c r="AG200" s="213" t="s">
        <v>228</v>
      </c>
      <c r="AH200" s="213">
        <v>0.0</v>
      </c>
      <c r="AI200" s="213"/>
      <c r="AJ200" s="213"/>
      <c r="AK200" s="213"/>
      <c r="AL200" s="213"/>
      <c r="AM200" s="213"/>
      <c r="AN200" s="213"/>
      <c r="AO200" s="213"/>
      <c r="AP200" s="213"/>
      <c r="AQ200" s="213"/>
      <c r="AR200" s="213"/>
      <c r="AS200" s="213"/>
      <c r="AT200" s="213"/>
      <c r="AU200" s="213"/>
      <c r="AV200" s="213"/>
      <c r="AW200" s="213"/>
      <c r="AX200" s="213"/>
      <c r="AY200" s="213"/>
      <c r="AZ200" s="213"/>
      <c r="BA200" s="213"/>
      <c r="BB200" s="213"/>
    </row>
    <row r="201" ht="12.75" customHeight="1" outlineLevel="1">
      <c r="A201" s="235"/>
      <c r="B201" s="236"/>
      <c r="C201" s="237" t="s">
        <v>243</v>
      </c>
      <c r="D201" s="238"/>
      <c r="E201" s="239">
        <v>3.0</v>
      </c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3"/>
      <c r="AA201" s="213"/>
      <c r="AB201" s="213"/>
      <c r="AC201" s="213"/>
      <c r="AD201" s="213"/>
      <c r="AE201" s="213"/>
      <c r="AF201" s="213"/>
      <c r="AG201" s="213" t="s">
        <v>228</v>
      </c>
      <c r="AH201" s="213">
        <v>0.0</v>
      </c>
      <c r="AI201" s="213"/>
      <c r="AJ201" s="213"/>
      <c r="AK201" s="213"/>
      <c r="AL201" s="213"/>
      <c r="AM201" s="213"/>
      <c r="AN201" s="213"/>
      <c r="AO201" s="213"/>
      <c r="AP201" s="213"/>
      <c r="AQ201" s="213"/>
      <c r="AR201" s="213"/>
      <c r="AS201" s="213"/>
      <c r="AT201" s="213"/>
      <c r="AU201" s="213"/>
      <c r="AV201" s="213"/>
      <c r="AW201" s="213"/>
      <c r="AX201" s="213"/>
      <c r="AY201" s="213"/>
      <c r="AZ201" s="213"/>
      <c r="BA201" s="213"/>
      <c r="BB201" s="213"/>
    </row>
    <row r="202" ht="12.75" customHeight="1" outlineLevel="1">
      <c r="A202" s="235"/>
      <c r="B202" s="236"/>
      <c r="C202" s="237" t="s">
        <v>243</v>
      </c>
      <c r="D202" s="238"/>
      <c r="E202" s="239">
        <v>3.0</v>
      </c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3"/>
      <c r="AA202" s="213"/>
      <c r="AB202" s="213"/>
      <c r="AC202" s="213"/>
      <c r="AD202" s="213"/>
      <c r="AE202" s="213"/>
      <c r="AF202" s="213"/>
      <c r="AG202" s="213" t="s">
        <v>228</v>
      </c>
      <c r="AH202" s="213">
        <v>0.0</v>
      </c>
      <c r="AI202" s="213"/>
      <c r="AJ202" s="213"/>
      <c r="AK202" s="213"/>
      <c r="AL202" s="213"/>
      <c r="AM202" s="213"/>
      <c r="AN202" s="213"/>
      <c r="AO202" s="213"/>
      <c r="AP202" s="213"/>
      <c r="AQ202" s="213"/>
      <c r="AR202" s="213"/>
      <c r="AS202" s="213"/>
      <c r="AT202" s="213"/>
      <c r="AU202" s="213"/>
      <c r="AV202" s="213"/>
      <c r="AW202" s="213"/>
      <c r="AX202" s="213"/>
      <c r="AY202" s="213"/>
      <c r="AZ202" s="213"/>
      <c r="BA202" s="213"/>
      <c r="BB202" s="213"/>
    </row>
    <row r="203" ht="12.75" customHeight="1" outlineLevel="1">
      <c r="A203" s="214">
        <v>30.0</v>
      </c>
      <c r="B203" s="215" t="s">
        <v>352</v>
      </c>
      <c r="C203" s="216" t="s">
        <v>353</v>
      </c>
      <c r="D203" s="217" t="s">
        <v>224</v>
      </c>
      <c r="E203" s="218">
        <v>34.5</v>
      </c>
      <c r="F203" s="219">
        <v>244.5</v>
      </c>
      <c r="G203" s="220">
        <f>ROUND(E203*F203,2)</f>
        <v>8435.25</v>
      </c>
      <c r="H203" s="211"/>
      <c r="I203" s="212">
        <f>ROUND(E203*H203,2)</f>
        <v>0</v>
      </c>
      <c r="J203" s="211"/>
      <c r="K203" s="212">
        <f>ROUND(E203*J203,2)</f>
        <v>0</v>
      </c>
      <c r="L203" s="212">
        <v>21.0</v>
      </c>
      <c r="M203" s="212">
        <f>G203*(1+L203/100)</f>
        <v>10206.6525</v>
      </c>
      <c r="N203" s="212">
        <v>0.3708</v>
      </c>
      <c r="O203" s="212">
        <f>ROUND(E203*N203,2)</f>
        <v>12.79</v>
      </c>
      <c r="P203" s="212">
        <v>0.0</v>
      </c>
      <c r="Q203" s="212">
        <f>ROUND(E203*P203,2)</f>
        <v>0</v>
      </c>
      <c r="R203" s="212"/>
      <c r="S203" s="212" t="s">
        <v>184</v>
      </c>
      <c r="T203" s="212" t="s">
        <v>184</v>
      </c>
      <c r="U203" s="212">
        <v>0.029</v>
      </c>
      <c r="V203" s="212">
        <f>ROUND(E203*U203,2)</f>
        <v>1</v>
      </c>
      <c r="W203" s="212"/>
      <c r="X203" s="212" t="s">
        <v>225</v>
      </c>
      <c r="Y203" s="213"/>
      <c r="Z203" s="213"/>
      <c r="AA203" s="213"/>
      <c r="AB203" s="213"/>
      <c r="AC203" s="213"/>
      <c r="AD203" s="213"/>
      <c r="AE203" s="213"/>
      <c r="AF203" s="213"/>
      <c r="AG203" s="213" t="s">
        <v>226</v>
      </c>
      <c r="AH203" s="213"/>
      <c r="AI203" s="213"/>
      <c r="AJ203" s="213"/>
      <c r="AK203" s="213"/>
      <c r="AL203" s="213"/>
      <c r="AM203" s="213"/>
      <c r="AN203" s="213"/>
      <c r="AO203" s="213"/>
      <c r="AP203" s="213"/>
      <c r="AQ203" s="213"/>
      <c r="AR203" s="213"/>
      <c r="AS203" s="213"/>
      <c r="AT203" s="213"/>
      <c r="AU203" s="213"/>
      <c r="AV203" s="213"/>
      <c r="AW203" s="213"/>
      <c r="AX203" s="213"/>
      <c r="AY203" s="213"/>
      <c r="AZ203" s="213"/>
      <c r="BA203" s="213"/>
      <c r="BB203" s="213"/>
    </row>
    <row r="204" ht="12.75" customHeight="1" outlineLevel="1">
      <c r="A204" s="235"/>
      <c r="B204" s="236"/>
      <c r="C204" s="237" t="s">
        <v>242</v>
      </c>
      <c r="D204" s="238"/>
      <c r="E204" s="239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3"/>
      <c r="AA204" s="213"/>
      <c r="AB204" s="213"/>
      <c r="AC204" s="213"/>
      <c r="AD204" s="213"/>
      <c r="AE204" s="213"/>
      <c r="AF204" s="213"/>
      <c r="AG204" s="213" t="s">
        <v>228</v>
      </c>
      <c r="AH204" s="213">
        <v>0.0</v>
      </c>
      <c r="AI204" s="213"/>
      <c r="AJ204" s="213"/>
      <c r="AK204" s="213"/>
      <c r="AL204" s="213"/>
      <c r="AM204" s="213"/>
      <c r="AN204" s="213"/>
      <c r="AO204" s="213"/>
      <c r="AP204" s="213"/>
      <c r="AQ204" s="213"/>
      <c r="AR204" s="213"/>
      <c r="AS204" s="213"/>
      <c r="AT204" s="213"/>
      <c r="AU204" s="213"/>
      <c r="AV204" s="213"/>
      <c r="AW204" s="213"/>
      <c r="AX204" s="213"/>
      <c r="AY204" s="213"/>
      <c r="AZ204" s="213"/>
      <c r="BA204" s="213"/>
      <c r="BB204" s="213"/>
    </row>
    <row r="205" ht="12.75" customHeight="1" outlineLevel="1">
      <c r="A205" s="235"/>
      <c r="B205" s="236"/>
      <c r="C205" s="237" t="s">
        <v>243</v>
      </c>
      <c r="D205" s="238"/>
      <c r="E205" s="239">
        <v>3.0</v>
      </c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3"/>
      <c r="AA205" s="213"/>
      <c r="AB205" s="213"/>
      <c r="AC205" s="213"/>
      <c r="AD205" s="213"/>
      <c r="AE205" s="213"/>
      <c r="AF205" s="213"/>
      <c r="AG205" s="213" t="s">
        <v>228</v>
      </c>
      <c r="AH205" s="213">
        <v>0.0</v>
      </c>
      <c r="AI205" s="213"/>
      <c r="AJ205" s="213"/>
      <c r="AK205" s="213"/>
      <c r="AL205" s="213"/>
      <c r="AM205" s="213"/>
      <c r="AN205" s="213"/>
      <c r="AO205" s="213"/>
      <c r="AP205" s="213"/>
      <c r="AQ205" s="213"/>
      <c r="AR205" s="213"/>
      <c r="AS205" s="213"/>
      <c r="AT205" s="213"/>
      <c r="AU205" s="213"/>
      <c r="AV205" s="213"/>
      <c r="AW205" s="213"/>
      <c r="AX205" s="213"/>
      <c r="AY205" s="213"/>
      <c r="AZ205" s="213"/>
      <c r="BA205" s="213"/>
      <c r="BB205" s="213"/>
    </row>
    <row r="206" ht="12.75" customHeight="1" outlineLevel="1">
      <c r="A206" s="235"/>
      <c r="B206" s="236"/>
      <c r="C206" s="237" t="s">
        <v>243</v>
      </c>
      <c r="D206" s="238"/>
      <c r="E206" s="239">
        <v>3.0</v>
      </c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3"/>
      <c r="Z206" s="213"/>
      <c r="AA206" s="213"/>
      <c r="AB206" s="213"/>
      <c r="AC206" s="213"/>
      <c r="AD206" s="213"/>
      <c r="AE206" s="213"/>
      <c r="AF206" s="213"/>
      <c r="AG206" s="213" t="s">
        <v>228</v>
      </c>
      <c r="AH206" s="213">
        <v>0.0</v>
      </c>
      <c r="AI206" s="213"/>
      <c r="AJ206" s="213"/>
      <c r="AK206" s="213"/>
      <c r="AL206" s="213"/>
      <c r="AM206" s="213"/>
      <c r="AN206" s="213"/>
      <c r="AO206" s="213"/>
      <c r="AP206" s="213"/>
      <c r="AQ206" s="213"/>
      <c r="AR206" s="213"/>
      <c r="AS206" s="213"/>
      <c r="AT206" s="213"/>
      <c r="AU206" s="213"/>
      <c r="AV206" s="213"/>
      <c r="AW206" s="213"/>
      <c r="AX206" s="213"/>
      <c r="AY206" s="213"/>
      <c r="AZ206" s="213"/>
      <c r="BA206" s="213"/>
      <c r="BB206" s="213"/>
    </row>
    <row r="207" ht="12.75" customHeight="1" outlineLevel="1">
      <c r="A207" s="235"/>
      <c r="B207" s="236"/>
      <c r="C207" s="237" t="s">
        <v>227</v>
      </c>
      <c r="D207" s="238"/>
      <c r="E207" s="239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3"/>
      <c r="Z207" s="213"/>
      <c r="AA207" s="213"/>
      <c r="AB207" s="213"/>
      <c r="AC207" s="213"/>
      <c r="AD207" s="213"/>
      <c r="AE207" s="213"/>
      <c r="AF207" s="213"/>
      <c r="AG207" s="213" t="s">
        <v>228</v>
      </c>
      <c r="AH207" s="213">
        <v>0.0</v>
      </c>
      <c r="AI207" s="213"/>
      <c r="AJ207" s="213"/>
      <c r="AK207" s="213"/>
      <c r="AL207" s="213"/>
      <c r="AM207" s="213"/>
      <c r="AN207" s="213"/>
      <c r="AO207" s="213"/>
      <c r="AP207" s="213"/>
      <c r="AQ207" s="213"/>
      <c r="AR207" s="213"/>
      <c r="AS207" s="213"/>
      <c r="AT207" s="213"/>
      <c r="AU207" s="213"/>
      <c r="AV207" s="213"/>
      <c r="AW207" s="213"/>
      <c r="AX207" s="213"/>
      <c r="AY207" s="213"/>
      <c r="AZ207" s="213"/>
      <c r="BA207" s="213"/>
      <c r="BB207" s="213"/>
    </row>
    <row r="208" ht="12.75" customHeight="1" outlineLevel="1">
      <c r="A208" s="235"/>
      <c r="B208" s="236"/>
      <c r="C208" s="237" t="s">
        <v>229</v>
      </c>
      <c r="D208" s="238"/>
      <c r="E208" s="239">
        <v>11.25</v>
      </c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3"/>
      <c r="Z208" s="213"/>
      <c r="AA208" s="213"/>
      <c r="AB208" s="213"/>
      <c r="AC208" s="213"/>
      <c r="AD208" s="213"/>
      <c r="AE208" s="213"/>
      <c r="AF208" s="213"/>
      <c r="AG208" s="213" t="s">
        <v>228</v>
      </c>
      <c r="AH208" s="213">
        <v>0.0</v>
      </c>
      <c r="AI208" s="213"/>
      <c r="AJ208" s="213"/>
      <c r="AK208" s="213"/>
      <c r="AL208" s="213"/>
      <c r="AM208" s="213"/>
      <c r="AN208" s="213"/>
      <c r="AO208" s="213"/>
      <c r="AP208" s="213"/>
      <c r="AQ208" s="213"/>
      <c r="AR208" s="213"/>
      <c r="AS208" s="213"/>
      <c r="AT208" s="213"/>
      <c r="AU208" s="213"/>
      <c r="AV208" s="213"/>
      <c r="AW208" s="213"/>
      <c r="AX208" s="213"/>
      <c r="AY208" s="213"/>
      <c r="AZ208" s="213"/>
      <c r="BA208" s="213"/>
      <c r="BB208" s="213"/>
    </row>
    <row r="209" ht="12.75" customHeight="1" outlineLevel="1">
      <c r="A209" s="235"/>
      <c r="B209" s="236"/>
      <c r="C209" s="237" t="s">
        <v>229</v>
      </c>
      <c r="D209" s="238"/>
      <c r="E209" s="239">
        <v>11.25</v>
      </c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3"/>
      <c r="Z209" s="213"/>
      <c r="AA209" s="213"/>
      <c r="AB209" s="213"/>
      <c r="AC209" s="213"/>
      <c r="AD209" s="213"/>
      <c r="AE209" s="213"/>
      <c r="AF209" s="213"/>
      <c r="AG209" s="213" t="s">
        <v>228</v>
      </c>
      <c r="AH209" s="213">
        <v>0.0</v>
      </c>
      <c r="AI209" s="213"/>
      <c r="AJ209" s="213"/>
      <c r="AK209" s="213"/>
      <c r="AL209" s="213"/>
      <c r="AM209" s="213"/>
      <c r="AN209" s="213"/>
      <c r="AO209" s="213"/>
      <c r="AP209" s="213"/>
      <c r="AQ209" s="213"/>
      <c r="AR209" s="213"/>
      <c r="AS209" s="213"/>
      <c r="AT209" s="213"/>
      <c r="AU209" s="213"/>
      <c r="AV209" s="213"/>
      <c r="AW209" s="213"/>
      <c r="AX209" s="213"/>
      <c r="AY209" s="213"/>
      <c r="AZ209" s="213"/>
      <c r="BA209" s="213"/>
      <c r="BB209" s="213"/>
    </row>
    <row r="210" ht="12.75" customHeight="1" outlineLevel="1">
      <c r="A210" s="235"/>
      <c r="B210" s="236"/>
      <c r="C210" s="237" t="s">
        <v>246</v>
      </c>
      <c r="D210" s="238"/>
      <c r="E210" s="239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3"/>
      <c r="Z210" s="213"/>
      <c r="AA210" s="213"/>
      <c r="AB210" s="213"/>
      <c r="AC210" s="213"/>
      <c r="AD210" s="213"/>
      <c r="AE210" s="213"/>
      <c r="AF210" s="213"/>
      <c r="AG210" s="213" t="s">
        <v>228</v>
      </c>
      <c r="AH210" s="213">
        <v>0.0</v>
      </c>
      <c r="AI210" s="213"/>
      <c r="AJ210" s="213"/>
      <c r="AK210" s="213"/>
      <c r="AL210" s="213"/>
      <c r="AM210" s="213"/>
      <c r="AN210" s="213"/>
      <c r="AO210" s="213"/>
      <c r="AP210" s="213"/>
      <c r="AQ210" s="213"/>
      <c r="AR210" s="213"/>
      <c r="AS210" s="213"/>
      <c r="AT210" s="213"/>
      <c r="AU210" s="213"/>
      <c r="AV210" s="213"/>
      <c r="AW210" s="213"/>
      <c r="AX210" s="213"/>
      <c r="AY210" s="213"/>
      <c r="AZ210" s="213"/>
      <c r="BA210" s="213"/>
      <c r="BB210" s="213"/>
    </row>
    <row r="211" ht="12.75" customHeight="1" outlineLevel="1">
      <c r="A211" s="235"/>
      <c r="B211" s="236"/>
      <c r="C211" s="237" t="s">
        <v>354</v>
      </c>
      <c r="D211" s="238"/>
      <c r="E211" s="239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3"/>
      <c r="Z211" s="213"/>
      <c r="AA211" s="213"/>
      <c r="AB211" s="213"/>
      <c r="AC211" s="213"/>
      <c r="AD211" s="213"/>
      <c r="AE211" s="213"/>
      <c r="AF211" s="213"/>
      <c r="AG211" s="213" t="s">
        <v>228</v>
      </c>
      <c r="AH211" s="213">
        <v>0.0</v>
      </c>
      <c r="AI211" s="213"/>
      <c r="AJ211" s="213"/>
      <c r="AK211" s="213"/>
      <c r="AL211" s="213"/>
      <c r="AM211" s="213"/>
      <c r="AN211" s="213"/>
      <c r="AO211" s="213"/>
      <c r="AP211" s="213"/>
      <c r="AQ211" s="213"/>
      <c r="AR211" s="213"/>
      <c r="AS211" s="213"/>
      <c r="AT211" s="213"/>
      <c r="AU211" s="213"/>
      <c r="AV211" s="213"/>
      <c r="AW211" s="213"/>
      <c r="AX211" s="213"/>
      <c r="AY211" s="213"/>
      <c r="AZ211" s="213"/>
      <c r="BA211" s="213"/>
      <c r="BB211" s="213"/>
    </row>
    <row r="212" ht="12.75" customHeight="1" outlineLevel="1">
      <c r="A212" s="235"/>
      <c r="B212" s="236"/>
      <c r="C212" s="237" t="s">
        <v>248</v>
      </c>
      <c r="D212" s="238"/>
      <c r="E212" s="239">
        <v>6.0</v>
      </c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3"/>
      <c r="Z212" s="213"/>
      <c r="AA212" s="213"/>
      <c r="AB212" s="213"/>
      <c r="AC212" s="213"/>
      <c r="AD212" s="213"/>
      <c r="AE212" s="213"/>
      <c r="AF212" s="213"/>
      <c r="AG212" s="213" t="s">
        <v>228</v>
      </c>
      <c r="AH212" s="213">
        <v>0.0</v>
      </c>
      <c r="AI212" s="213"/>
      <c r="AJ212" s="213"/>
      <c r="AK212" s="213"/>
      <c r="AL212" s="213"/>
      <c r="AM212" s="213"/>
      <c r="AN212" s="213"/>
      <c r="AO212" s="213"/>
      <c r="AP212" s="213"/>
      <c r="AQ212" s="213"/>
      <c r="AR212" s="213"/>
      <c r="AS212" s="213"/>
      <c r="AT212" s="213"/>
      <c r="AU212" s="213"/>
      <c r="AV212" s="213"/>
      <c r="AW212" s="213"/>
      <c r="AX212" s="213"/>
      <c r="AY212" s="213"/>
      <c r="AZ212" s="213"/>
      <c r="BA212" s="213"/>
      <c r="BB212" s="213"/>
    </row>
    <row r="213" ht="12.75" customHeight="1" outlineLevel="1">
      <c r="A213" s="214">
        <v>31.0</v>
      </c>
      <c r="B213" s="215" t="s">
        <v>355</v>
      </c>
      <c r="C213" s="216" t="s">
        <v>356</v>
      </c>
      <c r="D213" s="217" t="s">
        <v>224</v>
      </c>
      <c r="E213" s="218">
        <v>11.25</v>
      </c>
      <c r="F213" s="219">
        <v>533.5</v>
      </c>
      <c r="G213" s="220">
        <f>ROUND(E213*F213,2)</f>
        <v>6001.88</v>
      </c>
      <c r="H213" s="211"/>
      <c r="I213" s="212">
        <f>ROUND(E213*H213,2)</f>
        <v>0</v>
      </c>
      <c r="J213" s="211"/>
      <c r="K213" s="212">
        <f>ROUND(E213*J213,2)</f>
        <v>0</v>
      </c>
      <c r="L213" s="212">
        <v>21.0</v>
      </c>
      <c r="M213" s="212">
        <f>G213*(1+L213/100)</f>
        <v>7262.2748</v>
      </c>
      <c r="N213" s="212">
        <v>0.13188</v>
      </c>
      <c r="O213" s="212">
        <f>ROUND(E213*N213,2)</f>
        <v>1.48</v>
      </c>
      <c r="P213" s="212">
        <v>0.0</v>
      </c>
      <c r="Q213" s="212">
        <f>ROUND(E213*P213,2)</f>
        <v>0</v>
      </c>
      <c r="R213" s="212"/>
      <c r="S213" s="212" t="s">
        <v>184</v>
      </c>
      <c r="T213" s="212" t="s">
        <v>184</v>
      </c>
      <c r="U213" s="212">
        <v>0.049</v>
      </c>
      <c r="V213" s="212">
        <f>ROUND(E213*U213,2)</f>
        <v>0.55</v>
      </c>
      <c r="W213" s="212"/>
      <c r="X213" s="212" t="s">
        <v>225</v>
      </c>
      <c r="Y213" s="213"/>
      <c r="Z213" s="213"/>
      <c r="AA213" s="213"/>
      <c r="AB213" s="213"/>
      <c r="AC213" s="213"/>
      <c r="AD213" s="213"/>
      <c r="AE213" s="213"/>
      <c r="AF213" s="213"/>
      <c r="AG213" s="213" t="s">
        <v>226</v>
      </c>
      <c r="AH213" s="213"/>
      <c r="AI213" s="213"/>
      <c r="AJ213" s="213"/>
      <c r="AK213" s="213"/>
      <c r="AL213" s="213"/>
      <c r="AM213" s="213"/>
      <c r="AN213" s="213"/>
      <c r="AO213" s="213"/>
      <c r="AP213" s="213"/>
      <c r="AQ213" s="213"/>
      <c r="AR213" s="213"/>
      <c r="AS213" s="213"/>
      <c r="AT213" s="213"/>
      <c r="AU213" s="213"/>
      <c r="AV213" s="213"/>
      <c r="AW213" s="213"/>
      <c r="AX213" s="213"/>
      <c r="AY213" s="213"/>
      <c r="AZ213" s="213"/>
      <c r="BA213" s="213"/>
      <c r="BB213" s="213"/>
    </row>
    <row r="214" ht="12.75" customHeight="1" outlineLevel="1">
      <c r="A214" s="235"/>
      <c r="B214" s="236"/>
      <c r="C214" s="237" t="s">
        <v>227</v>
      </c>
      <c r="D214" s="238"/>
      <c r="E214" s="239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3"/>
      <c r="Z214" s="213"/>
      <c r="AA214" s="213"/>
      <c r="AB214" s="213"/>
      <c r="AC214" s="213"/>
      <c r="AD214" s="213"/>
      <c r="AE214" s="213"/>
      <c r="AF214" s="213"/>
      <c r="AG214" s="213" t="s">
        <v>228</v>
      </c>
      <c r="AH214" s="213">
        <v>0.0</v>
      </c>
      <c r="AI214" s="213"/>
      <c r="AJ214" s="213"/>
      <c r="AK214" s="213"/>
      <c r="AL214" s="213"/>
      <c r="AM214" s="213"/>
      <c r="AN214" s="213"/>
      <c r="AO214" s="213"/>
      <c r="AP214" s="213"/>
      <c r="AQ214" s="213"/>
      <c r="AR214" s="213"/>
      <c r="AS214" s="213"/>
      <c r="AT214" s="213"/>
      <c r="AU214" s="213"/>
      <c r="AV214" s="213"/>
      <c r="AW214" s="213"/>
      <c r="AX214" s="213"/>
      <c r="AY214" s="213"/>
      <c r="AZ214" s="213"/>
      <c r="BA214" s="213"/>
      <c r="BB214" s="213"/>
    </row>
    <row r="215" ht="12.75" customHeight="1" outlineLevel="1">
      <c r="A215" s="235"/>
      <c r="B215" s="236"/>
      <c r="C215" s="237" t="s">
        <v>229</v>
      </c>
      <c r="D215" s="238"/>
      <c r="E215" s="239">
        <v>11.25</v>
      </c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3"/>
      <c r="Z215" s="213"/>
      <c r="AA215" s="213"/>
      <c r="AB215" s="213"/>
      <c r="AC215" s="213"/>
      <c r="AD215" s="213"/>
      <c r="AE215" s="213"/>
      <c r="AF215" s="213"/>
      <c r="AG215" s="213" t="s">
        <v>228</v>
      </c>
      <c r="AH215" s="213">
        <v>0.0</v>
      </c>
      <c r="AI215" s="213"/>
      <c r="AJ215" s="213"/>
      <c r="AK215" s="213"/>
      <c r="AL215" s="213"/>
      <c r="AM215" s="213"/>
      <c r="AN215" s="213"/>
      <c r="AO215" s="213"/>
      <c r="AP215" s="213"/>
      <c r="AQ215" s="213"/>
      <c r="AR215" s="213"/>
      <c r="AS215" s="213"/>
      <c r="AT215" s="213"/>
      <c r="AU215" s="213"/>
      <c r="AV215" s="213"/>
      <c r="AW215" s="213"/>
      <c r="AX215" s="213"/>
      <c r="AY215" s="213"/>
      <c r="AZ215" s="213"/>
      <c r="BA215" s="213"/>
      <c r="BB215" s="213"/>
    </row>
    <row r="216" ht="12.75" customHeight="1" outlineLevel="1">
      <c r="A216" s="214">
        <v>32.0</v>
      </c>
      <c r="B216" s="215" t="s">
        <v>357</v>
      </c>
      <c r="C216" s="216" t="s">
        <v>358</v>
      </c>
      <c r="D216" s="217" t="s">
        <v>224</v>
      </c>
      <c r="E216" s="218">
        <v>22.5</v>
      </c>
      <c r="F216" s="219">
        <v>30.6</v>
      </c>
      <c r="G216" s="220">
        <f>ROUND(E216*F216,2)</f>
        <v>688.5</v>
      </c>
      <c r="H216" s="211"/>
      <c r="I216" s="212">
        <f>ROUND(E216*H216,2)</f>
        <v>0</v>
      </c>
      <c r="J216" s="211"/>
      <c r="K216" s="212">
        <f>ROUND(E216*J216,2)</f>
        <v>0</v>
      </c>
      <c r="L216" s="212">
        <v>21.0</v>
      </c>
      <c r="M216" s="212">
        <f>G216*(1+L216/100)</f>
        <v>833.085</v>
      </c>
      <c r="N216" s="212">
        <v>7.1E-4</v>
      </c>
      <c r="O216" s="212">
        <f>ROUND(E216*N216,2)</f>
        <v>0.02</v>
      </c>
      <c r="P216" s="212">
        <v>0.0</v>
      </c>
      <c r="Q216" s="212">
        <f>ROUND(E216*P216,2)</f>
        <v>0</v>
      </c>
      <c r="R216" s="212"/>
      <c r="S216" s="212" t="s">
        <v>184</v>
      </c>
      <c r="T216" s="212" t="s">
        <v>184</v>
      </c>
      <c r="U216" s="212">
        <v>0.002</v>
      </c>
      <c r="V216" s="212">
        <f>ROUND(E216*U216,2)</f>
        <v>0.05</v>
      </c>
      <c r="W216" s="212"/>
      <c r="X216" s="212" t="s">
        <v>225</v>
      </c>
      <c r="Y216" s="213"/>
      <c r="Z216" s="213"/>
      <c r="AA216" s="213"/>
      <c r="AB216" s="213"/>
      <c r="AC216" s="213"/>
      <c r="AD216" s="213"/>
      <c r="AE216" s="213"/>
      <c r="AF216" s="213"/>
      <c r="AG216" s="213" t="s">
        <v>226</v>
      </c>
      <c r="AH216" s="213"/>
      <c r="AI216" s="213"/>
      <c r="AJ216" s="213"/>
      <c r="AK216" s="213"/>
      <c r="AL216" s="213"/>
      <c r="AM216" s="213"/>
      <c r="AN216" s="213"/>
      <c r="AO216" s="213"/>
      <c r="AP216" s="213"/>
      <c r="AQ216" s="213"/>
      <c r="AR216" s="213"/>
      <c r="AS216" s="213"/>
      <c r="AT216" s="213"/>
      <c r="AU216" s="213"/>
      <c r="AV216" s="213"/>
      <c r="AW216" s="213"/>
      <c r="AX216" s="213"/>
      <c r="AY216" s="213"/>
      <c r="AZ216" s="213"/>
      <c r="BA216" s="213"/>
      <c r="BB216" s="213"/>
    </row>
    <row r="217" ht="12.75" customHeight="1" outlineLevel="1">
      <c r="A217" s="235"/>
      <c r="B217" s="236"/>
      <c r="C217" s="237" t="s">
        <v>227</v>
      </c>
      <c r="D217" s="238"/>
      <c r="E217" s="239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3"/>
      <c r="Z217" s="213"/>
      <c r="AA217" s="213"/>
      <c r="AB217" s="213"/>
      <c r="AC217" s="213"/>
      <c r="AD217" s="213"/>
      <c r="AE217" s="213"/>
      <c r="AF217" s="213"/>
      <c r="AG217" s="213" t="s">
        <v>228</v>
      </c>
      <c r="AH217" s="213">
        <v>0.0</v>
      </c>
      <c r="AI217" s="213"/>
      <c r="AJ217" s="213"/>
      <c r="AK217" s="213"/>
      <c r="AL217" s="213"/>
      <c r="AM217" s="213"/>
      <c r="AN217" s="213"/>
      <c r="AO217" s="213"/>
      <c r="AP217" s="213"/>
      <c r="AQ217" s="213"/>
      <c r="AR217" s="213"/>
      <c r="AS217" s="213"/>
      <c r="AT217" s="213"/>
      <c r="AU217" s="213"/>
      <c r="AV217" s="213"/>
      <c r="AW217" s="213"/>
      <c r="AX217" s="213"/>
      <c r="AY217" s="213"/>
      <c r="AZ217" s="213"/>
      <c r="BA217" s="213"/>
      <c r="BB217" s="213"/>
    </row>
    <row r="218" ht="12.75" customHeight="1" outlineLevel="1">
      <c r="A218" s="235"/>
      <c r="B218" s="236"/>
      <c r="C218" s="237" t="s">
        <v>229</v>
      </c>
      <c r="D218" s="238"/>
      <c r="E218" s="239">
        <v>11.25</v>
      </c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3"/>
      <c r="Z218" s="213"/>
      <c r="AA218" s="213"/>
      <c r="AB218" s="213"/>
      <c r="AC218" s="213"/>
      <c r="AD218" s="213"/>
      <c r="AE218" s="213"/>
      <c r="AF218" s="213"/>
      <c r="AG218" s="213" t="s">
        <v>228</v>
      </c>
      <c r="AH218" s="213">
        <v>0.0</v>
      </c>
      <c r="AI218" s="213"/>
      <c r="AJ218" s="213"/>
      <c r="AK218" s="213"/>
      <c r="AL218" s="213"/>
      <c r="AM218" s="213"/>
      <c r="AN218" s="213"/>
      <c r="AO218" s="213"/>
      <c r="AP218" s="213"/>
      <c r="AQ218" s="213"/>
      <c r="AR218" s="213"/>
      <c r="AS218" s="213"/>
      <c r="AT218" s="213"/>
      <c r="AU218" s="213"/>
      <c r="AV218" s="213"/>
      <c r="AW218" s="213"/>
      <c r="AX218" s="213"/>
      <c r="AY218" s="213"/>
      <c r="AZ218" s="213"/>
      <c r="BA218" s="213"/>
      <c r="BB218" s="213"/>
    </row>
    <row r="219" ht="12.75" customHeight="1" outlineLevel="1">
      <c r="A219" s="235"/>
      <c r="B219" s="236"/>
      <c r="C219" s="237" t="s">
        <v>229</v>
      </c>
      <c r="D219" s="238"/>
      <c r="E219" s="239">
        <v>11.25</v>
      </c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3"/>
      <c r="Z219" s="213"/>
      <c r="AA219" s="213"/>
      <c r="AB219" s="213"/>
      <c r="AC219" s="213"/>
      <c r="AD219" s="213"/>
      <c r="AE219" s="213"/>
      <c r="AF219" s="213"/>
      <c r="AG219" s="213" t="s">
        <v>228</v>
      </c>
      <c r="AH219" s="213">
        <v>0.0</v>
      </c>
      <c r="AI219" s="213"/>
      <c r="AJ219" s="213"/>
      <c r="AK219" s="213"/>
      <c r="AL219" s="213"/>
      <c r="AM219" s="213"/>
      <c r="AN219" s="213"/>
      <c r="AO219" s="213"/>
      <c r="AP219" s="213"/>
      <c r="AQ219" s="213"/>
      <c r="AR219" s="213"/>
      <c r="AS219" s="213"/>
      <c r="AT219" s="213"/>
      <c r="AU219" s="213"/>
      <c r="AV219" s="213"/>
      <c r="AW219" s="213"/>
      <c r="AX219" s="213"/>
      <c r="AY219" s="213"/>
      <c r="AZ219" s="213"/>
      <c r="BA219" s="213"/>
      <c r="BB219" s="213"/>
    </row>
    <row r="220" ht="12.75" customHeight="1" outlineLevel="1">
      <c r="A220" s="214">
        <v>33.0</v>
      </c>
      <c r="B220" s="215" t="s">
        <v>359</v>
      </c>
      <c r="C220" s="216" t="s">
        <v>360</v>
      </c>
      <c r="D220" s="217" t="s">
        <v>224</v>
      </c>
      <c r="E220" s="218">
        <v>11.25</v>
      </c>
      <c r="F220" s="219">
        <v>496.5</v>
      </c>
      <c r="G220" s="220">
        <f>ROUND(E220*F220,2)</f>
        <v>5585.63</v>
      </c>
      <c r="H220" s="211"/>
      <c r="I220" s="212">
        <f>ROUND(E220*H220,2)</f>
        <v>0</v>
      </c>
      <c r="J220" s="211"/>
      <c r="K220" s="212">
        <f>ROUND(E220*J220,2)</f>
        <v>0</v>
      </c>
      <c r="L220" s="212">
        <v>21.0</v>
      </c>
      <c r="M220" s="212">
        <f>G220*(1+L220/100)</f>
        <v>6758.6123</v>
      </c>
      <c r="N220" s="212">
        <v>0.10141</v>
      </c>
      <c r="O220" s="212">
        <f>ROUND(E220*N220,2)</f>
        <v>1.14</v>
      </c>
      <c r="P220" s="212">
        <v>0.0</v>
      </c>
      <c r="Q220" s="212">
        <f>ROUND(E220*P220,2)</f>
        <v>0</v>
      </c>
      <c r="R220" s="212"/>
      <c r="S220" s="212" t="s">
        <v>184</v>
      </c>
      <c r="T220" s="212" t="s">
        <v>184</v>
      </c>
      <c r="U220" s="212">
        <v>0.064</v>
      </c>
      <c r="V220" s="212">
        <f>ROUND(E220*U220,2)</f>
        <v>0.72</v>
      </c>
      <c r="W220" s="212"/>
      <c r="X220" s="212" t="s">
        <v>225</v>
      </c>
      <c r="Y220" s="213"/>
      <c r="Z220" s="213"/>
      <c r="AA220" s="213"/>
      <c r="AB220" s="213"/>
      <c r="AC220" s="213"/>
      <c r="AD220" s="213"/>
      <c r="AE220" s="213"/>
      <c r="AF220" s="213"/>
      <c r="AG220" s="213" t="s">
        <v>226</v>
      </c>
      <c r="AH220" s="213"/>
      <c r="AI220" s="213"/>
      <c r="AJ220" s="213"/>
      <c r="AK220" s="213"/>
      <c r="AL220" s="213"/>
      <c r="AM220" s="213"/>
      <c r="AN220" s="213"/>
      <c r="AO220" s="213"/>
      <c r="AP220" s="213"/>
      <c r="AQ220" s="213"/>
      <c r="AR220" s="213"/>
      <c r="AS220" s="213"/>
      <c r="AT220" s="213"/>
      <c r="AU220" s="213"/>
      <c r="AV220" s="213"/>
      <c r="AW220" s="213"/>
      <c r="AX220" s="213"/>
      <c r="AY220" s="213"/>
      <c r="AZ220" s="213"/>
      <c r="BA220" s="213"/>
      <c r="BB220" s="213"/>
    </row>
    <row r="221" ht="12.75" customHeight="1" outlineLevel="1">
      <c r="A221" s="235"/>
      <c r="B221" s="236"/>
      <c r="C221" s="237" t="s">
        <v>227</v>
      </c>
      <c r="D221" s="238"/>
      <c r="E221" s="239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3"/>
      <c r="Z221" s="213"/>
      <c r="AA221" s="213"/>
      <c r="AB221" s="213"/>
      <c r="AC221" s="213"/>
      <c r="AD221" s="213"/>
      <c r="AE221" s="213"/>
      <c r="AF221" s="213"/>
      <c r="AG221" s="213" t="s">
        <v>228</v>
      </c>
      <c r="AH221" s="213">
        <v>0.0</v>
      </c>
      <c r="AI221" s="213"/>
      <c r="AJ221" s="213"/>
      <c r="AK221" s="213"/>
      <c r="AL221" s="213"/>
      <c r="AM221" s="213"/>
      <c r="AN221" s="213"/>
      <c r="AO221" s="213"/>
      <c r="AP221" s="213"/>
      <c r="AQ221" s="213"/>
      <c r="AR221" s="213"/>
      <c r="AS221" s="213"/>
      <c r="AT221" s="213"/>
      <c r="AU221" s="213"/>
      <c r="AV221" s="213"/>
      <c r="AW221" s="213"/>
      <c r="AX221" s="213"/>
      <c r="AY221" s="213"/>
      <c r="AZ221" s="213"/>
      <c r="BA221" s="213"/>
      <c r="BB221" s="213"/>
    </row>
    <row r="222" ht="12.75" customHeight="1" outlineLevel="1">
      <c r="A222" s="235"/>
      <c r="B222" s="236"/>
      <c r="C222" s="237" t="s">
        <v>229</v>
      </c>
      <c r="D222" s="238"/>
      <c r="E222" s="239">
        <v>11.25</v>
      </c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3"/>
      <c r="Z222" s="213"/>
      <c r="AA222" s="213"/>
      <c r="AB222" s="213"/>
      <c r="AC222" s="213"/>
      <c r="AD222" s="213"/>
      <c r="AE222" s="213"/>
      <c r="AF222" s="213"/>
      <c r="AG222" s="213" t="s">
        <v>228</v>
      </c>
      <c r="AH222" s="213">
        <v>0.0</v>
      </c>
      <c r="AI222" s="213"/>
      <c r="AJ222" s="213"/>
      <c r="AK222" s="213"/>
      <c r="AL222" s="213"/>
      <c r="AM222" s="213"/>
      <c r="AN222" s="213"/>
      <c r="AO222" s="213"/>
      <c r="AP222" s="213"/>
      <c r="AQ222" s="213"/>
      <c r="AR222" s="213"/>
      <c r="AS222" s="213"/>
      <c r="AT222" s="213"/>
      <c r="AU222" s="213"/>
      <c r="AV222" s="213"/>
      <c r="AW222" s="213"/>
      <c r="AX222" s="213"/>
      <c r="AY222" s="213"/>
      <c r="AZ222" s="213"/>
      <c r="BA222" s="213"/>
      <c r="BB222" s="213"/>
    </row>
    <row r="223" ht="12.75" customHeight="1" outlineLevel="1">
      <c r="A223" s="214">
        <v>34.0</v>
      </c>
      <c r="B223" s="215" t="s">
        <v>361</v>
      </c>
      <c r="C223" s="216" t="s">
        <v>362</v>
      </c>
      <c r="D223" s="217" t="s">
        <v>224</v>
      </c>
      <c r="E223" s="218">
        <v>6.0</v>
      </c>
      <c r="F223" s="219">
        <v>3615.0</v>
      </c>
      <c r="G223" s="220">
        <f>ROUND(E223*F223,2)</f>
        <v>21690</v>
      </c>
      <c r="H223" s="211"/>
      <c r="I223" s="212">
        <f>ROUND(E223*H223,2)</f>
        <v>0</v>
      </c>
      <c r="J223" s="211"/>
      <c r="K223" s="212">
        <f>ROUND(E223*J223,2)</f>
        <v>0</v>
      </c>
      <c r="L223" s="212">
        <v>21.0</v>
      </c>
      <c r="M223" s="212">
        <f>G223*(1+L223/100)</f>
        <v>26244.9</v>
      </c>
      <c r="N223" s="212">
        <v>0.59439</v>
      </c>
      <c r="O223" s="212">
        <f>ROUND(E223*N223,2)</f>
        <v>3.57</v>
      </c>
      <c r="P223" s="212">
        <v>0.0</v>
      </c>
      <c r="Q223" s="212">
        <f>ROUND(E223*P223,2)</f>
        <v>0</v>
      </c>
      <c r="R223" s="212"/>
      <c r="S223" s="212" t="s">
        <v>184</v>
      </c>
      <c r="T223" s="212" t="s">
        <v>184</v>
      </c>
      <c r="U223" s="212">
        <v>0.121</v>
      </c>
      <c r="V223" s="212">
        <f>ROUND(E223*U223,2)</f>
        <v>0.73</v>
      </c>
      <c r="W223" s="212"/>
      <c r="X223" s="212" t="s">
        <v>225</v>
      </c>
      <c r="Y223" s="213"/>
      <c r="Z223" s="213"/>
      <c r="AA223" s="213"/>
      <c r="AB223" s="213"/>
      <c r="AC223" s="213"/>
      <c r="AD223" s="213"/>
      <c r="AE223" s="213"/>
      <c r="AF223" s="213"/>
      <c r="AG223" s="213" t="s">
        <v>226</v>
      </c>
      <c r="AH223" s="213"/>
      <c r="AI223" s="213"/>
      <c r="AJ223" s="213"/>
      <c r="AK223" s="213"/>
      <c r="AL223" s="213"/>
      <c r="AM223" s="213"/>
      <c r="AN223" s="213"/>
      <c r="AO223" s="213"/>
      <c r="AP223" s="213"/>
      <c r="AQ223" s="213"/>
      <c r="AR223" s="213"/>
      <c r="AS223" s="213"/>
      <c r="AT223" s="213"/>
      <c r="AU223" s="213"/>
      <c r="AV223" s="213"/>
      <c r="AW223" s="213"/>
      <c r="AX223" s="213"/>
      <c r="AY223" s="213"/>
      <c r="AZ223" s="213"/>
      <c r="BA223" s="213"/>
      <c r="BB223" s="213"/>
    </row>
    <row r="224" ht="12.75" customHeight="1" outlineLevel="1">
      <c r="A224" s="235"/>
      <c r="B224" s="236"/>
      <c r="C224" s="237" t="s">
        <v>246</v>
      </c>
      <c r="D224" s="238"/>
      <c r="E224" s="239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3"/>
      <c r="Z224" s="213"/>
      <c r="AA224" s="213"/>
      <c r="AB224" s="213"/>
      <c r="AC224" s="213"/>
      <c r="AD224" s="213"/>
      <c r="AE224" s="213"/>
      <c r="AF224" s="213"/>
      <c r="AG224" s="213" t="s">
        <v>228</v>
      </c>
      <c r="AH224" s="213">
        <v>0.0</v>
      </c>
      <c r="AI224" s="213"/>
      <c r="AJ224" s="213"/>
      <c r="AK224" s="213"/>
      <c r="AL224" s="213"/>
      <c r="AM224" s="213"/>
      <c r="AN224" s="213"/>
      <c r="AO224" s="213"/>
      <c r="AP224" s="213"/>
      <c r="AQ224" s="213"/>
      <c r="AR224" s="213"/>
      <c r="AS224" s="213"/>
      <c r="AT224" s="213"/>
      <c r="AU224" s="213"/>
      <c r="AV224" s="213"/>
      <c r="AW224" s="213"/>
      <c r="AX224" s="213"/>
      <c r="AY224" s="213"/>
      <c r="AZ224" s="213"/>
      <c r="BA224" s="213"/>
      <c r="BB224" s="213"/>
    </row>
    <row r="225" ht="12.75" customHeight="1" outlineLevel="1">
      <c r="A225" s="235"/>
      <c r="B225" s="236"/>
      <c r="C225" s="237" t="s">
        <v>363</v>
      </c>
      <c r="D225" s="238"/>
      <c r="E225" s="239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3"/>
      <c r="Z225" s="213"/>
      <c r="AA225" s="213"/>
      <c r="AB225" s="213"/>
      <c r="AC225" s="213"/>
      <c r="AD225" s="213"/>
      <c r="AE225" s="213"/>
      <c r="AF225" s="213"/>
      <c r="AG225" s="213" t="s">
        <v>228</v>
      </c>
      <c r="AH225" s="213">
        <v>0.0</v>
      </c>
      <c r="AI225" s="213"/>
      <c r="AJ225" s="213"/>
      <c r="AK225" s="213"/>
      <c r="AL225" s="213"/>
      <c r="AM225" s="213"/>
      <c r="AN225" s="213"/>
      <c r="AO225" s="213"/>
      <c r="AP225" s="213"/>
      <c r="AQ225" s="213"/>
      <c r="AR225" s="213"/>
      <c r="AS225" s="213"/>
      <c r="AT225" s="213"/>
      <c r="AU225" s="213"/>
      <c r="AV225" s="213"/>
      <c r="AW225" s="213"/>
      <c r="AX225" s="213"/>
      <c r="AY225" s="213"/>
      <c r="AZ225" s="213"/>
      <c r="BA225" s="213"/>
      <c r="BB225" s="213"/>
    </row>
    <row r="226" ht="12.75" customHeight="1" outlineLevel="1">
      <c r="A226" s="235"/>
      <c r="B226" s="236"/>
      <c r="C226" s="237" t="s">
        <v>248</v>
      </c>
      <c r="D226" s="238"/>
      <c r="E226" s="239">
        <v>6.0</v>
      </c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3"/>
      <c r="Z226" s="213"/>
      <c r="AA226" s="213"/>
      <c r="AB226" s="213"/>
      <c r="AC226" s="213"/>
      <c r="AD226" s="213"/>
      <c r="AE226" s="213"/>
      <c r="AF226" s="213"/>
      <c r="AG226" s="213" t="s">
        <v>228</v>
      </c>
      <c r="AH226" s="213">
        <v>0.0</v>
      </c>
      <c r="AI226" s="213"/>
      <c r="AJ226" s="213"/>
      <c r="AK226" s="213"/>
      <c r="AL226" s="213"/>
      <c r="AM226" s="213"/>
      <c r="AN226" s="213"/>
      <c r="AO226" s="213"/>
      <c r="AP226" s="213"/>
      <c r="AQ226" s="213"/>
      <c r="AR226" s="213"/>
      <c r="AS226" s="213"/>
      <c r="AT226" s="213"/>
      <c r="AU226" s="213"/>
      <c r="AV226" s="213"/>
      <c r="AW226" s="213"/>
      <c r="AX226" s="213"/>
      <c r="AY226" s="213"/>
      <c r="AZ226" s="213"/>
      <c r="BA226" s="213"/>
      <c r="BB226" s="213"/>
    </row>
    <row r="227" ht="12.75" customHeight="1" outlineLevel="1">
      <c r="A227" s="214">
        <v>35.0</v>
      </c>
      <c r="B227" s="215" t="s">
        <v>364</v>
      </c>
      <c r="C227" s="216" t="s">
        <v>365</v>
      </c>
      <c r="D227" s="217" t="s">
        <v>224</v>
      </c>
      <c r="E227" s="218">
        <v>6.0</v>
      </c>
      <c r="F227" s="219">
        <v>265.0</v>
      </c>
      <c r="G227" s="220">
        <f>ROUND(E227*F227,2)</f>
        <v>1590</v>
      </c>
      <c r="H227" s="211"/>
      <c r="I227" s="212">
        <f>ROUND(E227*H227,2)</f>
        <v>0</v>
      </c>
      <c r="J227" s="211"/>
      <c r="K227" s="212">
        <f>ROUND(E227*J227,2)</f>
        <v>0</v>
      </c>
      <c r="L227" s="212">
        <v>21.0</v>
      </c>
      <c r="M227" s="212">
        <f>G227*(1+L227/100)</f>
        <v>1923.9</v>
      </c>
      <c r="N227" s="212">
        <v>0.0739</v>
      </c>
      <c r="O227" s="212">
        <f>ROUND(E227*N227,2)</f>
        <v>0.44</v>
      </c>
      <c r="P227" s="212">
        <v>0.0</v>
      </c>
      <c r="Q227" s="212">
        <f>ROUND(E227*P227,2)</f>
        <v>0</v>
      </c>
      <c r="R227" s="212"/>
      <c r="S227" s="212" t="s">
        <v>184</v>
      </c>
      <c r="T227" s="212" t="s">
        <v>184</v>
      </c>
      <c r="U227" s="212">
        <v>0.57</v>
      </c>
      <c r="V227" s="212">
        <f>ROUND(E227*U227,2)</f>
        <v>3.42</v>
      </c>
      <c r="W227" s="212"/>
      <c r="X227" s="212" t="s">
        <v>225</v>
      </c>
      <c r="Y227" s="213"/>
      <c r="Z227" s="213"/>
      <c r="AA227" s="213"/>
      <c r="AB227" s="213"/>
      <c r="AC227" s="213"/>
      <c r="AD227" s="213"/>
      <c r="AE227" s="213"/>
      <c r="AF227" s="213"/>
      <c r="AG227" s="213" t="s">
        <v>226</v>
      </c>
      <c r="AH227" s="213"/>
      <c r="AI227" s="213"/>
      <c r="AJ227" s="213"/>
      <c r="AK227" s="213"/>
      <c r="AL227" s="213"/>
      <c r="AM227" s="213"/>
      <c r="AN227" s="213"/>
      <c r="AO227" s="213"/>
      <c r="AP227" s="213"/>
      <c r="AQ227" s="213"/>
      <c r="AR227" s="213"/>
      <c r="AS227" s="213"/>
      <c r="AT227" s="213"/>
      <c r="AU227" s="213"/>
      <c r="AV227" s="213"/>
      <c r="AW227" s="213"/>
      <c r="AX227" s="213"/>
      <c r="AY227" s="213"/>
      <c r="AZ227" s="213"/>
      <c r="BA227" s="213"/>
      <c r="BB227" s="213"/>
    </row>
    <row r="228" ht="12.75" customHeight="1" outlineLevel="1">
      <c r="A228" s="235"/>
      <c r="B228" s="236"/>
      <c r="C228" s="237" t="s">
        <v>242</v>
      </c>
      <c r="D228" s="238"/>
      <c r="E228" s="239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3"/>
      <c r="Z228" s="213"/>
      <c r="AA228" s="213"/>
      <c r="AB228" s="213"/>
      <c r="AC228" s="213"/>
      <c r="AD228" s="213"/>
      <c r="AE228" s="213"/>
      <c r="AF228" s="213"/>
      <c r="AG228" s="213" t="s">
        <v>228</v>
      </c>
      <c r="AH228" s="213">
        <v>0.0</v>
      </c>
      <c r="AI228" s="213"/>
      <c r="AJ228" s="213"/>
      <c r="AK228" s="213"/>
      <c r="AL228" s="213"/>
      <c r="AM228" s="213"/>
      <c r="AN228" s="213"/>
      <c r="AO228" s="213"/>
      <c r="AP228" s="213"/>
      <c r="AQ228" s="213"/>
      <c r="AR228" s="213"/>
      <c r="AS228" s="213"/>
      <c r="AT228" s="213"/>
      <c r="AU228" s="213"/>
      <c r="AV228" s="213"/>
      <c r="AW228" s="213"/>
      <c r="AX228" s="213"/>
      <c r="AY228" s="213"/>
      <c r="AZ228" s="213"/>
      <c r="BA228" s="213"/>
      <c r="BB228" s="213"/>
    </row>
    <row r="229" ht="12.75" customHeight="1" outlineLevel="1">
      <c r="A229" s="235"/>
      <c r="B229" s="236"/>
      <c r="C229" s="237" t="s">
        <v>243</v>
      </c>
      <c r="D229" s="238"/>
      <c r="E229" s="239">
        <v>3.0</v>
      </c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3"/>
      <c r="Z229" s="213"/>
      <c r="AA229" s="213"/>
      <c r="AB229" s="213"/>
      <c r="AC229" s="213"/>
      <c r="AD229" s="213"/>
      <c r="AE229" s="213"/>
      <c r="AF229" s="213"/>
      <c r="AG229" s="213" t="s">
        <v>228</v>
      </c>
      <c r="AH229" s="213">
        <v>0.0</v>
      </c>
      <c r="AI229" s="213"/>
      <c r="AJ229" s="213"/>
      <c r="AK229" s="213"/>
      <c r="AL229" s="213"/>
      <c r="AM229" s="213"/>
      <c r="AN229" s="213"/>
      <c r="AO229" s="213"/>
      <c r="AP229" s="213"/>
      <c r="AQ229" s="213"/>
      <c r="AR229" s="213"/>
      <c r="AS229" s="213"/>
      <c r="AT229" s="213"/>
      <c r="AU229" s="213"/>
      <c r="AV229" s="213"/>
      <c r="AW229" s="213"/>
      <c r="AX229" s="213"/>
      <c r="AY229" s="213"/>
      <c r="AZ229" s="213"/>
      <c r="BA229" s="213"/>
      <c r="BB229" s="213"/>
    </row>
    <row r="230" ht="12.75" customHeight="1" outlineLevel="1">
      <c r="A230" s="235"/>
      <c r="B230" s="236"/>
      <c r="C230" s="237" t="s">
        <v>243</v>
      </c>
      <c r="D230" s="238"/>
      <c r="E230" s="239">
        <v>3.0</v>
      </c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3"/>
      <c r="Z230" s="213"/>
      <c r="AA230" s="213"/>
      <c r="AB230" s="213"/>
      <c r="AC230" s="213"/>
      <c r="AD230" s="213"/>
      <c r="AE230" s="213"/>
      <c r="AF230" s="213"/>
      <c r="AG230" s="213" t="s">
        <v>228</v>
      </c>
      <c r="AH230" s="213">
        <v>0.0</v>
      </c>
      <c r="AI230" s="213"/>
      <c r="AJ230" s="213"/>
      <c r="AK230" s="213"/>
      <c r="AL230" s="213"/>
      <c r="AM230" s="213"/>
      <c r="AN230" s="213"/>
      <c r="AO230" s="213"/>
      <c r="AP230" s="213"/>
      <c r="AQ230" s="213"/>
      <c r="AR230" s="213"/>
      <c r="AS230" s="213"/>
      <c r="AT230" s="213"/>
      <c r="AU230" s="213"/>
      <c r="AV230" s="213"/>
      <c r="AW230" s="213"/>
      <c r="AX230" s="213"/>
      <c r="AY230" s="213"/>
      <c r="AZ230" s="213"/>
      <c r="BA230" s="213"/>
      <c r="BB230" s="213"/>
    </row>
    <row r="231" ht="12.75" customHeight="1" outlineLevel="1">
      <c r="A231" s="214">
        <v>36.0</v>
      </c>
      <c r="B231" s="215" t="s">
        <v>366</v>
      </c>
      <c r="C231" s="216" t="s">
        <v>367</v>
      </c>
      <c r="D231" s="217" t="s">
        <v>224</v>
      </c>
      <c r="E231" s="218">
        <v>6.6</v>
      </c>
      <c r="F231" s="219">
        <v>362.5</v>
      </c>
      <c r="G231" s="220">
        <f>ROUND(E231*F231,2)</f>
        <v>2392.5</v>
      </c>
      <c r="H231" s="211"/>
      <c r="I231" s="212">
        <f>ROUND(E231*H231,2)</f>
        <v>0</v>
      </c>
      <c r="J231" s="211"/>
      <c r="K231" s="212">
        <f>ROUND(E231*J231,2)</f>
        <v>0</v>
      </c>
      <c r="L231" s="212">
        <v>21.0</v>
      </c>
      <c r="M231" s="212">
        <f>G231*(1+L231/100)</f>
        <v>2894.925</v>
      </c>
      <c r="N231" s="212">
        <v>0.1728</v>
      </c>
      <c r="O231" s="212">
        <f>ROUND(E231*N231,2)</f>
        <v>1.14</v>
      </c>
      <c r="P231" s="212">
        <v>0.0</v>
      </c>
      <c r="Q231" s="212">
        <f>ROUND(E231*P231,2)</f>
        <v>0</v>
      </c>
      <c r="R231" s="212" t="s">
        <v>322</v>
      </c>
      <c r="S231" s="212" t="s">
        <v>184</v>
      </c>
      <c r="T231" s="212" t="s">
        <v>184</v>
      </c>
      <c r="U231" s="212">
        <v>0.0</v>
      </c>
      <c r="V231" s="212">
        <f>ROUND(E231*U231,2)</f>
        <v>0</v>
      </c>
      <c r="W231" s="212"/>
      <c r="X231" s="212" t="s">
        <v>323</v>
      </c>
      <c r="Y231" s="213"/>
      <c r="Z231" s="213"/>
      <c r="AA231" s="213"/>
      <c r="AB231" s="213"/>
      <c r="AC231" s="213"/>
      <c r="AD231" s="213"/>
      <c r="AE231" s="213"/>
      <c r="AF231" s="213"/>
      <c r="AG231" s="213" t="s">
        <v>324</v>
      </c>
      <c r="AH231" s="213"/>
      <c r="AI231" s="213"/>
      <c r="AJ231" s="213"/>
      <c r="AK231" s="213"/>
      <c r="AL231" s="213"/>
      <c r="AM231" s="213"/>
      <c r="AN231" s="213"/>
      <c r="AO231" s="213"/>
      <c r="AP231" s="213"/>
      <c r="AQ231" s="213"/>
      <c r="AR231" s="213"/>
      <c r="AS231" s="213"/>
      <c r="AT231" s="213"/>
      <c r="AU231" s="213"/>
      <c r="AV231" s="213"/>
      <c r="AW231" s="213"/>
      <c r="AX231" s="213"/>
      <c r="AY231" s="213"/>
      <c r="AZ231" s="213"/>
      <c r="BA231" s="213"/>
      <c r="BB231" s="213"/>
    </row>
    <row r="232" ht="12.75" customHeight="1" outlineLevel="1">
      <c r="A232" s="235"/>
      <c r="B232" s="236"/>
      <c r="C232" s="237" t="s">
        <v>242</v>
      </c>
      <c r="D232" s="238"/>
      <c r="E232" s="239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3"/>
      <c r="Z232" s="213"/>
      <c r="AA232" s="213"/>
      <c r="AB232" s="213"/>
      <c r="AC232" s="213"/>
      <c r="AD232" s="213"/>
      <c r="AE232" s="213"/>
      <c r="AF232" s="213"/>
      <c r="AG232" s="213" t="s">
        <v>228</v>
      </c>
      <c r="AH232" s="213">
        <v>0.0</v>
      </c>
      <c r="AI232" s="213"/>
      <c r="AJ232" s="213"/>
      <c r="AK232" s="213"/>
      <c r="AL232" s="213"/>
      <c r="AM232" s="213"/>
      <c r="AN232" s="213"/>
      <c r="AO232" s="213"/>
      <c r="AP232" s="213"/>
      <c r="AQ232" s="213"/>
      <c r="AR232" s="213"/>
      <c r="AS232" s="213"/>
      <c r="AT232" s="213"/>
      <c r="AU232" s="213"/>
      <c r="AV232" s="213"/>
      <c r="AW232" s="213"/>
      <c r="AX232" s="213"/>
      <c r="AY232" s="213"/>
      <c r="AZ232" s="213"/>
      <c r="BA232" s="213"/>
      <c r="BB232" s="213"/>
    </row>
    <row r="233" ht="12.75" customHeight="1" outlineLevel="1">
      <c r="A233" s="235"/>
      <c r="B233" s="236"/>
      <c r="C233" s="240" t="s">
        <v>236</v>
      </c>
      <c r="D233" s="241"/>
      <c r="E233" s="24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3"/>
      <c r="Z233" s="213"/>
      <c r="AA233" s="213"/>
      <c r="AB233" s="213"/>
      <c r="AC233" s="213"/>
      <c r="AD233" s="213"/>
      <c r="AE233" s="213"/>
      <c r="AF233" s="213"/>
      <c r="AG233" s="213" t="s">
        <v>228</v>
      </c>
      <c r="AH233" s="213"/>
      <c r="AI233" s="213"/>
      <c r="AJ233" s="213"/>
      <c r="AK233" s="213"/>
      <c r="AL233" s="213"/>
      <c r="AM233" s="213"/>
      <c r="AN233" s="213"/>
      <c r="AO233" s="213"/>
      <c r="AP233" s="213"/>
      <c r="AQ233" s="213"/>
      <c r="AR233" s="213"/>
      <c r="AS233" s="213"/>
      <c r="AT233" s="213"/>
      <c r="AU233" s="213"/>
      <c r="AV233" s="213"/>
      <c r="AW233" s="213"/>
      <c r="AX233" s="213"/>
      <c r="AY233" s="213"/>
      <c r="AZ233" s="213"/>
      <c r="BA233" s="213"/>
      <c r="BB233" s="213"/>
    </row>
    <row r="234" ht="12.75" customHeight="1" outlineLevel="1">
      <c r="A234" s="235"/>
      <c r="B234" s="236"/>
      <c r="C234" s="243" t="s">
        <v>368</v>
      </c>
      <c r="D234" s="241"/>
      <c r="E234" s="242">
        <v>3.0</v>
      </c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3"/>
      <c r="Z234" s="213"/>
      <c r="AA234" s="213"/>
      <c r="AB234" s="213"/>
      <c r="AC234" s="213"/>
      <c r="AD234" s="213"/>
      <c r="AE234" s="213"/>
      <c r="AF234" s="213"/>
      <c r="AG234" s="213" t="s">
        <v>228</v>
      </c>
      <c r="AH234" s="213">
        <v>2.0</v>
      </c>
      <c r="AI234" s="213"/>
      <c r="AJ234" s="213"/>
      <c r="AK234" s="213"/>
      <c r="AL234" s="213"/>
      <c r="AM234" s="213"/>
      <c r="AN234" s="213"/>
      <c r="AO234" s="213"/>
      <c r="AP234" s="213"/>
      <c r="AQ234" s="213"/>
      <c r="AR234" s="213"/>
      <c r="AS234" s="213"/>
      <c r="AT234" s="213"/>
      <c r="AU234" s="213"/>
      <c r="AV234" s="213"/>
      <c r="AW234" s="213"/>
      <c r="AX234" s="213"/>
      <c r="AY234" s="213"/>
      <c r="AZ234" s="213"/>
      <c r="BA234" s="213"/>
      <c r="BB234" s="213"/>
    </row>
    <row r="235" ht="12.75" customHeight="1" outlineLevel="1">
      <c r="A235" s="235"/>
      <c r="B235" s="236"/>
      <c r="C235" s="243" t="s">
        <v>368</v>
      </c>
      <c r="D235" s="241"/>
      <c r="E235" s="242">
        <v>3.0</v>
      </c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3"/>
      <c r="Z235" s="213"/>
      <c r="AA235" s="213"/>
      <c r="AB235" s="213"/>
      <c r="AC235" s="213"/>
      <c r="AD235" s="213"/>
      <c r="AE235" s="213"/>
      <c r="AF235" s="213"/>
      <c r="AG235" s="213" t="s">
        <v>228</v>
      </c>
      <c r="AH235" s="213">
        <v>2.0</v>
      </c>
      <c r="AI235" s="213"/>
      <c r="AJ235" s="213"/>
      <c r="AK235" s="213"/>
      <c r="AL235" s="213"/>
      <c r="AM235" s="213"/>
      <c r="AN235" s="213"/>
      <c r="AO235" s="213"/>
      <c r="AP235" s="213"/>
      <c r="AQ235" s="213"/>
      <c r="AR235" s="213"/>
      <c r="AS235" s="213"/>
      <c r="AT235" s="213"/>
      <c r="AU235" s="213"/>
      <c r="AV235" s="213"/>
      <c r="AW235" s="213"/>
      <c r="AX235" s="213"/>
      <c r="AY235" s="213"/>
      <c r="AZ235" s="213"/>
      <c r="BA235" s="213"/>
      <c r="BB235" s="213"/>
    </row>
    <row r="236" ht="12.75" customHeight="1" outlineLevel="1">
      <c r="A236" s="235"/>
      <c r="B236" s="236"/>
      <c r="C236" s="240" t="s">
        <v>238</v>
      </c>
      <c r="D236" s="241"/>
      <c r="E236" s="24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3"/>
      <c r="Z236" s="213"/>
      <c r="AA236" s="213"/>
      <c r="AB236" s="213"/>
      <c r="AC236" s="213"/>
      <c r="AD236" s="213"/>
      <c r="AE236" s="213"/>
      <c r="AF236" s="213"/>
      <c r="AG236" s="213" t="s">
        <v>228</v>
      </c>
      <c r="AH236" s="213"/>
      <c r="AI236" s="213"/>
      <c r="AJ236" s="213"/>
      <c r="AK236" s="213"/>
      <c r="AL236" s="213"/>
      <c r="AM236" s="213"/>
      <c r="AN236" s="213"/>
      <c r="AO236" s="213"/>
      <c r="AP236" s="213"/>
      <c r="AQ236" s="213"/>
      <c r="AR236" s="213"/>
      <c r="AS236" s="213"/>
      <c r="AT236" s="213"/>
      <c r="AU236" s="213"/>
      <c r="AV236" s="213"/>
      <c r="AW236" s="213"/>
      <c r="AX236" s="213"/>
      <c r="AY236" s="213"/>
      <c r="AZ236" s="213"/>
      <c r="BA236" s="213"/>
      <c r="BB236" s="213"/>
    </row>
    <row r="237" ht="12.75" customHeight="1" outlineLevel="1">
      <c r="A237" s="235"/>
      <c r="B237" s="236"/>
      <c r="C237" s="237" t="s">
        <v>369</v>
      </c>
      <c r="D237" s="238"/>
      <c r="E237" s="239">
        <v>6.6</v>
      </c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3"/>
      <c r="Z237" s="213"/>
      <c r="AA237" s="213"/>
      <c r="AB237" s="213"/>
      <c r="AC237" s="213"/>
      <c r="AD237" s="213"/>
      <c r="AE237" s="213"/>
      <c r="AF237" s="213"/>
      <c r="AG237" s="213" t="s">
        <v>228</v>
      </c>
      <c r="AH237" s="213">
        <v>0.0</v>
      </c>
      <c r="AI237" s="213"/>
      <c r="AJ237" s="213"/>
      <c r="AK237" s="213"/>
      <c r="AL237" s="213"/>
      <c r="AM237" s="213"/>
      <c r="AN237" s="213"/>
      <c r="AO237" s="213"/>
      <c r="AP237" s="213"/>
      <c r="AQ237" s="213"/>
      <c r="AR237" s="213"/>
      <c r="AS237" s="213"/>
      <c r="AT237" s="213"/>
      <c r="AU237" s="213"/>
      <c r="AV237" s="213"/>
      <c r="AW237" s="213"/>
      <c r="AX237" s="213"/>
      <c r="AY237" s="213"/>
      <c r="AZ237" s="213"/>
      <c r="BA237" s="213"/>
      <c r="BB237" s="213"/>
    </row>
    <row r="238" ht="12.75" customHeight="1">
      <c r="A238" s="196" t="s">
        <v>173</v>
      </c>
      <c r="B238" s="197" t="s">
        <v>108</v>
      </c>
      <c r="C238" s="198" t="s">
        <v>109</v>
      </c>
      <c r="D238" s="199"/>
      <c r="E238" s="200"/>
      <c r="F238" s="201"/>
      <c r="G238" s="202">
        <f>SUMIF(AG239:AG245,"&lt;&gt;NOR",G239:G245)</f>
        <v>111215.9</v>
      </c>
      <c r="H238" s="203"/>
      <c r="I238" s="203">
        <f>SUM(I239:I245)</f>
        <v>0</v>
      </c>
      <c r="J238" s="203"/>
      <c r="K238" s="203">
        <f>SUM(K239:K245)</f>
        <v>0</v>
      </c>
      <c r="L238" s="203"/>
      <c r="M238" s="203">
        <f>SUM(M239:M245)</f>
        <v>134571.239</v>
      </c>
      <c r="N238" s="203"/>
      <c r="O238" s="203">
        <f>SUM(O239:O245)</f>
        <v>0</v>
      </c>
      <c r="P238" s="203"/>
      <c r="Q238" s="203">
        <f>SUM(Q239:Q245)</f>
        <v>0</v>
      </c>
      <c r="R238" s="203"/>
      <c r="S238" s="203"/>
      <c r="T238" s="203"/>
      <c r="U238" s="203"/>
      <c r="V238" s="203">
        <f>SUM(V239:V245)</f>
        <v>0</v>
      </c>
      <c r="W238" s="203"/>
      <c r="X238" s="203"/>
      <c r="AG238" s="184" t="s">
        <v>174</v>
      </c>
    </row>
    <row r="239" ht="12.75" customHeight="1" outlineLevel="1">
      <c r="A239" s="214">
        <v>37.0</v>
      </c>
      <c r="B239" s="215" t="s">
        <v>370</v>
      </c>
      <c r="C239" s="216" t="s">
        <v>371</v>
      </c>
      <c r="D239" s="217" t="s">
        <v>372</v>
      </c>
      <c r="E239" s="218">
        <v>1.0</v>
      </c>
      <c r="F239" s="219">
        <v>6773.9</v>
      </c>
      <c r="G239" s="220">
        <f>ROUND(E239*F239,2)</f>
        <v>6773.9</v>
      </c>
      <c r="H239" s="211"/>
      <c r="I239" s="212">
        <f>ROUND(E239*H239,2)</f>
        <v>0</v>
      </c>
      <c r="J239" s="211"/>
      <c r="K239" s="212">
        <f>ROUND(E239*J239,2)</f>
        <v>0</v>
      </c>
      <c r="L239" s="212">
        <v>21.0</v>
      </c>
      <c r="M239" s="212">
        <f>G239*(1+L239/100)</f>
        <v>8196.419</v>
      </c>
      <c r="N239" s="212">
        <v>0.0</v>
      </c>
      <c r="O239" s="212">
        <f>ROUND(E239*N239,2)</f>
        <v>0</v>
      </c>
      <c r="P239" s="212">
        <v>0.0</v>
      </c>
      <c r="Q239" s="212">
        <f>ROUND(E239*P239,2)</f>
        <v>0</v>
      </c>
      <c r="R239" s="212"/>
      <c r="S239" s="212" t="s">
        <v>178</v>
      </c>
      <c r="T239" s="212" t="s">
        <v>179</v>
      </c>
      <c r="U239" s="212">
        <v>0.0</v>
      </c>
      <c r="V239" s="212">
        <f>ROUND(E239*U239,2)</f>
        <v>0</v>
      </c>
      <c r="W239" s="212"/>
      <c r="X239" s="212" t="s">
        <v>225</v>
      </c>
      <c r="Y239" s="213"/>
      <c r="Z239" s="213"/>
      <c r="AA239" s="213"/>
      <c r="AB239" s="213"/>
      <c r="AC239" s="213"/>
      <c r="AD239" s="213"/>
      <c r="AE239" s="213"/>
      <c r="AF239" s="213"/>
      <c r="AG239" s="213" t="s">
        <v>226</v>
      </c>
      <c r="AH239" s="213"/>
      <c r="AI239" s="213"/>
      <c r="AJ239" s="213"/>
      <c r="AK239" s="213"/>
      <c r="AL239" s="213"/>
      <c r="AM239" s="213"/>
      <c r="AN239" s="213"/>
      <c r="AO239" s="213"/>
      <c r="AP239" s="213"/>
      <c r="AQ239" s="213"/>
      <c r="AR239" s="213"/>
      <c r="AS239" s="213"/>
      <c r="AT239" s="213"/>
      <c r="AU239" s="213"/>
      <c r="AV239" s="213"/>
      <c r="AW239" s="213"/>
      <c r="AX239" s="213"/>
      <c r="AY239" s="213"/>
      <c r="AZ239" s="213"/>
      <c r="BA239" s="213"/>
      <c r="BB239" s="213"/>
    </row>
    <row r="240" ht="12.75" customHeight="1" outlineLevel="1">
      <c r="A240" s="235"/>
      <c r="B240" s="236"/>
      <c r="C240" s="237" t="s">
        <v>373</v>
      </c>
      <c r="D240" s="238"/>
      <c r="E240" s="239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3"/>
      <c r="Z240" s="213"/>
      <c r="AA240" s="213"/>
      <c r="AB240" s="213"/>
      <c r="AC240" s="213"/>
      <c r="AD240" s="213"/>
      <c r="AE240" s="213"/>
      <c r="AF240" s="213"/>
      <c r="AG240" s="213" t="s">
        <v>228</v>
      </c>
      <c r="AH240" s="213">
        <v>0.0</v>
      </c>
      <c r="AI240" s="213"/>
      <c r="AJ240" s="213"/>
      <c r="AK240" s="213"/>
      <c r="AL240" s="213"/>
      <c r="AM240" s="213"/>
      <c r="AN240" s="213"/>
      <c r="AO240" s="213"/>
      <c r="AP240" s="213"/>
      <c r="AQ240" s="213"/>
      <c r="AR240" s="213"/>
      <c r="AS240" s="213"/>
      <c r="AT240" s="213"/>
      <c r="AU240" s="213"/>
      <c r="AV240" s="213"/>
      <c r="AW240" s="213"/>
      <c r="AX240" s="213"/>
      <c r="AY240" s="213"/>
      <c r="AZ240" s="213"/>
      <c r="BA240" s="213"/>
      <c r="BB240" s="213"/>
    </row>
    <row r="241" ht="12.75" customHeight="1" outlineLevel="1">
      <c r="A241" s="235"/>
      <c r="B241" s="236"/>
      <c r="C241" s="237" t="s">
        <v>374</v>
      </c>
      <c r="D241" s="238"/>
      <c r="E241" s="239">
        <v>1.0</v>
      </c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3"/>
      <c r="Z241" s="213"/>
      <c r="AA241" s="213"/>
      <c r="AB241" s="213"/>
      <c r="AC241" s="213"/>
      <c r="AD241" s="213"/>
      <c r="AE241" s="213"/>
      <c r="AF241" s="213"/>
      <c r="AG241" s="213" t="s">
        <v>228</v>
      </c>
      <c r="AH241" s="213">
        <v>0.0</v>
      </c>
      <c r="AI241" s="213"/>
      <c r="AJ241" s="213"/>
      <c r="AK241" s="213"/>
      <c r="AL241" s="213"/>
      <c r="AM241" s="213"/>
      <c r="AN241" s="213"/>
      <c r="AO241" s="213"/>
      <c r="AP241" s="213"/>
      <c r="AQ241" s="213"/>
      <c r="AR241" s="213"/>
      <c r="AS241" s="213"/>
      <c r="AT241" s="213"/>
      <c r="AU241" s="213"/>
      <c r="AV241" s="213"/>
      <c r="AW241" s="213"/>
      <c r="AX241" s="213"/>
      <c r="AY241" s="213"/>
      <c r="AZ241" s="213"/>
      <c r="BA241" s="213"/>
      <c r="BB241" s="213"/>
    </row>
    <row r="242" ht="12.75" customHeight="1" outlineLevel="1">
      <c r="A242" s="214">
        <v>38.0</v>
      </c>
      <c r="B242" s="215" t="s">
        <v>375</v>
      </c>
      <c r="C242" s="216" t="s">
        <v>376</v>
      </c>
      <c r="D242" s="217" t="s">
        <v>377</v>
      </c>
      <c r="E242" s="218">
        <v>1.0</v>
      </c>
      <c r="F242" s="219">
        <v>104442.0</v>
      </c>
      <c r="G242" s="220">
        <f>ROUND(E242*F242,2)</f>
        <v>104442</v>
      </c>
      <c r="H242" s="211"/>
      <c r="I242" s="212">
        <f>ROUND(E242*H242,2)</f>
        <v>0</v>
      </c>
      <c r="J242" s="211"/>
      <c r="K242" s="212">
        <f>ROUND(E242*J242,2)</f>
        <v>0</v>
      </c>
      <c r="L242" s="212">
        <v>21.0</v>
      </c>
      <c r="M242" s="212">
        <f>G242*(1+L242/100)</f>
        <v>126374.82</v>
      </c>
      <c r="N242" s="212">
        <v>0.0</v>
      </c>
      <c r="O242" s="212">
        <f>ROUND(E242*N242,2)</f>
        <v>0</v>
      </c>
      <c r="P242" s="212">
        <v>0.0</v>
      </c>
      <c r="Q242" s="212">
        <f>ROUND(E242*P242,2)</f>
        <v>0</v>
      </c>
      <c r="R242" s="212"/>
      <c r="S242" s="212" t="s">
        <v>178</v>
      </c>
      <c r="T242" s="212" t="s">
        <v>179</v>
      </c>
      <c r="U242" s="212">
        <v>0.0</v>
      </c>
      <c r="V242" s="212">
        <f>ROUND(E242*U242,2)</f>
        <v>0</v>
      </c>
      <c r="W242" s="212"/>
      <c r="X242" s="212" t="s">
        <v>225</v>
      </c>
      <c r="Y242" s="213"/>
      <c r="Z242" s="213"/>
      <c r="AA242" s="213"/>
      <c r="AB242" s="213"/>
      <c r="AC242" s="213"/>
      <c r="AD242" s="213"/>
      <c r="AE242" s="213"/>
      <c r="AF242" s="213"/>
      <c r="AG242" s="213" t="s">
        <v>226</v>
      </c>
      <c r="AH242" s="213"/>
      <c r="AI242" s="213"/>
      <c r="AJ242" s="213"/>
      <c r="AK242" s="213"/>
      <c r="AL242" s="213"/>
      <c r="AM242" s="213"/>
      <c r="AN242" s="213"/>
      <c r="AO242" s="213"/>
      <c r="AP242" s="213"/>
      <c r="AQ242" s="213"/>
      <c r="AR242" s="213"/>
      <c r="AS242" s="213"/>
      <c r="AT242" s="213"/>
      <c r="AU242" s="213"/>
      <c r="AV242" s="213"/>
      <c r="AW242" s="213"/>
      <c r="AX242" s="213"/>
      <c r="AY242" s="213"/>
      <c r="AZ242" s="213"/>
      <c r="BA242" s="213"/>
      <c r="BB242" s="213"/>
    </row>
    <row r="243" ht="12.75" customHeight="1" outlineLevel="1">
      <c r="A243" s="235"/>
      <c r="B243" s="236"/>
      <c r="C243" s="237" t="s">
        <v>378</v>
      </c>
      <c r="D243" s="238"/>
      <c r="E243" s="239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3"/>
      <c r="Z243" s="213"/>
      <c r="AA243" s="213"/>
      <c r="AB243" s="213"/>
      <c r="AC243" s="213"/>
      <c r="AD243" s="213"/>
      <c r="AE243" s="213"/>
      <c r="AF243" s="213"/>
      <c r="AG243" s="213" t="s">
        <v>228</v>
      </c>
      <c r="AH243" s="213">
        <v>0.0</v>
      </c>
      <c r="AI243" s="213"/>
      <c r="AJ243" s="213"/>
      <c r="AK243" s="213"/>
      <c r="AL243" s="213"/>
      <c r="AM243" s="213"/>
      <c r="AN243" s="213"/>
      <c r="AO243" s="213"/>
      <c r="AP243" s="213"/>
      <c r="AQ243" s="213"/>
      <c r="AR243" s="213"/>
      <c r="AS243" s="213"/>
      <c r="AT243" s="213"/>
      <c r="AU243" s="213"/>
      <c r="AV243" s="213"/>
      <c r="AW243" s="213"/>
      <c r="AX243" s="213"/>
      <c r="AY243" s="213"/>
      <c r="AZ243" s="213"/>
      <c r="BA243" s="213"/>
      <c r="BB243" s="213"/>
    </row>
    <row r="244" ht="12.75" customHeight="1" outlineLevel="1">
      <c r="A244" s="235"/>
      <c r="B244" s="236"/>
      <c r="C244" s="237" t="s">
        <v>379</v>
      </c>
      <c r="D244" s="238"/>
      <c r="E244" s="239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3"/>
      <c r="Z244" s="213"/>
      <c r="AA244" s="213"/>
      <c r="AB244" s="213"/>
      <c r="AC244" s="213"/>
      <c r="AD244" s="213"/>
      <c r="AE244" s="213"/>
      <c r="AF244" s="213"/>
      <c r="AG244" s="213" t="s">
        <v>228</v>
      </c>
      <c r="AH244" s="213">
        <v>0.0</v>
      </c>
      <c r="AI244" s="213"/>
      <c r="AJ244" s="213"/>
      <c r="AK244" s="213"/>
      <c r="AL244" s="213"/>
      <c r="AM244" s="213"/>
      <c r="AN244" s="213"/>
      <c r="AO244" s="213"/>
      <c r="AP244" s="213"/>
      <c r="AQ244" s="213"/>
      <c r="AR244" s="213"/>
      <c r="AS244" s="213"/>
      <c r="AT244" s="213"/>
      <c r="AU244" s="213"/>
      <c r="AV244" s="213"/>
      <c r="AW244" s="213"/>
      <c r="AX244" s="213"/>
      <c r="AY244" s="213"/>
      <c r="AZ244" s="213"/>
      <c r="BA244" s="213"/>
      <c r="BB244" s="213"/>
    </row>
    <row r="245" ht="12.75" customHeight="1" outlineLevel="1">
      <c r="A245" s="235"/>
      <c r="B245" s="236"/>
      <c r="C245" s="237" t="s">
        <v>374</v>
      </c>
      <c r="D245" s="238"/>
      <c r="E245" s="239">
        <v>1.0</v>
      </c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3"/>
      <c r="Z245" s="213"/>
      <c r="AA245" s="213"/>
      <c r="AB245" s="213"/>
      <c r="AC245" s="213"/>
      <c r="AD245" s="213"/>
      <c r="AE245" s="213"/>
      <c r="AF245" s="213"/>
      <c r="AG245" s="213" t="s">
        <v>228</v>
      </c>
      <c r="AH245" s="213">
        <v>0.0</v>
      </c>
      <c r="AI245" s="213"/>
      <c r="AJ245" s="213"/>
      <c r="AK245" s="213"/>
      <c r="AL245" s="213"/>
      <c r="AM245" s="213"/>
      <c r="AN245" s="213"/>
      <c r="AO245" s="213"/>
      <c r="AP245" s="213"/>
      <c r="AQ245" s="213"/>
      <c r="AR245" s="213"/>
      <c r="AS245" s="213"/>
      <c r="AT245" s="213"/>
      <c r="AU245" s="213"/>
      <c r="AV245" s="213"/>
      <c r="AW245" s="213"/>
      <c r="AX245" s="213"/>
      <c r="AY245" s="213"/>
      <c r="AZ245" s="213"/>
      <c r="BA245" s="213"/>
      <c r="BB245" s="213"/>
    </row>
    <row r="246" ht="12.75" customHeight="1">
      <c r="A246" s="196" t="s">
        <v>173</v>
      </c>
      <c r="B246" s="197" t="s">
        <v>116</v>
      </c>
      <c r="C246" s="198" t="s">
        <v>117</v>
      </c>
      <c r="D246" s="199"/>
      <c r="E246" s="200"/>
      <c r="F246" s="201"/>
      <c r="G246" s="202">
        <f>SUMIF(AG247:AG260,"&lt;&gt;NOR",G247:G260)</f>
        <v>5447.38</v>
      </c>
      <c r="H246" s="203"/>
      <c r="I246" s="203">
        <f>SUM(I247:I260)</f>
        <v>0</v>
      </c>
      <c r="J246" s="203"/>
      <c r="K246" s="203">
        <f>SUM(K247:K260)</f>
        <v>0</v>
      </c>
      <c r="L246" s="203"/>
      <c r="M246" s="203">
        <f>SUM(M247:M260)</f>
        <v>6591.3298</v>
      </c>
      <c r="N246" s="203"/>
      <c r="O246" s="203">
        <f>SUM(O247:O260)</f>
        <v>1.65</v>
      </c>
      <c r="P246" s="203"/>
      <c r="Q246" s="203">
        <f>SUM(Q247:Q260)</f>
        <v>0</v>
      </c>
      <c r="R246" s="203"/>
      <c r="S246" s="203"/>
      <c r="T246" s="203"/>
      <c r="U246" s="203"/>
      <c r="V246" s="203">
        <f>SUM(V247:V260)</f>
        <v>2.29</v>
      </c>
      <c r="W246" s="203"/>
      <c r="X246" s="203"/>
      <c r="AG246" s="184" t="s">
        <v>174</v>
      </c>
    </row>
    <row r="247" ht="12.75" customHeight="1" outlineLevel="1">
      <c r="A247" s="214">
        <v>39.0</v>
      </c>
      <c r="B247" s="215" t="s">
        <v>380</v>
      </c>
      <c r="C247" s="216" t="s">
        <v>381</v>
      </c>
      <c r="D247" s="217" t="s">
        <v>251</v>
      </c>
      <c r="E247" s="218">
        <v>8.0</v>
      </c>
      <c r="F247" s="219">
        <v>377.29</v>
      </c>
      <c r="G247" s="220">
        <f>ROUND(E247*F247,2)</f>
        <v>3018.32</v>
      </c>
      <c r="H247" s="211"/>
      <c r="I247" s="212">
        <f>ROUND(E247*H247,2)</f>
        <v>0</v>
      </c>
      <c r="J247" s="211"/>
      <c r="K247" s="212">
        <f>ROUND(E247*J247,2)</f>
        <v>0</v>
      </c>
      <c r="L247" s="212">
        <v>21.0</v>
      </c>
      <c r="M247" s="212">
        <f>G247*(1+L247/100)</f>
        <v>3652.1672</v>
      </c>
      <c r="N247" s="212">
        <v>0.14424</v>
      </c>
      <c r="O247" s="212">
        <f>ROUND(E247*N247,2)</f>
        <v>1.15</v>
      </c>
      <c r="P247" s="212">
        <v>0.0</v>
      </c>
      <c r="Q247" s="212">
        <f>ROUND(E247*P247,2)</f>
        <v>0</v>
      </c>
      <c r="R247" s="212"/>
      <c r="S247" s="212" t="s">
        <v>184</v>
      </c>
      <c r="T247" s="212" t="s">
        <v>184</v>
      </c>
      <c r="U247" s="212">
        <v>0.216</v>
      </c>
      <c r="V247" s="212">
        <f>ROUND(E247*U247,2)</f>
        <v>1.73</v>
      </c>
      <c r="W247" s="212"/>
      <c r="X247" s="212" t="s">
        <v>225</v>
      </c>
      <c r="Y247" s="213"/>
      <c r="Z247" s="213"/>
      <c r="AA247" s="213"/>
      <c r="AB247" s="213"/>
      <c r="AC247" s="213"/>
      <c r="AD247" s="213"/>
      <c r="AE247" s="213"/>
      <c r="AF247" s="213"/>
      <c r="AG247" s="213" t="s">
        <v>226</v>
      </c>
      <c r="AH247" s="213"/>
      <c r="AI247" s="213"/>
      <c r="AJ247" s="213"/>
      <c r="AK247" s="213"/>
      <c r="AL247" s="213"/>
      <c r="AM247" s="213"/>
      <c r="AN247" s="213"/>
      <c r="AO247" s="213"/>
      <c r="AP247" s="213"/>
      <c r="AQ247" s="213"/>
      <c r="AR247" s="213"/>
      <c r="AS247" s="213"/>
      <c r="AT247" s="213"/>
      <c r="AU247" s="213"/>
      <c r="AV247" s="213"/>
      <c r="AW247" s="213"/>
      <c r="AX247" s="213"/>
      <c r="AY247" s="213"/>
      <c r="AZ247" s="213"/>
      <c r="BA247" s="213"/>
      <c r="BB247" s="213"/>
    </row>
    <row r="248" ht="12.75" customHeight="1" outlineLevel="1">
      <c r="A248" s="235"/>
      <c r="B248" s="236"/>
      <c r="C248" s="237" t="s">
        <v>242</v>
      </c>
      <c r="D248" s="238"/>
      <c r="E248" s="239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3"/>
      <c r="Z248" s="213"/>
      <c r="AA248" s="213"/>
      <c r="AB248" s="213"/>
      <c r="AC248" s="213"/>
      <c r="AD248" s="213"/>
      <c r="AE248" s="213"/>
      <c r="AF248" s="213"/>
      <c r="AG248" s="213" t="s">
        <v>228</v>
      </c>
      <c r="AH248" s="213">
        <v>0.0</v>
      </c>
      <c r="AI248" s="213"/>
      <c r="AJ248" s="213"/>
      <c r="AK248" s="213"/>
      <c r="AL248" s="213"/>
      <c r="AM248" s="213"/>
      <c r="AN248" s="213"/>
      <c r="AO248" s="213"/>
      <c r="AP248" s="213"/>
      <c r="AQ248" s="213"/>
      <c r="AR248" s="213"/>
      <c r="AS248" s="213"/>
      <c r="AT248" s="213"/>
      <c r="AU248" s="213"/>
      <c r="AV248" s="213"/>
      <c r="AW248" s="213"/>
      <c r="AX248" s="213"/>
      <c r="AY248" s="213"/>
      <c r="AZ248" s="213"/>
      <c r="BA248" s="213"/>
      <c r="BB248" s="213"/>
    </row>
    <row r="249" ht="12.75" customHeight="1" outlineLevel="1">
      <c r="A249" s="235"/>
      <c r="B249" s="236"/>
      <c r="C249" s="237" t="s">
        <v>252</v>
      </c>
      <c r="D249" s="238"/>
      <c r="E249" s="239">
        <v>4.0</v>
      </c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3"/>
      <c r="Z249" s="213"/>
      <c r="AA249" s="213"/>
      <c r="AB249" s="213"/>
      <c r="AC249" s="213"/>
      <c r="AD249" s="213"/>
      <c r="AE249" s="213"/>
      <c r="AF249" s="213"/>
      <c r="AG249" s="213" t="s">
        <v>228</v>
      </c>
      <c r="AH249" s="213">
        <v>0.0</v>
      </c>
      <c r="AI249" s="213"/>
      <c r="AJ249" s="213"/>
      <c r="AK249" s="213"/>
      <c r="AL249" s="213"/>
      <c r="AM249" s="213"/>
      <c r="AN249" s="213"/>
      <c r="AO249" s="213"/>
      <c r="AP249" s="213"/>
      <c r="AQ249" s="213"/>
      <c r="AR249" s="213"/>
      <c r="AS249" s="213"/>
      <c r="AT249" s="213"/>
      <c r="AU249" s="213"/>
      <c r="AV249" s="213"/>
      <c r="AW249" s="213"/>
      <c r="AX249" s="213"/>
      <c r="AY249" s="213"/>
      <c r="AZ249" s="213"/>
      <c r="BA249" s="213"/>
      <c r="BB249" s="213"/>
    </row>
    <row r="250" ht="12.75" customHeight="1" outlineLevel="1">
      <c r="A250" s="235"/>
      <c r="B250" s="236"/>
      <c r="C250" s="237" t="s">
        <v>252</v>
      </c>
      <c r="D250" s="238"/>
      <c r="E250" s="239">
        <v>4.0</v>
      </c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3"/>
      <c r="Z250" s="213"/>
      <c r="AA250" s="213"/>
      <c r="AB250" s="213"/>
      <c r="AC250" s="213"/>
      <c r="AD250" s="213"/>
      <c r="AE250" s="213"/>
      <c r="AF250" s="213"/>
      <c r="AG250" s="213" t="s">
        <v>228</v>
      </c>
      <c r="AH250" s="213">
        <v>0.0</v>
      </c>
      <c r="AI250" s="213"/>
      <c r="AJ250" s="213"/>
      <c r="AK250" s="213"/>
      <c r="AL250" s="213"/>
      <c r="AM250" s="213"/>
      <c r="AN250" s="213"/>
      <c r="AO250" s="213"/>
      <c r="AP250" s="213"/>
      <c r="AQ250" s="213"/>
      <c r="AR250" s="213"/>
      <c r="AS250" s="213"/>
      <c r="AT250" s="213"/>
      <c r="AU250" s="213"/>
      <c r="AV250" s="213"/>
      <c r="AW250" s="213"/>
      <c r="AX250" s="213"/>
      <c r="AY250" s="213"/>
      <c r="AZ250" s="213"/>
      <c r="BA250" s="213"/>
      <c r="BB250" s="213"/>
    </row>
    <row r="251" ht="12.75" customHeight="1" outlineLevel="1">
      <c r="A251" s="214">
        <v>40.0</v>
      </c>
      <c r="B251" s="215" t="s">
        <v>382</v>
      </c>
      <c r="C251" s="216" t="s">
        <v>383</v>
      </c>
      <c r="D251" s="217" t="s">
        <v>251</v>
      </c>
      <c r="E251" s="218">
        <v>15.0</v>
      </c>
      <c r="F251" s="219">
        <v>92.29</v>
      </c>
      <c r="G251" s="220">
        <f>ROUND(E251*F251,2)</f>
        <v>1384.35</v>
      </c>
      <c r="H251" s="211"/>
      <c r="I251" s="212">
        <f>ROUND(E251*H251,2)</f>
        <v>0</v>
      </c>
      <c r="J251" s="211"/>
      <c r="K251" s="212">
        <f>ROUND(E251*J251,2)</f>
        <v>0</v>
      </c>
      <c r="L251" s="212">
        <v>21.0</v>
      </c>
      <c r="M251" s="212">
        <f>G251*(1+L251/100)</f>
        <v>1675.0635</v>
      </c>
      <c r="N251" s="212">
        <v>0.0</v>
      </c>
      <c r="O251" s="212">
        <f>ROUND(E251*N251,2)</f>
        <v>0</v>
      </c>
      <c r="P251" s="212">
        <v>0.0</v>
      </c>
      <c r="Q251" s="212">
        <f>ROUND(E251*P251,2)</f>
        <v>0</v>
      </c>
      <c r="R251" s="212"/>
      <c r="S251" s="212" t="s">
        <v>184</v>
      </c>
      <c r="T251" s="212" t="s">
        <v>184</v>
      </c>
      <c r="U251" s="212">
        <v>0.037</v>
      </c>
      <c r="V251" s="212">
        <f>ROUND(E251*U251,2)</f>
        <v>0.56</v>
      </c>
      <c r="W251" s="212"/>
      <c r="X251" s="212" t="s">
        <v>225</v>
      </c>
      <c r="Y251" s="213"/>
      <c r="Z251" s="213"/>
      <c r="AA251" s="213"/>
      <c r="AB251" s="213"/>
      <c r="AC251" s="213"/>
      <c r="AD251" s="213"/>
      <c r="AE251" s="213"/>
      <c r="AF251" s="213"/>
      <c r="AG251" s="213" t="s">
        <v>226</v>
      </c>
      <c r="AH251" s="213"/>
      <c r="AI251" s="213"/>
      <c r="AJ251" s="213"/>
      <c r="AK251" s="213"/>
      <c r="AL251" s="213"/>
      <c r="AM251" s="213"/>
      <c r="AN251" s="213"/>
      <c r="AO251" s="213"/>
      <c r="AP251" s="213"/>
      <c r="AQ251" s="213"/>
      <c r="AR251" s="213"/>
      <c r="AS251" s="213"/>
      <c r="AT251" s="213"/>
      <c r="AU251" s="213"/>
      <c r="AV251" s="213"/>
      <c r="AW251" s="213"/>
      <c r="AX251" s="213"/>
      <c r="AY251" s="213"/>
      <c r="AZ251" s="213"/>
      <c r="BA251" s="213"/>
      <c r="BB251" s="213"/>
    </row>
    <row r="252" ht="12.75" customHeight="1" outlineLevel="1">
      <c r="A252" s="235"/>
      <c r="B252" s="236"/>
      <c r="C252" s="237" t="s">
        <v>227</v>
      </c>
      <c r="D252" s="238"/>
      <c r="E252" s="239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3"/>
      <c r="Z252" s="213"/>
      <c r="AA252" s="213"/>
      <c r="AB252" s="213"/>
      <c r="AC252" s="213"/>
      <c r="AD252" s="213"/>
      <c r="AE252" s="213"/>
      <c r="AF252" s="213"/>
      <c r="AG252" s="213" t="s">
        <v>228</v>
      </c>
      <c r="AH252" s="213">
        <v>0.0</v>
      </c>
      <c r="AI252" s="213"/>
      <c r="AJ252" s="213"/>
      <c r="AK252" s="213"/>
      <c r="AL252" s="213"/>
      <c r="AM252" s="213"/>
      <c r="AN252" s="213"/>
      <c r="AO252" s="213"/>
      <c r="AP252" s="213"/>
      <c r="AQ252" s="213"/>
      <c r="AR252" s="213"/>
      <c r="AS252" s="213"/>
      <c r="AT252" s="213"/>
      <c r="AU252" s="213"/>
      <c r="AV252" s="213"/>
      <c r="AW252" s="213"/>
      <c r="AX252" s="213"/>
      <c r="AY252" s="213"/>
      <c r="AZ252" s="213"/>
      <c r="BA252" s="213"/>
      <c r="BB252" s="213"/>
    </row>
    <row r="253" ht="12.75" customHeight="1" outlineLevel="1">
      <c r="A253" s="235"/>
      <c r="B253" s="236"/>
      <c r="C253" s="237" t="s">
        <v>384</v>
      </c>
      <c r="D253" s="238"/>
      <c r="E253" s="239">
        <v>15.0</v>
      </c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3"/>
      <c r="Z253" s="213"/>
      <c r="AA253" s="213"/>
      <c r="AB253" s="213"/>
      <c r="AC253" s="213"/>
      <c r="AD253" s="213"/>
      <c r="AE253" s="213"/>
      <c r="AF253" s="213"/>
      <c r="AG253" s="213" t="s">
        <v>228</v>
      </c>
      <c r="AH253" s="213">
        <v>0.0</v>
      </c>
      <c r="AI253" s="213"/>
      <c r="AJ253" s="213"/>
      <c r="AK253" s="213"/>
      <c r="AL253" s="213"/>
      <c r="AM253" s="213"/>
      <c r="AN253" s="213"/>
      <c r="AO253" s="213"/>
      <c r="AP253" s="213"/>
      <c r="AQ253" s="213"/>
      <c r="AR253" s="213"/>
      <c r="AS253" s="213"/>
      <c r="AT253" s="213"/>
      <c r="AU253" s="213"/>
      <c r="AV253" s="213"/>
      <c r="AW253" s="213"/>
      <c r="AX253" s="213"/>
      <c r="AY253" s="213"/>
      <c r="AZ253" s="213"/>
      <c r="BA253" s="213"/>
      <c r="BB253" s="213"/>
    </row>
    <row r="254" ht="12.75" customHeight="1" outlineLevel="1">
      <c r="A254" s="214">
        <v>41.0</v>
      </c>
      <c r="B254" s="215" t="s">
        <v>385</v>
      </c>
      <c r="C254" s="216" t="s">
        <v>386</v>
      </c>
      <c r="D254" s="217" t="s">
        <v>372</v>
      </c>
      <c r="E254" s="218">
        <v>8.4</v>
      </c>
      <c r="F254" s="219">
        <v>124.37</v>
      </c>
      <c r="G254" s="220">
        <f>ROUND(E254*F254,2)</f>
        <v>1044.71</v>
      </c>
      <c r="H254" s="211"/>
      <c r="I254" s="212">
        <f>ROUND(E254*H254,2)</f>
        <v>0</v>
      </c>
      <c r="J254" s="211"/>
      <c r="K254" s="212">
        <f>ROUND(E254*J254,2)</f>
        <v>0</v>
      </c>
      <c r="L254" s="212">
        <v>21.0</v>
      </c>
      <c r="M254" s="212">
        <f>G254*(1+L254/100)</f>
        <v>1264.0991</v>
      </c>
      <c r="N254" s="212">
        <v>0.06</v>
      </c>
      <c r="O254" s="212">
        <f>ROUND(E254*N254,2)</f>
        <v>0.5</v>
      </c>
      <c r="P254" s="212">
        <v>0.0</v>
      </c>
      <c r="Q254" s="212">
        <f>ROUND(E254*P254,2)</f>
        <v>0</v>
      </c>
      <c r="R254" s="212" t="s">
        <v>322</v>
      </c>
      <c r="S254" s="212" t="s">
        <v>184</v>
      </c>
      <c r="T254" s="212" t="s">
        <v>184</v>
      </c>
      <c r="U254" s="212">
        <v>0.0</v>
      </c>
      <c r="V254" s="212">
        <f>ROUND(E254*U254,2)</f>
        <v>0</v>
      </c>
      <c r="W254" s="212"/>
      <c r="X254" s="212" t="s">
        <v>323</v>
      </c>
      <c r="Y254" s="213"/>
      <c r="Z254" s="213"/>
      <c r="AA254" s="213"/>
      <c r="AB254" s="213"/>
      <c r="AC254" s="213"/>
      <c r="AD254" s="213"/>
      <c r="AE254" s="213"/>
      <c r="AF254" s="213"/>
      <c r="AG254" s="213" t="s">
        <v>324</v>
      </c>
      <c r="AH254" s="213"/>
      <c r="AI254" s="213"/>
      <c r="AJ254" s="213"/>
      <c r="AK254" s="213"/>
      <c r="AL254" s="213"/>
      <c r="AM254" s="213"/>
      <c r="AN254" s="213"/>
      <c r="AO254" s="213"/>
      <c r="AP254" s="213"/>
      <c r="AQ254" s="213"/>
      <c r="AR254" s="213"/>
      <c r="AS254" s="213"/>
      <c r="AT254" s="213"/>
      <c r="AU254" s="213"/>
      <c r="AV254" s="213"/>
      <c r="AW254" s="213"/>
      <c r="AX254" s="213"/>
      <c r="AY254" s="213"/>
      <c r="AZ254" s="213"/>
      <c r="BA254" s="213"/>
      <c r="BB254" s="213"/>
    </row>
    <row r="255" ht="12.75" customHeight="1" outlineLevel="1">
      <c r="A255" s="235"/>
      <c r="B255" s="236"/>
      <c r="C255" s="237" t="s">
        <v>242</v>
      </c>
      <c r="D255" s="238"/>
      <c r="E255" s="239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3"/>
      <c r="Z255" s="213"/>
      <c r="AA255" s="213"/>
      <c r="AB255" s="213"/>
      <c r="AC255" s="213"/>
      <c r="AD255" s="213"/>
      <c r="AE255" s="213"/>
      <c r="AF255" s="213"/>
      <c r="AG255" s="213" t="s">
        <v>228</v>
      </c>
      <c r="AH255" s="213">
        <v>0.0</v>
      </c>
      <c r="AI255" s="213"/>
      <c r="AJ255" s="213"/>
      <c r="AK255" s="213"/>
      <c r="AL255" s="213"/>
      <c r="AM255" s="213"/>
      <c r="AN255" s="213"/>
      <c r="AO255" s="213"/>
      <c r="AP255" s="213"/>
      <c r="AQ255" s="213"/>
      <c r="AR255" s="213"/>
      <c r="AS255" s="213"/>
      <c r="AT255" s="213"/>
      <c r="AU255" s="213"/>
      <c r="AV255" s="213"/>
      <c r="AW255" s="213"/>
      <c r="AX255" s="213"/>
      <c r="AY255" s="213"/>
      <c r="AZ255" s="213"/>
      <c r="BA255" s="213"/>
      <c r="BB255" s="213"/>
    </row>
    <row r="256" ht="12.75" customHeight="1" outlineLevel="1">
      <c r="A256" s="235"/>
      <c r="B256" s="236"/>
      <c r="C256" s="240" t="s">
        <v>236</v>
      </c>
      <c r="D256" s="241"/>
      <c r="E256" s="24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3"/>
      <c r="Z256" s="213"/>
      <c r="AA256" s="213"/>
      <c r="AB256" s="213"/>
      <c r="AC256" s="213"/>
      <c r="AD256" s="213"/>
      <c r="AE256" s="213"/>
      <c r="AF256" s="213"/>
      <c r="AG256" s="213" t="s">
        <v>228</v>
      </c>
      <c r="AH256" s="213"/>
      <c r="AI256" s="213"/>
      <c r="AJ256" s="213"/>
      <c r="AK256" s="213"/>
      <c r="AL256" s="213"/>
      <c r="AM256" s="213"/>
      <c r="AN256" s="213"/>
      <c r="AO256" s="213"/>
      <c r="AP256" s="213"/>
      <c r="AQ256" s="213"/>
      <c r="AR256" s="213"/>
      <c r="AS256" s="213"/>
      <c r="AT256" s="213"/>
      <c r="AU256" s="213"/>
      <c r="AV256" s="213"/>
      <c r="AW256" s="213"/>
      <c r="AX256" s="213"/>
      <c r="AY256" s="213"/>
      <c r="AZ256" s="213"/>
      <c r="BA256" s="213"/>
      <c r="BB256" s="213"/>
    </row>
    <row r="257" ht="12.75" customHeight="1" outlineLevel="1">
      <c r="A257" s="235"/>
      <c r="B257" s="236"/>
      <c r="C257" s="243" t="s">
        <v>387</v>
      </c>
      <c r="D257" s="241"/>
      <c r="E257" s="242">
        <v>4.0</v>
      </c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3"/>
      <c r="Z257" s="213"/>
      <c r="AA257" s="213"/>
      <c r="AB257" s="213"/>
      <c r="AC257" s="213"/>
      <c r="AD257" s="213"/>
      <c r="AE257" s="213"/>
      <c r="AF257" s="213"/>
      <c r="AG257" s="213" t="s">
        <v>228</v>
      </c>
      <c r="AH257" s="213">
        <v>2.0</v>
      </c>
      <c r="AI257" s="213"/>
      <c r="AJ257" s="213"/>
      <c r="AK257" s="213"/>
      <c r="AL257" s="213"/>
      <c r="AM257" s="213"/>
      <c r="AN257" s="213"/>
      <c r="AO257" s="213"/>
      <c r="AP257" s="213"/>
      <c r="AQ257" s="213"/>
      <c r="AR257" s="213"/>
      <c r="AS257" s="213"/>
      <c r="AT257" s="213"/>
      <c r="AU257" s="213"/>
      <c r="AV257" s="213"/>
      <c r="AW257" s="213"/>
      <c r="AX257" s="213"/>
      <c r="AY257" s="213"/>
      <c r="AZ257" s="213"/>
      <c r="BA257" s="213"/>
      <c r="BB257" s="213"/>
    </row>
    <row r="258" ht="12.75" customHeight="1" outlineLevel="1">
      <c r="A258" s="235"/>
      <c r="B258" s="236"/>
      <c r="C258" s="243" t="s">
        <v>387</v>
      </c>
      <c r="D258" s="241"/>
      <c r="E258" s="242">
        <v>4.0</v>
      </c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3"/>
      <c r="Z258" s="213"/>
      <c r="AA258" s="213"/>
      <c r="AB258" s="213"/>
      <c r="AC258" s="213"/>
      <c r="AD258" s="213"/>
      <c r="AE258" s="213"/>
      <c r="AF258" s="213"/>
      <c r="AG258" s="213" t="s">
        <v>228</v>
      </c>
      <c r="AH258" s="213">
        <v>2.0</v>
      </c>
      <c r="AI258" s="213"/>
      <c r="AJ258" s="213"/>
      <c r="AK258" s="213"/>
      <c r="AL258" s="213"/>
      <c r="AM258" s="213"/>
      <c r="AN258" s="213"/>
      <c r="AO258" s="213"/>
      <c r="AP258" s="213"/>
      <c r="AQ258" s="213"/>
      <c r="AR258" s="213"/>
      <c r="AS258" s="213"/>
      <c r="AT258" s="213"/>
      <c r="AU258" s="213"/>
      <c r="AV258" s="213"/>
      <c r="AW258" s="213"/>
      <c r="AX258" s="213"/>
      <c r="AY258" s="213"/>
      <c r="AZ258" s="213"/>
      <c r="BA258" s="213"/>
      <c r="BB258" s="213"/>
    </row>
    <row r="259" ht="12.75" customHeight="1" outlineLevel="1">
      <c r="A259" s="235"/>
      <c r="B259" s="236"/>
      <c r="C259" s="240" t="s">
        <v>238</v>
      </c>
      <c r="D259" s="241"/>
      <c r="E259" s="24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3"/>
      <c r="Z259" s="213"/>
      <c r="AA259" s="213"/>
      <c r="AB259" s="213"/>
      <c r="AC259" s="213"/>
      <c r="AD259" s="213"/>
      <c r="AE259" s="213"/>
      <c r="AF259" s="213"/>
      <c r="AG259" s="213" t="s">
        <v>228</v>
      </c>
      <c r="AH259" s="213"/>
      <c r="AI259" s="213"/>
      <c r="AJ259" s="213"/>
      <c r="AK259" s="213"/>
      <c r="AL259" s="213"/>
      <c r="AM259" s="213"/>
      <c r="AN259" s="213"/>
      <c r="AO259" s="213"/>
      <c r="AP259" s="213"/>
      <c r="AQ259" s="213"/>
      <c r="AR259" s="213"/>
      <c r="AS259" s="213"/>
      <c r="AT259" s="213"/>
      <c r="AU259" s="213"/>
      <c r="AV259" s="213"/>
      <c r="AW259" s="213"/>
      <c r="AX259" s="213"/>
      <c r="AY259" s="213"/>
      <c r="AZ259" s="213"/>
      <c r="BA259" s="213"/>
      <c r="BB259" s="213"/>
    </row>
    <row r="260" ht="12.75" customHeight="1" outlineLevel="1">
      <c r="A260" s="235"/>
      <c r="B260" s="236"/>
      <c r="C260" s="237" t="s">
        <v>388</v>
      </c>
      <c r="D260" s="238"/>
      <c r="E260" s="239">
        <v>8.4</v>
      </c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3"/>
      <c r="Z260" s="213"/>
      <c r="AA260" s="213"/>
      <c r="AB260" s="213"/>
      <c r="AC260" s="213"/>
      <c r="AD260" s="213"/>
      <c r="AE260" s="213"/>
      <c r="AF260" s="213"/>
      <c r="AG260" s="213" t="s">
        <v>228</v>
      </c>
      <c r="AH260" s="213">
        <v>0.0</v>
      </c>
      <c r="AI260" s="213"/>
      <c r="AJ260" s="213"/>
      <c r="AK260" s="213"/>
      <c r="AL260" s="213"/>
      <c r="AM260" s="213"/>
      <c r="AN260" s="213"/>
      <c r="AO260" s="213"/>
      <c r="AP260" s="213"/>
      <c r="AQ260" s="213"/>
      <c r="AR260" s="213"/>
      <c r="AS260" s="213"/>
      <c r="AT260" s="213"/>
      <c r="AU260" s="213"/>
      <c r="AV260" s="213"/>
      <c r="AW260" s="213"/>
      <c r="AX260" s="213"/>
      <c r="AY260" s="213"/>
      <c r="AZ260" s="213"/>
      <c r="BA260" s="213"/>
      <c r="BB260" s="213"/>
    </row>
    <row r="261" ht="12.75" customHeight="1">
      <c r="A261" s="196" t="s">
        <v>173</v>
      </c>
      <c r="B261" s="197" t="s">
        <v>118</v>
      </c>
      <c r="C261" s="198" t="s">
        <v>119</v>
      </c>
      <c r="D261" s="199"/>
      <c r="E261" s="200"/>
      <c r="F261" s="201"/>
      <c r="G261" s="202">
        <f>SUMIF(AG262:AG266,"&lt;&gt;NOR",G262:G266)</f>
        <v>34248.15</v>
      </c>
      <c r="H261" s="203"/>
      <c r="I261" s="203">
        <f>SUM(I262:I266)</f>
        <v>0</v>
      </c>
      <c r="J261" s="203"/>
      <c r="K261" s="203">
        <f>SUM(K262:K266)</f>
        <v>0</v>
      </c>
      <c r="L261" s="203"/>
      <c r="M261" s="203">
        <f>SUM(M262:M266)</f>
        <v>41440.2615</v>
      </c>
      <c r="N261" s="203"/>
      <c r="O261" s="203">
        <f>SUM(O262:O266)</f>
        <v>15.17</v>
      </c>
      <c r="P261" s="203"/>
      <c r="Q261" s="203">
        <f>SUM(Q262:Q266)</f>
        <v>0</v>
      </c>
      <c r="R261" s="203"/>
      <c r="S261" s="203"/>
      <c r="T261" s="203"/>
      <c r="U261" s="203"/>
      <c r="V261" s="203">
        <f>SUM(V262:V266)</f>
        <v>0</v>
      </c>
      <c r="W261" s="203"/>
      <c r="X261" s="203"/>
      <c r="AG261" s="184" t="s">
        <v>174</v>
      </c>
    </row>
    <row r="262" ht="12.75" customHeight="1" outlineLevel="1">
      <c r="A262" s="204">
        <v>42.0</v>
      </c>
      <c r="B262" s="205" t="s">
        <v>389</v>
      </c>
      <c r="C262" s="206" t="s">
        <v>390</v>
      </c>
      <c r="D262" s="207" t="s">
        <v>251</v>
      </c>
      <c r="E262" s="208">
        <v>4.0</v>
      </c>
      <c r="F262" s="209">
        <v>556.61</v>
      </c>
      <c r="G262" s="210">
        <f t="shared" ref="G262:G263" si="8">ROUND(E262*F262,2)</f>
        <v>2226.44</v>
      </c>
      <c r="H262" s="211"/>
      <c r="I262" s="212">
        <f t="shared" ref="I262:I263" si="9">ROUND(E262*H262,2)</f>
        <v>0</v>
      </c>
      <c r="J262" s="211"/>
      <c r="K262" s="212">
        <f t="shared" ref="K262:K263" si="10">ROUND(E262*J262,2)</f>
        <v>0</v>
      </c>
      <c r="L262" s="212">
        <v>21.0</v>
      </c>
      <c r="M262" s="212">
        <f t="shared" ref="M262:M263" si="11">G262*(1+L262/100)</f>
        <v>2693.9924</v>
      </c>
      <c r="N262" s="212">
        <v>0.0</v>
      </c>
      <c r="O262" s="212">
        <f t="shared" ref="O262:O263" si="12">ROUND(E262*N262,2)</f>
        <v>0</v>
      </c>
      <c r="P262" s="212">
        <v>0.0</v>
      </c>
      <c r="Q262" s="212">
        <f t="shared" ref="Q262:Q263" si="13">ROUND(E262*P262,2)</f>
        <v>0</v>
      </c>
      <c r="R262" s="212"/>
      <c r="S262" s="212" t="s">
        <v>178</v>
      </c>
      <c r="T262" s="212" t="s">
        <v>179</v>
      </c>
      <c r="U262" s="212">
        <v>0.0</v>
      </c>
      <c r="V262" s="212">
        <f t="shared" ref="V262:V263" si="14">ROUND(E262*U262,2)</f>
        <v>0</v>
      </c>
      <c r="W262" s="212"/>
      <c r="X262" s="212" t="s">
        <v>225</v>
      </c>
      <c r="Y262" s="213"/>
      <c r="Z262" s="213"/>
      <c r="AA262" s="213"/>
      <c r="AB262" s="213"/>
      <c r="AC262" s="213"/>
      <c r="AD262" s="213"/>
      <c r="AE262" s="213"/>
      <c r="AF262" s="213"/>
      <c r="AG262" s="213" t="s">
        <v>226</v>
      </c>
      <c r="AH262" s="213"/>
      <c r="AI262" s="213"/>
      <c r="AJ262" s="213"/>
      <c r="AK262" s="213"/>
      <c r="AL262" s="213"/>
      <c r="AM262" s="213"/>
      <c r="AN262" s="213"/>
      <c r="AO262" s="213"/>
      <c r="AP262" s="213"/>
      <c r="AQ262" s="213"/>
      <c r="AR262" s="213"/>
      <c r="AS262" s="213"/>
      <c r="AT262" s="213"/>
      <c r="AU262" s="213"/>
      <c r="AV262" s="213"/>
      <c r="AW262" s="213"/>
      <c r="AX262" s="213"/>
      <c r="AY262" s="213"/>
      <c r="AZ262" s="213"/>
      <c r="BA262" s="213"/>
      <c r="BB262" s="213"/>
    </row>
    <row r="263" ht="12.75" customHeight="1" outlineLevel="1">
      <c r="A263" s="214">
        <v>43.0</v>
      </c>
      <c r="B263" s="215" t="s">
        <v>391</v>
      </c>
      <c r="C263" s="216" t="s">
        <v>392</v>
      </c>
      <c r="D263" s="217" t="s">
        <v>251</v>
      </c>
      <c r="E263" s="218">
        <v>119.0</v>
      </c>
      <c r="F263" s="219">
        <v>269.09</v>
      </c>
      <c r="G263" s="220">
        <f t="shared" si="8"/>
        <v>32021.71</v>
      </c>
      <c r="H263" s="211"/>
      <c r="I263" s="212">
        <f t="shared" si="9"/>
        <v>0</v>
      </c>
      <c r="J263" s="211"/>
      <c r="K263" s="212">
        <f t="shared" si="10"/>
        <v>0</v>
      </c>
      <c r="L263" s="212">
        <v>21.0</v>
      </c>
      <c r="M263" s="212">
        <f t="shared" si="11"/>
        <v>38746.2691</v>
      </c>
      <c r="N263" s="212">
        <v>0.12751</v>
      </c>
      <c r="O263" s="212">
        <f t="shared" si="12"/>
        <v>15.17</v>
      </c>
      <c r="P263" s="212">
        <v>0.0</v>
      </c>
      <c r="Q263" s="212">
        <f t="shared" si="13"/>
        <v>0</v>
      </c>
      <c r="R263" s="212"/>
      <c r="S263" s="212" t="s">
        <v>184</v>
      </c>
      <c r="T263" s="212" t="s">
        <v>184</v>
      </c>
      <c r="U263" s="212">
        <v>0.0</v>
      </c>
      <c r="V263" s="212">
        <f t="shared" si="14"/>
        <v>0</v>
      </c>
      <c r="W263" s="212"/>
      <c r="X263" s="212" t="s">
        <v>225</v>
      </c>
      <c r="Y263" s="213"/>
      <c r="Z263" s="213"/>
      <c r="AA263" s="213"/>
      <c r="AB263" s="213"/>
      <c r="AC263" s="213"/>
      <c r="AD263" s="213"/>
      <c r="AE263" s="213"/>
      <c r="AF263" s="213"/>
      <c r="AG263" s="213" t="s">
        <v>292</v>
      </c>
      <c r="AH263" s="213"/>
      <c r="AI263" s="213"/>
      <c r="AJ263" s="213"/>
      <c r="AK263" s="213"/>
      <c r="AL263" s="213"/>
      <c r="AM263" s="213"/>
      <c r="AN263" s="213"/>
      <c r="AO263" s="213"/>
      <c r="AP263" s="213"/>
      <c r="AQ263" s="213"/>
      <c r="AR263" s="213"/>
      <c r="AS263" s="213"/>
      <c r="AT263" s="213"/>
      <c r="AU263" s="213"/>
      <c r="AV263" s="213"/>
      <c r="AW263" s="213"/>
      <c r="AX263" s="213"/>
      <c r="AY263" s="213"/>
      <c r="AZ263" s="213"/>
      <c r="BA263" s="213"/>
      <c r="BB263" s="213"/>
    </row>
    <row r="264" ht="12.75" customHeight="1" outlineLevel="1">
      <c r="A264" s="235"/>
      <c r="B264" s="236"/>
      <c r="C264" s="237" t="s">
        <v>373</v>
      </c>
      <c r="D264" s="238"/>
      <c r="E264" s="239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3"/>
      <c r="Z264" s="213"/>
      <c r="AA264" s="213"/>
      <c r="AB264" s="213"/>
      <c r="AC264" s="213"/>
      <c r="AD264" s="213"/>
      <c r="AE264" s="213"/>
      <c r="AF264" s="213"/>
      <c r="AG264" s="213" t="s">
        <v>228</v>
      </c>
      <c r="AH264" s="213">
        <v>0.0</v>
      </c>
      <c r="AI264" s="213"/>
      <c r="AJ264" s="213"/>
      <c r="AK264" s="213"/>
      <c r="AL264" s="213"/>
      <c r="AM264" s="213"/>
      <c r="AN264" s="213"/>
      <c r="AO264" s="213"/>
      <c r="AP264" s="213"/>
      <c r="AQ264" s="213"/>
      <c r="AR264" s="213"/>
      <c r="AS264" s="213"/>
      <c r="AT264" s="213"/>
      <c r="AU264" s="213"/>
      <c r="AV264" s="213"/>
      <c r="AW264" s="213"/>
      <c r="AX264" s="213"/>
      <c r="AY264" s="213"/>
      <c r="AZ264" s="213"/>
      <c r="BA264" s="213"/>
      <c r="BB264" s="213"/>
    </row>
    <row r="265" ht="12.75" customHeight="1" outlineLevel="1">
      <c r="A265" s="235"/>
      <c r="B265" s="236"/>
      <c r="C265" s="237" t="s">
        <v>393</v>
      </c>
      <c r="D265" s="238"/>
      <c r="E265" s="239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3"/>
      <c r="Z265" s="213"/>
      <c r="AA265" s="213"/>
      <c r="AB265" s="213"/>
      <c r="AC265" s="213"/>
      <c r="AD265" s="213"/>
      <c r="AE265" s="213"/>
      <c r="AF265" s="213"/>
      <c r="AG265" s="213" t="s">
        <v>228</v>
      </c>
      <c r="AH265" s="213">
        <v>0.0</v>
      </c>
      <c r="AI265" s="213"/>
      <c r="AJ265" s="213"/>
      <c r="AK265" s="213"/>
      <c r="AL265" s="213"/>
      <c r="AM265" s="213"/>
      <c r="AN265" s="213"/>
      <c r="AO265" s="213"/>
      <c r="AP265" s="213"/>
      <c r="AQ265" s="213"/>
      <c r="AR265" s="213"/>
      <c r="AS265" s="213"/>
      <c r="AT265" s="213"/>
      <c r="AU265" s="213"/>
      <c r="AV265" s="213"/>
      <c r="AW265" s="213"/>
      <c r="AX265" s="213"/>
      <c r="AY265" s="213"/>
      <c r="AZ265" s="213"/>
      <c r="BA265" s="213"/>
      <c r="BB265" s="213"/>
    </row>
    <row r="266" ht="12.75" customHeight="1" outlineLevel="1">
      <c r="A266" s="235"/>
      <c r="B266" s="236"/>
      <c r="C266" s="237" t="s">
        <v>394</v>
      </c>
      <c r="D266" s="238"/>
      <c r="E266" s="239">
        <v>119.0</v>
      </c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3"/>
      <c r="Z266" s="213"/>
      <c r="AA266" s="213"/>
      <c r="AB266" s="213"/>
      <c r="AC266" s="213"/>
      <c r="AD266" s="213"/>
      <c r="AE266" s="213"/>
      <c r="AF266" s="213"/>
      <c r="AG266" s="213" t="s">
        <v>228</v>
      </c>
      <c r="AH266" s="213">
        <v>0.0</v>
      </c>
      <c r="AI266" s="213"/>
      <c r="AJ266" s="213"/>
      <c r="AK266" s="213"/>
      <c r="AL266" s="213"/>
      <c r="AM266" s="213"/>
      <c r="AN266" s="213"/>
      <c r="AO266" s="213"/>
      <c r="AP266" s="213"/>
      <c r="AQ266" s="213"/>
      <c r="AR266" s="213"/>
      <c r="AS266" s="213"/>
      <c r="AT266" s="213"/>
      <c r="AU266" s="213"/>
      <c r="AV266" s="213"/>
      <c r="AW266" s="213"/>
      <c r="AX266" s="213"/>
      <c r="AY266" s="213"/>
      <c r="AZ266" s="213"/>
      <c r="BA266" s="213"/>
      <c r="BB266" s="213"/>
    </row>
    <row r="267" ht="12.75" customHeight="1">
      <c r="A267" s="196" t="s">
        <v>173</v>
      </c>
      <c r="B267" s="197" t="s">
        <v>122</v>
      </c>
      <c r="C267" s="198" t="s">
        <v>123</v>
      </c>
      <c r="D267" s="199"/>
      <c r="E267" s="200"/>
      <c r="F267" s="201"/>
      <c r="G267" s="202">
        <f>SUMIF(AG268:AG271,"&lt;&gt;NOR",G268:G271)</f>
        <v>71464.08</v>
      </c>
      <c r="H267" s="203"/>
      <c r="I267" s="203">
        <f>SUM(I268:I271)</f>
        <v>0</v>
      </c>
      <c r="J267" s="203"/>
      <c r="K267" s="203">
        <f>SUM(K268:K271)</f>
        <v>0</v>
      </c>
      <c r="L267" s="203"/>
      <c r="M267" s="203">
        <f>SUM(M268:M271)</f>
        <v>86471.5368</v>
      </c>
      <c r="N267" s="203"/>
      <c r="O267" s="203">
        <f>SUM(O268:O271)</f>
        <v>0</v>
      </c>
      <c r="P267" s="203"/>
      <c r="Q267" s="203">
        <f>SUM(Q268:Q271)</f>
        <v>0</v>
      </c>
      <c r="R267" s="203"/>
      <c r="S267" s="203"/>
      <c r="T267" s="203"/>
      <c r="U267" s="203"/>
      <c r="V267" s="203">
        <f>SUM(V268:V271)</f>
        <v>262.09</v>
      </c>
      <c r="W267" s="203"/>
      <c r="X267" s="203"/>
      <c r="AG267" s="184" t="s">
        <v>174</v>
      </c>
    </row>
    <row r="268" ht="12.75" customHeight="1" outlineLevel="1">
      <c r="A268" s="214">
        <v>44.0</v>
      </c>
      <c r="B268" s="215" t="s">
        <v>395</v>
      </c>
      <c r="C268" s="216" t="s">
        <v>396</v>
      </c>
      <c r="D268" s="217" t="s">
        <v>316</v>
      </c>
      <c r="E268" s="218">
        <v>580.11265</v>
      </c>
      <c r="F268" s="219">
        <v>123.19</v>
      </c>
      <c r="G268" s="220">
        <f>ROUND(E268*F268,2)</f>
        <v>71464.08</v>
      </c>
      <c r="H268" s="211"/>
      <c r="I268" s="212">
        <f>ROUND(E268*H268,2)</f>
        <v>0</v>
      </c>
      <c r="J268" s="211"/>
      <c r="K268" s="212">
        <f>ROUND(E268*J268,2)</f>
        <v>0</v>
      </c>
      <c r="L268" s="212">
        <v>21.0</v>
      </c>
      <c r="M268" s="212">
        <f>G268*(1+L268/100)</f>
        <v>86471.5368</v>
      </c>
      <c r="N268" s="212">
        <v>0.0</v>
      </c>
      <c r="O268" s="212">
        <f>ROUND(E268*N268,2)</f>
        <v>0</v>
      </c>
      <c r="P268" s="212">
        <v>0.0</v>
      </c>
      <c r="Q268" s="212">
        <f>ROUND(E268*P268,2)</f>
        <v>0</v>
      </c>
      <c r="R268" s="212"/>
      <c r="S268" s="212" t="s">
        <v>184</v>
      </c>
      <c r="T268" s="212" t="s">
        <v>184</v>
      </c>
      <c r="U268" s="212">
        <v>0.4518</v>
      </c>
      <c r="V268" s="212">
        <f>ROUND(E268*U268,2)</f>
        <v>262.09</v>
      </c>
      <c r="W268" s="212"/>
      <c r="X268" s="212" t="s">
        <v>397</v>
      </c>
      <c r="Y268" s="213"/>
      <c r="Z268" s="213"/>
      <c r="AA268" s="213"/>
      <c r="AB268" s="213"/>
      <c r="AC268" s="213"/>
      <c r="AD268" s="213"/>
      <c r="AE268" s="213"/>
      <c r="AF268" s="213"/>
      <c r="AG268" s="213" t="s">
        <v>398</v>
      </c>
      <c r="AH268" s="213"/>
      <c r="AI268" s="213"/>
      <c r="AJ268" s="213"/>
      <c r="AK268" s="213"/>
      <c r="AL268" s="213"/>
      <c r="AM268" s="213"/>
      <c r="AN268" s="213"/>
      <c r="AO268" s="213"/>
      <c r="AP268" s="213"/>
      <c r="AQ268" s="213"/>
      <c r="AR268" s="213"/>
      <c r="AS268" s="213"/>
      <c r="AT268" s="213"/>
      <c r="AU268" s="213"/>
      <c r="AV268" s="213"/>
      <c r="AW268" s="213"/>
      <c r="AX268" s="213"/>
      <c r="AY268" s="213"/>
      <c r="AZ268" s="213"/>
      <c r="BA268" s="213"/>
      <c r="BB268" s="213"/>
    </row>
    <row r="269" ht="12.75" customHeight="1" outlineLevel="1">
      <c r="A269" s="235"/>
      <c r="B269" s="236"/>
      <c r="C269" s="237" t="s">
        <v>399</v>
      </c>
      <c r="D269" s="238"/>
      <c r="E269" s="239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3"/>
      <c r="Z269" s="213"/>
      <c r="AA269" s="213"/>
      <c r="AB269" s="213"/>
      <c r="AC269" s="213"/>
      <c r="AD269" s="213"/>
      <c r="AE269" s="213"/>
      <c r="AF269" s="213"/>
      <c r="AG269" s="213" t="s">
        <v>228</v>
      </c>
      <c r="AH269" s="213">
        <v>0.0</v>
      </c>
      <c r="AI269" s="213"/>
      <c r="AJ269" s="213"/>
      <c r="AK269" s="213"/>
      <c r="AL269" s="213"/>
      <c r="AM269" s="213"/>
      <c r="AN269" s="213"/>
      <c r="AO269" s="213"/>
      <c r="AP269" s="213"/>
      <c r="AQ269" s="213"/>
      <c r="AR269" s="213"/>
      <c r="AS269" s="213"/>
      <c r="AT269" s="213"/>
      <c r="AU269" s="213"/>
      <c r="AV269" s="213"/>
      <c r="AW269" s="213"/>
      <c r="AX269" s="213"/>
      <c r="AY269" s="213"/>
      <c r="AZ269" s="213"/>
      <c r="BA269" s="213"/>
      <c r="BB269" s="213"/>
    </row>
    <row r="270" ht="12.75" customHeight="1" outlineLevel="1">
      <c r="A270" s="235"/>
      <c r="B270" s="236"/>
      <c r="C270" s="237" t="s">
        <v>400</v>
      </c>
      <c r="D270" s="238"/>
      <c r="E270" s="239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3"/>
      <c r="Z270" s="213"/>
      <c r="AA270" s="213"/>
      <c r="AB270" s="213"/>
      <c r="AC270" s="213"/>
      <c r="AD270" s="213"/>
      <c r="AE270" s="213"/>
      <c r="AF270" s="213"/>
      <c r="AG270" s="213" t="s">
        <v>228</v>
      </c>
      <c r="AH270" s="213">
        <v>0.0</v>
      </c>
      <c r="AI270" s="213"/>
      <c r="AJ270" s="213"/>
      <c r="AK270" s="213"/>
      <c r="AL270" s="213"/>
      <c r="AM270" s="213"/>
      <c r="AN270" s="213"/>
      <c r="AO270" s="213"/>
      <c r="AP270" s="213"/>
      <c r="AQ270" s="213"/>
      <c r="AR270" s="213"/>
      <c r="AS270" s="213"/>
      <c r="AT270" s="213"/>
      <c r="AU270" s="213"/>
      <c r="AV270" s="213"/>
      <c r="AW270" s="213"/>
      <c r="AX270" s="213"/>
      <c r="AY270" s="213"/>
      <c r="AZ270" s="213"/>
      <c r="BA270" s="213"/>
      <c r="BB270" s="213"/>
    </row>
    <row r="271" ht="12.75" customHeight="1" outlineLevel="1">
      <c r="A271" s="235"/>
      <c r="B271" s="236"/>
      <c r="C271" s="237" t="s">
        <v>401</v>
      </c>
      <c r="D271" s="238"/>
      <c r="E271" s="239">
        <v>580.11265</v>
      </c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3"/>
      <c r="Z271" s="213"/>
      <c r="AA271" s="213"/>
      <c r="AB271" s="213"/>
      <c r="AC271" s="213"/>
      <c r="AD271" s="213"/>
      <c r="AE271" s="213"/>
      <c r="AF271" s="213"/>
      <c r="AG271" s="213" t="s">
        <v>228</v>
      </c>
      <c r="AH271" s="213">
        <v>0.0</v>
      </c>
      <c r="AI271" s="213"/>
      <c r="AJ271" s="213"/>
      <c r="AK271" s="213"/>
      <c r="AL271" s="213"/>
      <c r="AM271" s="213"/>
      <c r="AN271" s="213"/>
      <c r="AO271" s="213"/>
      <c r="AP271" s="213"/>
      <c r="AQ271" s="213"/>
      <c r="AR271" s="213"/>
      <c r="AS271" s="213"/>
      <c r="AT271" s="213"/>
      <c r="AU271" s="213"/>
      <c r="AV271" s="213"/>
      <c r="AW271" s="213"/>
      <c r="AX271" s="213"/>
      <c r="AY271" s="213"/>
      <c r="AZ271" s="213"/>
      <c r="BA271" s="213"/>
      <c r="BB271" s="213"/>
    </row>
    <row r="272" ht="12.75" customHeight="1">
      <c r="A272" s="196" t="s">
        <v>173</v>
      </c>
      <c r="B272" s="197" t="s">
        <v>124</v>
      </c>
      <c r="C272" s="198" t="s">
        <v>125</v>
      </c>
      <c r="D272" s="199"/>
      <c r="E272" s="200"/>
      <c r="F272" s="201"/>
      <c r="G272" s="202">
        <f>SUMIF(AG273:AG276,"&lt;&gt;NOR",G273:G276)</f>
        <v>169520</v>
      </c>
      <c r="H272" s="203"/>
      <c r="I272" s="203">
        <f>SUM(I273:I276)</f>
        <v>0</v>
      </c>
      <c r="J272" s="203"/>
      <c r="K272" s="203">
        <f>SUM(K273:K276)</f>
        <v>0</v>
      </c>
      <c r="L272" s="203"/>
      <c r="M272" s="203">
        <f>SUM(M273:M276)</f>
        <v>205119.2</v>
      </c>
      <c r="N272" s="203"/>
      <c r="O272" s="203">
        <f>SUM(O273:O276)</f>
        <v>0.16</v>
      </c>
      <c r="P272" s="203"/>
      <c r="Q272" s="203">
        <f>SUM(Q273:Q276)</f>
        <v>13.59</v>
      </c>
      <c r="R272" s="203"/>
      <c r="S272" s="203"/>
      <c r="T272" s="203"/>
      <c r="U272" s="203"/>
      <c r="V272" s="203">
        <f>SUM(V273:V276)</f>
        <v>0</v>
      </c>
      <c r="W272" s="203"/>
      <c r="X272" s="203"/>
      <c r="AG272" s="184" t="s">
        <v>174</v>
      </c>
    </row>
    <row r="273" ht="12.75" customHeight="1" outlineLevel="1">
      <c r="A273" s="214">
        <v>45.0</v>
      </c>
      <c r="B273" s="215" t="s">
        <v>402</v>
      </c>
      <c r="C273" s="216" t="s">
        <v>403</v>
      </c>
      <c r="D273" s="217" t="s">
        <v>251</v>
      </c>
      <c r="E273" s="218">
        <v>208.0</v>
      </c>
      <c r="F273" s="219">
        <v>815.0</v>
      </c>
      <c r="G273" s="220">
        <f>ROUND(E273*F273,2)</f>
        <v>169520</v>
      </c>
      <c r="H273" s="211"/>
      <c r="I273" s="212">
        <f>ROUND(E273*H273,2)</f>
        <v>0</v>
      </c>
      <c r="J273" s="211"/>
      <c r="K273" s="212">
        <f>ROUND(E273*J273,2)</f>
        <v>0</v>
      </c>
      <c r="L273" s="212">
        <v>21.0</v>
      </c>
      <c r="M273" s="212">
        <f>G273*(1+L273/100)</f>
        <v>205119.2</v>
      </c>
      <c r="N273" s="212">
        <v>7.5E-4</v>
      </c>
      <c r="O273" s="212">
        <f>ROUND(E273*N273,2)</f>
        <v>0.16</v>
      </c>
      <c r="P273" s="212">
        <v>0.06534</v>
      </c>
      <c r="Q273" s="212">
        <f>ROUND(E273*P273,2)</f>
        <v>13.59</v>
      </c>
      <c r="R273" s="212"/>
      <c r="S273" s="212" t="s">
        <v>178</v>
      </c>
      <c r="T273" s="212" t="s">
        <v>179</v>
      </c>
      <c r="U273" s="212">
        <v>0.0</v>
      </c>
      <c r="V273" s="212">
        <f>ROUND(E273*U273,2)</f>
        <v>0</v>
      </c>
      <c r="W273" s="212"/>
      <c r="X273" s="212" t="s">
        <v>225</v>
      </c>
      <c r="Y273" s="213"/>
      <c r="Z273" s="213"/>
      <c r="AA273" s="213"/>
      <c r="AB273" s="213"/>
      <c r="AC273" s="213"/>
      <c r="AD273" s="213"/>
      <c r="AE273" s="213"/>
      <c r="AF273" s="213"/>
      <c r="AG273" s="213" t="s">
        <v>226</v>
      </c>
      <c r="AH273" s="213"/>
      <c r="AI273" s="213"/>
      <c r="AJ273" s="213"/>
      <c r="AK273" s="213"/>
      <c r="AL273" s="213"/>
      <c r="AM273" s="213"/>
      <c r="AN273" s="213"/>
      <c r="AO273" s="213"/>
      <c r="AP273" s="213"/>
      <c r="AQ273" s="213"/>
      <c r="AR273" s="213"/>
      <c r="AS273" s="213"/>
      <c r="AT273" s="213"/>
      <c r="AU273" s="213"/>
      <c r="AV273" s="213"/>
      <c r="AW273" s="213"/>
      <c r="AX273" s="213"/>
      <c r="AY273" s="213"/>
      <c r="AZ273" s="213"/>
      <c r="BA273" s="213"/>
      <c r="BB273" s="213"/>
    </row>
    <row r="274" ht="12.75" customHeight="1" outlineLevel="1">
      <c r="A274" s="235"/>
      <c r="B274" s="236"/>
      <c r="C274" s="237" t="s">
        <v>373</v>
      </c>
      <c r="D274" s="238"/>
      <c r="E274" s="239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3"/>
      <c r="Z274" s="213"/>
      <c r="AA274" s="213"/>
      <c r="AB274" s="213"/>
      <c r="AC274" s="213"/>
      <c r="AD274" s="213"/>
      <c r="AE274" s="213"/>
      <c r="AF274" s="213"/>
      <c r="AG274" s="213" t="s">
        <v>228</v>
      </c>
      <c r="AH274" s="213">
        <v>0.0</v>
      </c>
      <c r="AI274" s="213"/>
      <c r="AJ274" s="213"/>
      <c r="AK274" s="213"/>
      <c r="AL274" s="213"/>
      <c r="AM274" s="213"/>
      <c r="AN274" s="213"/>
      <c r="AO274" s="213"/>
      <c r="AP274" s="213"/>
      <c r="AQ274" s="213"/>
      <c r="AR274" s="213"/>
      <c r="AS274" s="213"/>
      <c r="AT274" s="213"/>
      <c r="AU274" s="213"/>
      <c r="AV274" s="213"/>
      <c r="AW274" s="213"/>
      <c r="AX274" s="213"/>
      <c r="AY274" s="213"/>
      <c r="AZ274" s="213"/>
      <c r="BA274" s="213"/>
      <c r="BB274" s="213"/>
    </row>
    <row r="275" ht="12.75" customHeight="1" outlineLevel="1">
      <c r="A275" s="235"/>
      <c r="B275" s="236"/>
      <c r="C275" s="237" t="s">
        <v>404</v>
      </c>
      <c r="D275" s="238"/>
      <c r="E275" s="239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3"/>
      <c r="Z275" s="213"/>
      <c r="AA275" s="213"/>
      <c r="AB275" s="213"/>
      <c r="AC275" s="213"/>
      <c r="AD275" s="213"/>
      <c r="AE275" s="213"/>
      <c r="AF275" s="213"/>
      <c r="AG275" s="213" t="s">
        <v>228</v>
      </c>
      <c r="AH275" s="213">
        <v>0.0</v>
      </c>
      <c r="AI275" s="213"/>
      <c r="AJ275" s="213"/>
      <c r="AK275" s="213"/>
      <c r="AL275" s="213"/>
      <c r="AM275" s="213"/>
      <c r="AN275" s="213"/>
      <c r="AO275" s="213"/>
      <c r="AP275" s="213"/>
      <c r="AQ275" s="213"/>
      <c r="AR275" s="213"/>
      <c r="AS275" s="213"/>
      <c r="AT275" s="213"/>
      <c r="AU275" s="213"/>
      <c r="AV275" s="213"/>
      <c r="AW275" s="213"/>
      <c r="AX275" s="213"/>
      <c r="AY275" s="213"/>
      <c r="AZ275" s="213"/>
      <c r="BA275" s="213"/>
      <c r="BB275" s="213"/>
    </row>
    <row r="276" ht="12.75" customHeight="1" outlineLevel="1">
      <c r="A276" s="235"/>
      <c r="B276" s="236"/>
      <c r="C276" s="237" t="s">
        <v>405</v>
      </c>
      <c r="D276" s="238"/>
      <c r="E276" s="239">
        <v>208.0</v>
      </c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3"/>
      <c r="Z276" s="213"/>
      <c r="AA276" s="213"/>
      <c r="AB276" s="213"/>
      <c r="AC276" s="213"/>
      <c r="AD276" s="213"/>
      <c r="AE276" s="213"/>
      <c r="AF276" s="213"/>
      <c r="AG276" s="213" t="s">
        <v>228</v>
      </c>
      <c r="AH276" s="213">
        <v>0.0</v>
      </c>
      <c r="AI276" s="213"/>
      <c r="AJ276" s="213"/>
      <c r="AK276" s="213"/>
      <c r="AL276" s="213"/>
      <c r="AM276" s="213"/>
      <c r="AN276" s="213"/>
      <c r="AO276" s="213"/>
      <c r="AP276" s="213"/>
      <c r="AQ276" s="213"/>
      <c r="AR276" s="213"/>
      <c r="AS276" s="213"/>
      <c r="AT276" s="213"/>
      <c r="AU276" s="213"/>
      <c r="AV276" s="213"/>
      <c r="AW276" s="213"/>
      <c r="AX276" s="213"/>
      <c r="AY276" s="213"/>
      <c r="AZ276" s="213"/>
      <c r="BA276" s="213"/>
      <c r="BB276" s="213"/>
    </row>
    <row r="277" ht="12.75" customHeight="1">
      <c r="A277" s="196" t="s">
        <v>173</v>
      </c>
      <c r="B277" s="197" t="s">
        <v>126</v>
      </c>
      <c r="C277" s="198" t="s">
        <v>127</v>
      </c>
      <c r="D277" s="199"/>
      <c r="E277" s="200"/>
      <c r="F277" s="201"/>
      <c r="G277" s="202">
        <f>SUMIF(AG278:AG280,"&lt;&gt;NOR",G278:G280)</f>
        <v>14977.25</v>
      </c>
      <c r="H277" s="203"/>
      <c r="I277" s="203">
        <f>SUM(I278:I280)</f>
        <v>0</v>
      </c>
      <c r="J277" s="203"/>
      <c r="K277" s="203">
        <f>SUM(K278:K280)</f>
        <v>0</v>
      </c>
      <c r="L277" s="203"/>
      <c r="M277" s="203">
        <f>SUM(M278:M280)</f>
        <v>18122.4725</v>
      </c>
      <c r="N277" s="203"/>
      <c r="O277" s="203">
        <f>SUM(O278:O280)</f>
        <v>0.01</v>
      </c>
      <c r="P277" s="203"/>
      <c r="Q277" s="203">
        <f>SUM(Q278:Q280)</f>
        <v>0</v>
      </c>
      <c r="R277" s="203"/>
      <c r="S277" s="203"/>
      <c r="T277" s="203"/>
      <c r="U277" s="203"/>
      <c r="V277" s="203">
        <f>SUM(V278:V280)</f>
        <v>18.33</v>
      </c>
      <c r="W277" s="203"/>
      <c r="X277" s="203"/>
      <c r="AG277" s="184" t="s">
        <v>174</v>
      </c>
    </row>
    <row r="278" ht="12.75" customHeight="1" outlineLevel="1">
      <c r="A278" s="214">
        <v>46.0</v>
      </c>
      <c r="B278" s="215" t="s">
        <v>406</v>
      </c>
      <c r="C278" s="216" t="s">
        <v>407</v>
      </c>
      <c r="D278" s="217" t="s">
        <v>251</v>
      </c>
      <c r="E278" s="218">
        <v>395.7</v>
      </c>
      <c r="F278" s="219">
        <v>37.85</v>
      </c>
      <c r="G278" s="220">
        <f>ROUND(E278*F278,2)</f>
        <v>14977.25</v>
      </c>
      <c r="H278" s="211"/>
      <c r="I278" s="212">
        <f>ROUND(E278*H278,2)</f>
        <v>0</v>
      </c>
      <c r="J278" s="211"/>
      <c r="K278" s="212">
        <f>ROUND(E278*J278,2)</f>
        <v>0</v>
      </c>
      <c r="L278" s="212">
        <v>21.0</v>
      </c>
      <c r="M278" s="212">
        <f>G278*(1+L278/100)</f>
        <v>18122.4725</v>
      </c>
      <c r="N278" s="212">
        <v>3.0E-5</v>
      </c>
      <c r="O278" s="212">
        <f>ROUND(E278*N278,2)</f>
        <v>0.01</v>
      </c>
      <c r="P278" s="212">
        <v>0.0</v>
      </c>
      <c r="Q278" s="212">
        <f>ROUND(E278*P278,2)</f>
        <v>0</v>
      </c>
      <c r="R278" s="212"/>
      <c r="S278" s="212" t="s">
        <v>184</v>
      </c>
      <c r="T278" s="212" t="s">
        <v>184</v>
      </c>
      <c r="U278" s="212">
        <v>0.04633</v>
      </c>
      <c r="V278" s="212">
        <f>ROUND(E278*U278,2)</f>
        <v>18.33</v>
      </c>
      <c r="W278" s="212"/>
      <c r="X278" s="212" t="s">
        <v>225</v>
      </c>
      <c r="Y278" s="213"/>
      <c r="Z278" s="213"/>
      <c r="AA278" s="213"/>
      <c r="AB278" s="213"/>
      <c r="AC278" s="213"/>
      <c r="AD278" s="213"/>
      <c r="AE278" s="213"/>
      <c r="AF278" s="213"/>
      <c r="AG278" s="213" t="s">
        <v>408</v>
      </c>
      <c r="AH278" s="213"/>
      <c r="AI278" s="213"/>
      <c r="AJ278" s="213"/>
      <c r="AK278" s="213"/>
      <c r="AL278" s="213"/>
      <c r="AM278" s="213"/>
      <c r="AN278" s="213"/>
      <c r="AO278" s="213"/>
      <c r="AP278" s="213"/>
      <c r="AQ278" s="213"/>
      <c r="AR278" s="213"/>
      <c r="AS278" s="213"/>
      <c r="AT278" s="213"/>
      <c r="AU278" s="213"/>
      <c r="AV278" s="213"/>
      <c r="AW278" s="213"/>
      <c r="AX278" s="213"/>
      <c r="AY278" s="213"/>
      <c r="AZ278" s="213"/>
      <c r="BA278" s="213"/>
      <c r="BB278" s="213"/>
    </row>
    <row r="279" ht="12.75" customHeight="1" outlineLevel="1">
      <c r="A279" s="235"/>
      <c r="B279" s="236"/>
      <c r="C279" s="237" t="s">
        <v>409</v>
      </c>
      <c r="D279" s="238"/>
      <c r="E279" s="239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3"/>
      <c r="Z279" s="213"/>
      <c r="AA279" s="213"/>
      <c r="AB279" s="213"/>
      <c r="AC279" s="213"/>
      <c r="AD279" s="213"/>
      <c r="AE279" s="213"/>
      <c r="AF279" s="213"/>
      <c r="AG279" s="213" t="s">
        <v>228</v>
      </c>
      <c r="AH279" s="213">
        <v>0.0</v>
      </c>
      <c r="AI279" s="213"/>
      <c r="AJ279" s="213"/>
      <c r="AK279" s="213"/>
      <c r="AL279" s="213"/>
      <c r="AM279" s="213"/>
      <c r="AN279" s="213"/>
      <c r="AO279" s="213"/>
      <c r="AP279" s="213"/>
      <c r="AQ279" s="213"/>
      <c r="AR279" s="213"/>
      <c r="AS279" s="213"/>
      <c r="AT279" s="213"/>
      <c r="AU279" s="213"/>
      <c r="AV279" s="213"/>
      <c r="AW279" s="213"/>
      <c r="AX279" s="213"/>
      <c r="AY279" s="213"/>
      <c r="AZ279" s="213"/>
      <c r="BA279" s="213"/>
      <c r="BB279" s="213"/>
    </row>
    <row r="280" ht="12.75" customHeight="1" outlineLevel="1">
      <c r="A280" s="235"/>
      <c r="B280" s="236"/>
      <c r="C280" s="237" t="s">
        <v>410</v>
      </c>
      <c r="D280" s="238"/>
      <c r="E280" s="239">
        <v>395.7</v>
      </c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3"/>
      <c r="Z280" s="213"/>
      <c r="AA280" s="213"/>
      <c r="AB280" s="213"/>
      <c r="AC280" s="213"/>
      <c r="AD280" s="213"/>
      <c r="AE280" s="213"/>
      <c r="AF280" s="213"/>
      <c r="AG280" s="213" t="s">
        <v>228</v>
      </c>
      <c r="AH280" s="213">
        <v>0.0</v>
      </c>
      <c r="AI280" s="213"/>
      <c r="AJ280" s="213"/>
      <c r="AK280" s="213"/>
      <c r="AL280" s="213"/>
      <c r="AM280" s="213"/>
      <c r="AN280" s="213"/>
      <c r="AO280" s="213"/>
      <c r="AP280" s="213"/>
      <c r="AQ280" s="213"/>
      <c r="AR280" s="213"/>
      <c r="AS280" s="213"/>
      <c r="AT280" s="213"/>
      <c r="AU280" s="213"/>
      <c r="AV280" s="213"/>
      <c r="AW280" s="213"/>
      <c r="AX280" s="213"/>
      <c r="AY280" s="213"/>
      <c r="AZ280" s="213"/>
      <c r="BA280" s="213"/>
      <c r="BB280" s="213"/>
    </row>
    <row r="281" ht="12.75" customHeight="1">
      <c r="A281" s="196" t="s">
        <v>173</v>
      </c>
      <c r="B281" s="197" t="s">
        <v>132</v>
      </c>
      <c r="C281" s="198" t="s">
        <v>133</v>
      </c>
      <c r="D281" s="199"/>
      <c r="E281" s="200"/>
      <c r="F281" s="201"/>
      <c r="G281" s="202">
        <f>SUMIF(AG282:AG329,"&lt;&gt;NOR",G282:G329)</f>
        <v>2672532.81</v>
      </c>
      <c r="H281" s="203"/>
      <c r="I281" s="203">
        <f>SUM(I282:I329)</f>
        <v>0</v>
      </c>
      <c r="J281" s="203"/>
      <c r="K281" s="203">
        <f>SUM(K282:K329)</f>
        <v>0</v>
      </c>
      <c r="L281" s="203"/>
      <c r="M281" s="203">
        <f>SUM(M282:M329)</f>
        <v>3233764.7</v>
      </c>
      <c r="N281" s="203"/>
      <c r="O281" s="203">
        <f>SUM(O282:O329)</f>
        <v>0</v>
      </c>
      <c r="P281" s="203"/>
      <c r="Q281" s="203">
        <f>SUM(Q282:Q329)</f>
        <v>0</v>
      </c>
      <c r="R281" s="203"/>
      <c r="S281" s="203"/>
      <c r="T281" s="203"/>
      <c r="U281" s="203"/>
      <c r="V281" s="203">
        <f>SUM(V282:V329)</f>
        <v>84.14</v>
      </c>
      <c r="W281" s="203"/>
      <c r="X281" s="203"/>
      <c r="AG281" s="184" t="s">
        <v>174</v>
      </c>
    </row>
    <row r="282" ht="12.75" customHeight="1" outlineLevel="1">
      <c r="A282" s="214">
        <v>47.0</v>
      </c>
      <c r="B282" s="215" t="s">
        <v>411</v>
      </c>
      <c r="C282" s="216" t="s">
        <v>412</v>
      </c>
      <c r="D282" s="217" t="s">
        <v>251</v>
      </c>
      <c r="E282" s="218">
        <v>392.7</v>
      </c>
      <c r="F282" s="219">
        <v>5000.0</v>
      </c>
      <c r="G282" s="220">
        <f>ROUND(E282*F282,2)</f>
        <v>1963500</v>
      </c>
      <c r="H282" s="211"/>
      <c r="I282" s="212">
        <f>ROUND(E282*H282,2)</f>
        <v>0</v>
      </c>
      <c r="J282" s="211"/>
      <c r="K282" s="212">
        <f>ROUND(E282*J282,2)</f>
        <v>0</v>
      </c>
      <c r="L282" s="212">
        <v>21.0</v>
      </c>
      <c r="M282" s="212">
        <f>G282*(1+L282/100)</f>
        <v>2375835</v>
      </c>
      <c r="N282" s="212">
        <v>0.0</v>
      </c>
      <c r="O282" s="212">
        <f>ROUND(E282*N282,2)</f>
        <v>0</v>
      </c>
      <c r="P282" s="212">
        <v>0.0</v>
      </c>
      <c r="Q282" s="212">
        <f>ROUND(E282*P282,2)</f>
        <v>0</v>
      </c>
      <c r="R282" s="212"/>
      <c r="S282" s="212" t="s">
        <v>178</v>
      </c>
      <c r="T282" s="212" t="s">
        <v>179</v>
      </c>
      <c r="U282" s="212">
        <v>0.0</v>
      </c>
      <c r="V282" s="212">
        <f>ROUND(E282*U282,2)</f>
        <v>0</v>
      </c>
      <c r="W282" s="212"/>
      <c r="X282" s="212" t="s">
        <v>225</v>
      </c>
      <c r="Y282" s="213"/>
      <c r="Z282" s="213"/>
      <c r="AA282" s="213"/>
      <c r="AB282" s="213"/>
      <c r="AC282" s="213"/>
      <c r="AD282" s="213"/>
      <c r="AE282" s="213"/>
      <c r="AF282" s="213"/>
      <c r="AG282" s="213" t="s">
        <v>226</v>
      </c>
      <c r="AH282" s="213"/>
      <c r="AI282" s="213"/>
      <c r="AJ282" s="213"/>
      <c r="AK282" s="213"/>
      <c r="AL282" s="213"/>
      <c r="AM282" s="213"/>
      <c r="AN282" s="213"/>
      <c r="AO282" s="213"/>
      <c r="AP282" s="213"/>
      <c r="AQ282" s="213"/>
      <c r="AR282" s="213"/>
      <c r="AS282" s="213"/>
      <c r="AT282" s="213"/>
      <c r="AU282" s="213"/>
      <c r="AV282" s="213"/>
      <c r="AW282" s="213"/>
      <c r="AX282" s="213"/>
      <c r="AY282" s="213"/>
      <c r="AZ282" s="213"/>
      <c r="BA282" s="213"/>
      <c r="BB282" s="213"/>
    </row>
    <row r="283" ht="12.75" customHeight="1" outlineLevel="1">
      <c r="A283" s="235"/>
      <c r="B283" s="236"/>
      <c r="C283" s="237" t="s">
        <v>413</v>
      </c>
      <c r="D283" s="238"/>
      <c r="E283" s="239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3"/>
      <c r="Z283" s="213"/>
      <c r="AA283" s="213"/>
      <c r="AB283" s="213"/>
      <c r="AC283" s="213"/>
      <c r="AD283" s="213"/>
      <c r="AE283" s="213"/>
      <c r="AF283" s="213"/>
      <c r="AG283" s="213" t="s">
        <v>228</v>
      </c>
      <c r="AH283" s="213">
        <v>0.0</v>
      </c>
      <c r="AI283" s="213"/>
      <c r="AJ283" s="213"/>
      <c r="AK283" s="213"/>
      <c r="AL283" s="213"/>
      <c r="AM283" s="213"/>
      <c r="AN283" s="213"/>
      <c r="AO283" s="213"/>
      <c r="AP283" s="213"/>
      <c r="AQ283" s="213"/>
      <c r="AR283" s="213"/>
      <c r="AS283" s="213"/>
      <c r="AT283" s="213"/>
      <c r="AU283" s="213"/>
      <c r="AV283" s="213"/>
      <c r="AW283" s="213"/>
      <c r="AX283" s="213"/>
      <c r="AY283" s="213"/>
      <c r="AZ283" s="213"/>
      <c r="BA283" s="213"/>
      <c r="BB283" s="213"/>
    </row>
    <row r="284" ht="12.75" customHeight="1" outlineLevel="1">
      <c r="A284" s="235"/>
      <c r="B284" s="236"/>
      <c r="C284" s="237" t="s">
        <v>414</v>
      </c>
      <c r="D284" s="238"/>
      <c r="E284" s="239">
        <v>392.7</v>
      </c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3"/>
      <c r="Z284" s="213"/>
      <c r="AA284" s="213"/>
      <c r="AB284" s="213"/>
      <c r="AC284" s="213"/>
      <c r="AD284" s="213"/>
      <c r="AE284" s="213"/>
      <c r="AF284" s="213"/>
      <c r="AG284" s="213" t="s">
        <v>228</v>
      </c>
      <c r="AH284" s="213">
        <v>0.0</v>
      </c>
      <c r="AI284" s="213"/>
      <c r="AJ284" s="213"/>
      <c r="AK284" s="213"/>
      <c r="AL284" s="213"/>
      <c r="AM284" s="213"/>
      <c r="AN284" s="213"/>
      <c r="AO284" s="213"/>
      <c r="AP284" s="213"/>
      <c r="AQ284" s="213"/>
      <c r="AR284" s="213"/>
      <c r="AS284" s="213"/>
      <c r="AT284" s="213"/>
      <c r="AU284" s="213"/>
      <c r="AV284" s="213"/>
      <c r="AW284" s="213"/>
      <c r="AX284" s="213"/>
      <c r="AY284" s="213"/>
      <c r="AZ284" s="213"/>
      <c r="BA284" s="213"/>
      <c r="BB284" s="213"/>
    </row>
    <row r="285" ht="12.75" customHeight="1" outlineLevel="1">
      <c r="A285" s="214">
        <v>48.0</v>
      </c>
      <c r="B285" s="215" t="s">
        <v>415</v>
      </c>
      <c r="C285" s="216" t="s">
        <v>416</v>
      </c>
      <c r="D285" s="217" t="s">
        <v>251</v>
      </c>
      <c r="E285" s="218">
        <v>20.5</v>
      </c>
      <c r="F285" s="219">
        <v>4100.0</v>
      </c>
      <c r="G285" s="220">
        <f>ROUND(E285*F285,2)</f>
        <v>84050</v>
      </c>
      <c r="H285" s="211"/>
      <c r="I285" s="212">
        <f>ROUND(E285*H285,2)</f>
        <v>0</v>
      </c>
      <c r="J285" s="211"/>
      <c r="K285" s="212">
        <f>ROUND(E285*J285,2)</f>
        <v>0</v>
      </c>
      <c r="L285" s="212">
        <v>21.0</v>
      </c>
      <c r="M285" s="212">
        <f>G285*(1+L285/100)</f>
        <v>101700.5</v>
      </c>
      <c r="N285" s="212">
        <v>0.0</v>
      </c>
      <c r="O285" s="212">
        <f>ROUND(E285*N285,2)</f>
        <v>0</v>
      </c>
      <c r="P285" s="212">
        <v>0.0</v>
      </c>
      <c r="Q285" s="212">
        <f>ROUND(E285*P285,2)</f>
        <v>0</v>
      </c>
      <c r="R285" s="212"/>
      <c r="S285" s="212" t="s">
        <v>178</v>
      </c>
      <c r="T285" s="212" t="s">
        <v>179</v>
      </c>
      <c r="U285" s="212">
        <v>0.0</v>
      </c>
      <c r="V285" s="212">
        <f>ROUND(E285*U285,2)</f>
        <v>0</v>
      </c>
      <c r="W285" s="212"/>
      <c r="X285" s="212" t="s">
        <v>225</v>
      </c>
      <c r="Y285" s="213"/>
      <c r="Z285" s="213"/>
      <c r="AA285" s="213"/>
      <c r="AB285" s="213"/>
      <c r="AC285" s="213"/>
      <c r="AD285" s="213"/>
      <c r="AE285" s="213"/>
      <c r="AF285" s="213"/>
      <c r="AG285" s="213" t="s">
        <v>226</v>
      </c>
      <c r="AH285" s="213"/>
      <c r="AI285" s="213"/>
      <c r="AJ285" s="213"/>
      <c r="AK285" s="213"/>
      <c r="AL285" s="213"/>
      <c r="AM285" s="213"/>
      <c r="AN285" s="213"/>
      <c r="AO285" s="213"/>
      <c r="AP285" s="213"/>
      <c r="AQ285" s="213"/>
      <c r="AR285" s="213"/>
      <c r="AS285" s="213"/>
      <c r="AT285" s="213"/>
      <c r="AU285" s="213"/>
      <c r="AV285" s="213"/>
      <c r="AW285" s="213"/>
      <c r="AX285" s="213"/>
      <c r="AY285" s="213"/>
      <c r="AZ285" s="213"/>
      <c r="BA285" s="213"/>
      <c r="BB285" s="213"/>
    </row>
    <row r="286" ht="12.75" customHeight="1" outlineLevel="1">
      <c r="A286" s="235"/>
      <c r="B286" s="236"/>
      <c r="C286" s="237" t="s">
        <v>417</v>
      </c>
      <c r="D286" s="238"/>
      <c r="E286" s="239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3"/>
      <c r="Z286" s="213"/>
      <c r="AA286" s="213"/>
      <c r="AB286" s="213"/>
      <c r="AC286" s="213"/>
      <c r="AD286" s="213"/>
      <c r="AE286" s="213"/>
      <c r="AF286" s="213"/>
      <c r="AG286" s="213" t="s">
        <v>228</v>
      </c>
      <c r="AH286" s="213">
        <v>0.0</v>
      </c>
      <c r="AI286" s="213"/>
      <c r="AJ286" s="213"/>
      <c r="AK286" s="213"/>
      <c r="AL286" s="213"/>
      <c r="AM286" s="213"/>
      <c r="AN286" s="213"/>
      <c r="AO286" s="213"/>
      <c r="AP286" s="213"/>
      <c r="AQ286" s="213"/>
      <c r="AR286" s="213"/>
      <c r="AS286" s="213"/>
      <c r="AT286" s="213"/>
      <c r="AU286" s="213"/>
      <c r="AV286" s="213"/>
      <c r="AW286" s="213"/>
      <c r="AX286" s="213"/>
      <c r="AY286" s="213"/>
      <c r="AZ286" s="213"/>
      <c r="BA286" s="213"/>
      <c r="BB286" s="213"/>
    </row>
    <row r="287" ht="12.75" customHeight="1" outlineLevel="1">
      <c r="A287" s="235"/>
      <c r="B287" s="236"/>
      <c r="C287" s="237" t="s">
        <v>418</v>
      </c>
      <c r="D287" s="238"/>
      <c r="E287" s="239">
        <v>20.5</v>
      </c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3"/>
      <c r="Z287" s="213"/>
      <c r="AA287" s="213"/>
      <c r="AB287" s="213"/>
      <c r="AC287" s="213"/>
      <c r="AD287" s="213"/>
      <c r="AE287" s="213"/>
      <c r="AF287" s="213"/>
      <c r="AG287" s="213" t="s">
        <v>228</v>
      </c>
      <c r="AH287" s="213">
        <v>0.0</v>
      </c>
      <c r="AI287" s="213"/>
      <c r="AJ287" s="213"/>
      <c r="AK287" s="213"/>
      <c r="AL287" s="213"/>
      <c r="AM287" s="213"/>
      <c r="AN287" s="213"/>
      <c r="AO287" s="213"/>
      <c r="AP287" s="213"/>
      <c r="AQ287" s="213"/>
      <c r="AR287" s="213"/>
      <c r="AS287" s="213"/>
      <c r="AT287" s="213"/>
      <c r="AU287" s="213"/>
      <c r="AV287" s="213"/>
      <c r="AW287" s="213"/>
      <c r="AX287" s="213"/>
      <c r="AY287" s="213"/>
      <c r="AZ287" s="213"/>
      <c r="BA287" s="213"/>
      <c r="BB287" s="213"/>
    </row>
    <row r="288" ht="12.75" customHeight="1" outlineLevel="1">
      <c r="A288" s="214">
        <v>49.0</v>
      </c>
      <c r="B288" s="215" t="s">
        <v>419</v>
      </c>
      <c r="C288" s="216" t="s">
        <v>420</v>
      </c>
      <c r="D288" s="217" t="s">
        <v>251</v>
      </c>
      <c r="E288" s="218">
        <v>72.0</v>
      </c>
      <c r="F288" s="219">
        <v>300.0</v>
      </c>
      <c r="G288" s="220">
        <f>ROUND(E288*F288,2)</f>
        <v>21600</v>
      </c>
      <c r="H288" s="211"/>
      <c r="I288" s="212">
        <f>ROUND(E288*H288,2)</f>
        <v>0</v>
      </c>
      <c r="J288" s="211"/>
      <c r="K288" s="212">
        <f>ROUND(E288*J288,2)</f>
        <v>0</v>
      </c>
      <c r="L288" s="212">
        <v>21.0</v>
      </c>
      <c r="M288" s="212">
        <f>G288*(1+L288/100)</f>
        <v>26136</v>
      </c>
      <c r="N288" s="212">
        <v>0.0</v>
      </c>
      <c r="O288" s="212">
        <f>ROUND(E288*N288,2)</f>
        <v>0</v>
      </c>
      <c r="P288" s="212">
        <v>0.0</v>
      </c>
      <c r="Q288" s="212">
        <f>ROUND(E288*P288,2)</f>
        <v>0</v>
      </c>
      <c r="R288" s="212"/>
      <c r="S288" s="212" t="s">
        <v>178</v>
      </c>
      <c r="T288" s="212" t="s">
        <v>179</v>
      </c>
      <c r="U288" s="212">
        <v>0.0</v>
      </c>
      <c r="V288" s="212">
        <f>ROUND(E288*U288,2)</f>
        <v>0</v>
      </c>
      <c r="W288" s="212"/>
      <c r="X288" s="212" t="s">
        <v>225</v>
      </c>
      <c r="Y288" s="213"/>
      <c r="Z288" s="213"/>
      <c r="AA288" s="213"/>
      <c r="AB288" s="213"/>
      <c r="AC288" s="213"/>
      <c r="AD288" s="213"/>
      <c r="AE288" s="213"/>
      <c r="AF288" s="213"/>
      <c r="AG288" s="213" t="s">
        <v>226</v>
      </c>
      <c r="AH288" s="213"/>
      <c r="AI288" s="213"/>
      <c r="AJ288" s="213"/>
      <c r="AK288" s="213"/>
      <c r="AL288" s="213"/>
      <c r="AM288" s="213"/>
      <c r="AN288" s="213"/>
      <c r="AO288" s="213"/>
      <c r="AP288" s="213"/>
      <c r="AQ288" s="213"/>
      <c r="AR288" s="213"/>
      <c r="AS288" s="213"/>
      <c r="AT288" s="213"/>
      <c r="AU288" s="213"/>
      <c r="AV288" s="213"/>
      <c r="AW288" s="213"/>
      <c r="AX288" s="213"/>
      <c r="AY288" s="213"/>
      <c r="AZ288" s="213"/>
      <c r="BA288" s="213"/>
      <c r="BB288" s="213"/>
    </row>
    <row r="289" ht="12.75" customHeight="1" outlineLevel="1">
      <c r="A289" s="235"/>
      <c r="B289" s="236"/>
      <c r="C289" s="237" t="s">
        <v>421</v>
      </c>
      <c r="D289" s="238"/>
      <c r="E289" s="239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3"/>
      <c r="Z289" s="213"/>
      <c r="AA289" s="213"/>
      <c r="AB289" s="213"/>
      <c r="AC289" s="213"/>
      <c r="AD289" s="213"/>
      <c r="AE289" s="213"/>
      <c r="AF289" s="213"/>
      <c r="AG289" s="213" t="s">
        <v>228</v>
      </c>
      <c r="AH289" s="213">
        <v>0.0</v>
      </c>
      <c r="AI289" s="213"/>
      <c r="AJ289" s="213"/>
      <c r="AK289" s="213"/>
      <c r="AL289" s="213"/>
      <c r="AM289" s="213"/>
      <c r="AN289" s="213"/>
      <c r="AO289" s="213"/>
      <c r="AP289" s="213"/>
      <c r="AQ289" s="213"/>
      <c r="AR289" s="213"/>
      <c r="AS289" s="213"/>
      <c r="AT289" s="213"/>
      <c r="AU289" s="213"/>
      <c r="AV289" s="213"/>
      <c r="AW289" s="213"/>
      <c r="AX289" s="213"/>
      <c r="AY289" s="213"/>
      <c r="AZ289" s="213"/>
      <c r="BA289" s="213"/>
      <c r="BB289" s="213"/>
    </row>
    <row r="290" ht="12.75" customHeight="1" outlineLevel="1">
      <c r="A290" s="235"/>
      <c r="B290" s="236"/>
      <c r="C290" s="237" t="s">
        <v>422</v>
      </c>
      <c r="D290" s="238"/>
      <c r="E290" s="239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3"/>
      <c r="Z290" s="213"/>
      <c r="AA290" s="213"/>
      <c r="AB290" s="213"/>
      <c r="AC290" s="213"/>
      <c r="AD290" s="213"/>
      <c r="AE290" s="213"/>
      <c r="AF290" s="213"/>
      <c r="AG290" s="213" t="s">
        <v>228</v>
      </c>
      <c r="AH290" s="213">
        <v>0.0</v>
      </c>
      <c r="AI290" s="213"/>
      <c r="AJ290" s="213"/>
      <c r="AK290" s="213"/>
      <c r="AL290" s="213"/>
      <c r="AM290" s="213"/>
      <c r="AN290" s="213"/>
      <c r="AO290" s="213"/>
      <c r="AP290" s="213"/>
      <c r="AQ290" s="213"/>
      <c r="AR290" s="213"/>
      <c r="AS290" s="213"/>
      <c r="AT290" s="213"/>
      <c r="AU290" s="213"/>
      <c r="AV290" s="213"/>
      <c r="AW290" s="213"/>
      <c r="AX290" s="213"/>
      <c r="AY290" s="213"/>
      <c r="AZ290" s="213"/>
      <c r="BA290" s="213"/>
      <c r="BB290" s="213"/>
    </row>
    <row r="291" ht="12.75" customHeight="1" outlineLevel="1">
      <c r="A291" s="235"/>
      <c r="B291" s="236"/>
      <c r="C291" s="237" t="s">
        <v>423</v>
      </c>
      <c r="D291" s="238"/>
      <c r="E291" s="239">
        <v>72.0</v>
      </c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3"/>
      <c r="Z291" s="213"/>
      <c r="AA291" s="213"/>
      <c r="AB291" s="213"/>
      <c r="AC291" s="213"/>
      <c r="AD291" s="213"/>
      <c r="AE291" s="213"/>
      <c r="AF291" s="213"/>
      <c r="AG291" s="213" t="s">
        <v>228</v>
      </c>
      <c r="AH291" s="213">
        <v>0.0</v>
      </c>
      <c r="AI291" s="213"/>
      <c r="AJ291" s="213"/>
      <c r="AK291" s="213"/>
      <c r="AL291" s="213"/>
      <c r="AM291" s="213"/>
      <c r="AN291" s="213"/>
      <c r="AO291" s="213"/>
      <c r="AP291" s="213"/>
      <c r="AQ291" s="213"/>
      <c r="AR291" s="213"/>
      <c r="AS291" s="213"/>
      <c r="AT291" s="213"/>
      <c r="AU291" s="213"/>
      <c r="AV291" s="213"/>
      <c r="AW291" s="213"/>
      <c r="AX291" s="213"/>
      <c r="AY291" s="213"/>
      <c r="AZ291" s="213"/>
      <c r="BA291" s="213"/>
      <c r="BB291" s="213"/>
    </row>
    <row r="292" ht="12.75" customHeight="1" outlineLevel="1">
      <c r="A292" s="204">
        <v>50.0</v>
      </c>
      <c r="B292" s="205" t="s">
        <v>424</v>
      </c>
      <c r="C292" s="206" t="s">
        <v>425</v>
      </c>
      <c r="D292" s="207" t="s">
        <v>372</v>
      </c>
      <c r="E292" s="208">
        <v>3.0</v>
      </c>
      <c r="F292" s="209">
        <v>11400.0</v>
      </c>
      <c r="G292" s="210">
        <f t="shared" ref="G292:G297" si="15">ROUND(E292*F292,2)</f>
        <v>34200</v>
      </c>
      <c r="H292" s="211"/>
      <c r="I292" s="212">
        <f t="shared" ref="I292:I297" si="16">ROUND(E292*H292,2)</f>
        <v>0</v>
      </c>
      <c r="J292" s="211"/>
      <c r="K292" s="212">
        <f t="shared" ref="K292:K297" si="17">ROUND(E292*J292,2)</f>
        <v>0</v>
      </c>
      <c r="L292" s="212">
        <v>21.0</v>
      </c>
      <c r="M292" s="212">
        <f t="shared" ref="M292:M297" si="18">G292*(1+L292/100)</f>
        <v>41382</v>
      </c>
      <c r="N292" s="212">
        <v>0.0</v>
      </c>
      <c r="O292" s="212">
        <f t="shared" ref="O292:O297" si="19">ROUND(E292*N292,2)</f>
        <v>0</v>
      </c>
      <c r="P292" s="212">
        <v>0.0</v>
      </c>
      <c r="Q292" s="212">
        <f t="shared" ref="Q292:Q297" si="20">ROUND(E292*P292,2)</f>
        <v>0</v>
      </c>
      <c r="R292" s="212"/>
      <c r="S292" s="212" t="s">
        <v>178</v>
      </c>
      <c r="T292" s="212" t="s">
        <v>179</v>
      </c>
      <c r="U292" s="212">
        <v>0.0</v>
      </c>
      <c r="V292" s="212">
        <f t="shared" ref="V292:V297" si="21">ROUND(E292*U292,2)</f>
        <v>0</v>
      </c>
      <c r="W292" s="212"/>
      <c r="X292" s="212" t="s">
        <v>225</v>
      </c>
      <c r="Y292" s="213"/>
      <c r="Z292" s="213"/>
      <c r="AA292" s="213"/>
      <c r="AB292" s="213"/>
      <c r="AC292" s="213"/>
      <c r="AD292" s="213"/>
      <c r="AE292" s="213"/>
      <c r="AF292" s="213"/>
      <c r="AG292" s="213" t="s">
        <v>226</v>
      </c>
      <c r="AH292" s="213"/>
      <c r="AI292" s="213"/>
      <c r="AJ292" s="213"/>
      <c r="AK292" s="213"/>
      <c r="AL292" s="213"/>
      <c r="AM292" s="213"/>
      <c r="AN292" s="213"/>
      <c r="AO292" s="213"/>
      <c r="AP292" s="213"/>
      <c r="AQ292" s="213"/>
      <c r="AR292" s="213"/>
      <c r="AS292" s="213"/>
      <c r="AT292" s="213"/>
      <c r="AU292" s="213"/>
      <c r="AV292" s="213"/>
      <c r="AW292" s="213"/>
      <c r="AX292" s="213"/>
      <c r="AY292" s="213"/>
      <c r="AZ292" s="213"/>
      <c r="BA292" s="213"/>
      <c r="BB292" s="213"/>
    </row>
    <row r="293" ht="12.75" customHeight="1" outlineLevel="1">
      <c r="A293" s="204">
        <v>51.0</v>
      </c>
      <c r="B293" s="205" t="s">
        <v>426</v>
      </c>
      <c r="C293" s="206" t="s">
        <v>427</v>
      </c>
      <c r="D293" s="207" t="s">
        <v>372</v>
      </c>
      <c r="E293" s="208">
        <v>1.0</v>
      </c>
      <c r="F293" s="209">
        <v>11300.0</v>
      </c>
      <c r="G293" s="210">
        <f t="shared" si="15"/>
        <v>11300</v>
      </c>
      <c r="H293" s="211"/>
      <c r="I293" s="212">
        <f t="shared" si="16"/>
        <v>0</v>
      </c>
      <c r="J293" s="211"/>
      <c r="K293" s="212">
        <f t="shared" si="17"/>
        <v>0</v>
      </c>
      <c r="L293" s="212">
        <v>21.0</v>
      </c>
      <c r="M293" s="212">
        <f t="shared" si="18"/>
        <v>13673</v>
      </c>
      <c r="N293" s="212">
        <v>0.0</v>
      </c>
      <c r="O293" s="212">
        <f t="shared" si="19"/>
        <v>0</v>
      </c>
      <c r="P293" s="212">
        <v>0.0</v>
      </c>
      <c r="Q293" s="212">
        <f t="shared" si="20"/>
        <v>0</v>
      </c>
      <c r="R293" s="212"/>
      <c r="S293" s="212" t="s">
        <v>178</v>
      </c>
      <c r="T293" s="212" t="s">
        <v>179</v>
      </c>
      <c r="U293" s="212">
        <v>0.0</v>
      </c>
      <c r="V293" s="212">
        <f t="shared" si="21"/>
        <v>0</v>
      </c>
      <c r="W293" s="212"/>
      <c r="X293" s="212" t="s">
        <v>225</v>
      </c>
      <c r="Y293" s="213"/>
      <c r="Z293" s="213"/>
      <c r="AA293" s="213"/>
      <c r="AB293" s="213"/>
      <c r="AC293" s="213"/>
      <c r="AD293" s="213"/>
      <c r="AE293" s="213"/>
      <c r="AF293" s="213"/>
      <c r="AG293" s="213" t="s">
        <v>226</v>
      </c>
      <c r="AH293" s="213"/>
      <c r="AI293" s="213"/>
      <c r="AJ293" s="213"/>
      <c r="AK293" s="213"/>
      <c r="AL293" s="213"/>
      <c r="AM293" s="213"/>
      <c r="AN293" s="213"/>
      <c r="AO293" s="213"/>
      <c r="AP293" s="213"/>
      <c r="AQ293" s="213"/>
      <c r="AR293" s="213"/>
      <c r="AS293" s="213"/>
      <c r="AT293" s="213"/>
      <c r="AU293" s="213"/>
      <c r="AV293" s="213"/>
      <c r="AW293" s="213"/>
      <c r="AX293" s="213"/>
      <c r="AY293" s="213"/>
      <c r="AZ293" s="213"/>
      <c r="BA293" s="213"/>
      <c r="BB293" s="213"/>
    </row>
    <row r="294" ht="12.75" customHeight="1" outlineLevel="1">
      <c r="A294" s="204">
        <v>52.0</v>
      </c>
      <c r="B294" s="205" t="s">
        <v>428</v>
      </c>
      <c r="C294" s="206" t="s">
        <v>429</v>
      </c>
      <c r="D294" s="207" t="s">
        <v>372</v>
      </c>
      <c r="E294" s="208">
        <v>10.0</v>
      </c>
      <c r="F294" s="209">
        <v>14600.0</v>
      </c>
      <c r="G294" s="210">
        <f t="shared" si="15"/>
        <v>146000</v>
      </c>
      <c r="H294" s="211"/>
      <c r="I294" s="212">
        <f t="shared" si="16"/>
        <v>0</v>
      </c>
      <c r="J294" s="211"/>
      <c r="K294" s="212">
        <f t="shared" si="17"/>
        <v>0</v>
      </c>
      <c r="L294" s="212">
        <v>21.0</v>
      </c>
      <c r="M294" s="212">
        <f t="shared" si="18"/>
        <v>176660</v>
      </c>
      <c r="N294" s="212">
        <v>0.0</v>
      </c>
      <c r="O294" s="212">
        <f t="shared" si="19"/>
        <v>0</v>
      </c>
      <c r="P294" s="212">
        <v>0.0</v>
      </c>
      <c r="Q294" s="212">
        <f t="shared" si="20"/>
        <v>0</v>
      </c>
      <c r="R294" s="212"/>
      <c r="S294" s="212" t="s">
        <v>178</v>
      </c>
      <c r="T294" s="212" t="s">
        <v>179</v>
      </c>
      <c r="U294" s="212">
        <v>0.0</v>
      </c>
      <c r="V294" s="212">
        <f t="shared" si="21"/>
        <v>0</v>
      </c>
      <c r="W294" s="212"/>
      <c r="X294" s="212" t="s">
        <v>225</v>
      </c>
      <c r="Y294" s="213"/>
      <c r="Z294" s="213"/>
      <c r="AA294" s="213"/>
      <c r="AB294" s="213"/>
      <c r="AC294" s="213"/>
      <c r="AD294" s="213"/>
      <c r="AE294" s="213"/>
      <c r="AF294" s="213"/>
      <c r="AG294" s="213" t="s">
        <v>226</v>
      </c>
      <c r="AH294" s="213"/>
      <c r="AI294" s="213"/>
      <c r="AJ294" s="213"/>
      <c r="AK294" s="213"/>
      <c r="AL294" s="213"/>
      <c r="AM294" s="213"/>
      <c r="AN294" s="213"/>
      <c r="AO294" s="213"/>
      <c r="AP294" s="213"/>
      <c r="AQ294" s="213"/>
      <c r="AR294" s="213"/>
      <c r="AS294" s="213"/>
      <c r="AT294" s="213"/>
      <c r="AU294" s="213"/>
      <c r="AV294" s="213"/>
      <c r="AW294" s="213"/>
      <c r="AX294" s="213"/>
      <c r="AY294" s="213"/>
      <c r="AZ294" s="213"/>
      <c r="BA294" s="213"/>
      <c r="BB294" s="213"/>
    </row>
    <row r="295" ht="12.75" customHeight="1" outlineLevel="1">
      <c r="A295" s="204">
        <v>53.0</v>
      </c>
      <c r="B295" s="205" t="s">
        <v>430</v>
      </c>
      <c r="C295" s="206" t="s">
        <v>431</v>
      </c>
      <c r="D295" s="207" t="s">
        <v>372</v>
      </c>
      <c r="E295" s="208">
        <v>1.0</v>
      </c>
      <c r="F295" s="209">
        <v>27300.0</v>
      </c>
      <c r="G295" s="210">
        <f t="shared" si="15"/>
        <v>27300</v>
      </c>
      <c r="H295" s="211"/>
      <c r="I295" s="212">
        <f t="shared" si="16"/>
        <v>0</v>
      </c>
      <c r="J295" s="211"/>
      <c r="K295" s="212">
        <f t="shared" si="17"/>
        <v>0</v>
      </c>
      <c r="L295" s="212">
        <v>21.0</v>
      </c>
      <c r="M295" s="212">
        <f t="shared" si="18"/>
        <v>33033</v>
      </c>
      <c r="N295" s="212">
        <v>0.0</v>
      </c>
      <c r="O295" s="212">
        <f t="shared" si="19"/>
        <v>0</v>
      </c>
      <c r="P295" s="212">
        <v>0.0</v>
      </c>
      <c r="Q295" s="212">
        <f t="shared" si="20"/>
        <v>0</v>
      </c>
      <c r="R295" s="212"/>
      <c r="S295" s="212" t="s">
        <v>178</v>
      </c>
      <c r="T295" s="212" t="s">
        <v>179</v>
      </c>
      <c r="U295" s="212">
        <v>0.0</v>
      </c>
      <c r="V295" s="212">
        <f t="shared" si="21"/>
        <v>0</v>
      </c>
      <c r="W295" s="212"/>
      <c r="X295" s="212" t="s">
        <v>225</v>
      </c>
      <c r="Y295" s="213"/>
      <c r="Z295" s="213"/>
      <c r="AA295" s="213"/>
      <c r="AB295" s="213"/>
      <c r="AC295" s="213"/>
      <c r="AD295" s="213"/>
      <c r="AE295" s="213"/>
      <c r="AF295" s="213"/>
      <c r="AG295" s="213" t="s">
        <v>226</v>
      </c>
      <c r="AH295" s="213"/>
      <c r="AI295" s="213"/>
      <c r="AJ295" s="213"/>
      <c r="AK295" s="213"/>
      <c r="AL295" s="213"/>
      <c r="AM295" s="213"/>
      <c r="AN295" s="213"/>
      <c r="AO295" s="213"/>
      <c r="AP295" s="213"/>
      <c r="AQ295" s="213"/>
      <c r="AR295" s="213"/>
      <c r="AS295" s="213"/>
      <c r="AT295" s="213"/>
      <c r="AU295" s="213"/>
      <c r="AV295" s="213"/>
      <c r="AW295" s="213"/>
      <c r="AX295" s="213"/>
      <c r="AY295" s="213"/>
      <c r="AZ295" s="213"/>
      <c r="BA295" s="213"/>
      <c r="BB295" s="213"/>
    </row>
    <row r="296" ht="12.75" customHeight="1" outlineLevel="1">
      <c r="A296" s="204">
        <v>54.0</v>
      </c>
      <c r="B296" s="205" t="s">
        <v>432</v>
      </c>
      <c r="C296" s="206" t="s">
        <v>433</v>
      </c>
      <c r="D296" s="207" t="s">
        <v>372</v>
      </c>
      <c r="E296" s="208">
        <v>1.0</v>
      </c>
      <c r="F296" s="209">
        <v>14400.0</v>
      </c>
      <c r="G296" s="210">
        <f t="shared" si="15"/>
        <v>14400</v>
      </c>
      <c r="H296" s="211"/>
      <c r="I296" s="212">
        <f t="shared" si="16"/>
        <v>0</v>
      </c>
      <c r="J296" s="211"/>
      <c r="K296" s="212">
        <f t="shared" si="17"/>
        <v>0</v>
      </c>
      <c r="L296" s="212">
        <v>21.0</v>
      </c>
      <c r="M296" s="212">
        <f t="shared" si="18"/>
        <v>17424</v>
      </c>
      <c r="N296" s="212">
        <v>0.0</v>
      </c>
      <c r="O296" s="212">
        <f t="shared" si="19"/>
        <v>0</v>
      </c>
      <c r="P296" s="212">
        <v>0.0</v>
      </c>
      <c r="Q296" s="212">
        <f t="shared" si="20"/>
        <v>0</v>
      </c>
      <c r="R296" s="212"/>
      <c r="S296" s="212" t="s">
        <v>178</v>
      </c>
      <c r="T296" s="212" t="s">
        <v>179</v>
      </c>
      <c r="U296" s="212">
        <v>0.0</v>
      </c>
      <c r="V296" s="212">
        <f t="shared" si="21"/>
        <v>0</v>
      </c>
      <c r="W296" s="212"/>
      <c r="X296" s="212" t="s">
        <v>225</v>
      </c>
      <c r="Y296" s="213"/>
      <c r="Z296" s="213"/>
      <c r="AA296" s="213"/>
      <c r="AB296" s="213"/>
      <c r="AC296" s="213"/>
      <c r="AD296" s="213"/>
      <c r="AE296" s="213"/>
      <c r="AF296" s="213"/>
      <c r="AG296" s="213" t="s">
        <v>226</v>
      </c>
      <c r="AH296" s="213"/>
      <c r="AI296" s="213"/>
      <c r="AJ296" s="213"/>
      <c r="AK296" s="213"/>
      <c r="AL296" s="213"/>
      <c r="AM296" s="213"/>
      <c r="AN296" s="213"/>
      <c r="AO296" s="213"/>
      <c r="AP296" s="213"/>
      <c r="AQ296" s="213"/>
      <c r="AR296" s="213"/>
      <c r="AS296" s="213"/>
      <c r="AT296" s="213"/>
      <c r="AU296" s="213"/>
      <c r="AV296" s="213"/>
      <c r="AW296" s="213"/>
      <c r="AX296" s="213"/>
      <c r="AY296" s="213"/>
      <c r="AZ296" s="213"/>
      <c r="BA296" s="213"/>
      <c r="BB296" s="213"/>
    </row>
    <row r="297" ht="12.75" customHeight="1" outlineLevel="1">
      <c r="A297" s="214">
        <v>55.0</v>
      </c>
      <c r="B297" s="215" t="s">
        <v>434</v>
      </c>
      <c r="C297" s="216" t="s">
        <v>435</v>
      </c>
      <c r="D297" s="217" t="s">
        <v>372</v>
      </c>
      <c r="E297" s="218">
        <v>1.0</v>
      </c>
      <c r="F297" s="219">
        <v>4900.0</v>
      </c>
      <c r="G297" s="220">
        <f t="shared" si="15"/>
        <v>4900</v>
      </c>
      <c r="H297" s="211"/>
      <c r="I297" s="212">
        <f t="shared" si="16"/>
        <v>0</v>
      </c>
      <c r="J297" s="211"/>
      <c r="K297" s="212">
        <f t="shared" si="17"/>
        <v>0</v>
      </c>
      <c r="L297" s="212">
        <v>21.0</v>
      </c>
      <c r="M297" s="212">
        <f t="shared" si="18"/>
        <v>5929</v>
      </c>
      <c r="N297" s="212">
        <v>0.0</v>
      </c>
      <c r="O297" s="212">
        <f t="shared" si="19"/>
        <v>0</v>
      </c>
      <c r="P297" s="212">
        <v>0.0</v>
      </c>
      <c r="Q297" s="212">
        <f t="shared" si="20"/>
        <v>0</v>
      </c>
      <c r="R297" s="212"/>
      <c r="S297" s="212" t="s">
        <v>178</v>
      </c>
      <c r="T297" s="212" t="s">
        <v>179</v>
      </c>
      <c r="U297" s="212">
        <v>0.0</v>
      </c>
      <c r="V297" s="212">
        <f t="shared" si="21"/>
        <v>0</v>
      </c>
      <c r="W297" s="212"/>
      <c r="X297" s="212" t="s">
        <v>225</v>
      </c>
      <c r="Y297" s="213"/>
      <c r="Z297" s="213"/>
      <c r="AA297" s="213"/>
      <c r="AB297" s="213"/>
      <c r="AC297" s="213"/>
      <c r="AD297" s="213"/>
      <c r="AE297" s="213"/>
      <c r="AF297" s="213"/>
      <c r="AG297" s="213" t="s">
        <v>226</v>
      </c>
      <c r="AH297" s="213"/>
      <c r="AI297" s="213"/>
      <c r="AJ297" s="213"/>
      <c r="AK297" s="213"/>
      <c r="AL297" s="213"/>
      <c r="AM297" s="213"/>
      <c r="AN297" s="213"/>
      <c r="AO297" s="213"/>
      <c r="AP297" s="213"/>
      <c r="AQ297" s="213"/>
      <c r="AR297" s="213"/>
      <c r="AS297" s="213"/>
      <c r="AT297" s="213"/>
      <c r="AU297" s="213"/>
      <c r="AV297" s="213"/>
      <c r="AW297" s="213"/>
      <c r="AX297" s="213"/>
      <c r="AY297" s="213"/>
      <c r="AZ297" s="213"/>
      <c r="BA297" s="213"/>
      <c r="BB297" s="213"/>
    </row>
    <row r="298" ht="12.75" customHeight="1" outlineLevel="1">
      <c r="A298" s="235"/>
      <c r="B298" s="236"/>
      <c r="C298" s="237" t="s">
        <v>436</v>
      </c>
      <c r="D298" s="238"/>
      <c r="E298" s="239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3"/>
      <c r="Z298" s="213"/>
      <c r="AA298" s="213"/>
      <c r="AB298" s="213"/>
      <c r="AC298" s="213"/>
      <c r="AD298" s="213"/>
      <c r="AE298" s="213"/>
      <c r="AF298" s="213"/>
      <c r="AG298" s="213" t="s">
        <v>228</v>
      </c>
      <c r="AH298" s="213">
        <v>0.0</v>
      </c>
      <c r="AI298" s="213"/>
      <c r="AJ298" s="213"/>
      <c r="AK298" s="213"/>
      <c r="AL298" s="213"/>
      <c r="AM298" s="213"/>
      <c r="AN298" s="213"/>
      <c r="AO298" s="213"/>
      <c r="AP298" s="213"/>
      <c r="AQ298" s="213"/>
      <c r="AR298" s="213"/>
      <c r="AS298" s="213"/>
      <c r="AT298" s="213"/>
      <c r="AU298" s="213"/>
      <c r="AV298" s="213"/>
      <c r="AW298" s="213"/>
      <c r="AX298" s="213"/>
      <c r="AY298" s="213"/>
      <c r="AZ298" s="213"/>
      <c r="BA298" s="213"/>
      <c r="BB298" s="213"/>
    </row>
    <row r="299" ht="12.75" customHeight="1" outlineLevel="1">
      <c r="A299" s="235"/>
      <c r="B299" s="236"/>
      <c r="C299" s="237" t="s">
        <v>373</v>
      </c>
      <c r="D299" s="238"/>
      <c r="E299" s="239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3"/>
      <c r="Z299" s="213"/>
      <c r="AA299" s="213"/>
      <c r="AB299" s="213"/>
      <c r="AC299" s="213"/>
      <c r="AD299" s="213"/>
      <c r="AE299" s="213"/>
      <c r="AF299" s="213"/>
      <c r="AG299" s="213" t="s">
        <v>228</v>
      </c>
      <c r="AH299" s="213">
        <v>0.0</v>
      </c>
      <c r="AI299" s="213"/>
      <c r="AJ299" s="213"/>
      <c r="AK299" s="213"/>
      <c r="AL299" s="213"/>
      <c r="AM299" s="213"/>
      <c r="AN299" s="213"/>
      <c r="AO299" s="213"/>
      <c r="AP299" s="213"/>
      <c r="AQ299" s="213"/>
      <c r="AR299" s="213"/>
      <c r="AS299" s="213"/>
      <c r="AT299" s="213"/>
      <c r="AU299" s="213"/>
      <c r="AV299" s="213"/>
      <c r="AW299" s="213"/>
      <c r="AX299" s="213"/>
      <c r="AY299" s="213"/>
      <c r="AZ299" s="213"/>
      <c r="BA299" s="213"/>
      <c r="BB299" s="213"/>
    </row>
    <row r="300" ht="12.75" customHeight="1" outlineLevel="1">
      <c r="A300" s="235"/>
      <c r="B300" s="236"/>
      <c r="C300" s="237" t="s">
        <v>374</v>
      </c>
      <c r="D300" s="238"/>
      <c r="E300" s="239">
        <v>1.0</v>
      </c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3"/>
      <c r="Z300" s="213"/>
      <c r="AA300" s="213"/>
      <c r="AB300" s="213"/>
      <c r="AC300" s="213"/>
      <c r="AD300" s="213"/>
      <c r="AE300" s="213"/>
      <c r="AF300" s="213"/>
      <c r="AG300" s="213" t="s">
        <v>228</v>
      </c>
      <c r="AH300" s="213">
        <v>0.0</v>
      </c>
      <c r="AI300" s="213"/>
      <c r="AJ300" s="213"/>
      <c r="AK300" s="213"/>
      <c r="AL300" s="213"/>
      <c r="AM300" s="213"/>
      <c r="AN300" s="213"/>
      <c r="AO300" s="213"/>
      <c r="AP300" s="213"/>
      <c r="AQ300" s="213"/>
      <c r="AR300" s="213"/>
      <c r="AS300" s="213"/>
      <c r="AT300" s="213"/>
      <c r="AU300" s="213"/>
      <c r="AV300" s="213"/>
      <c r="AW300" s="213"/>
      <c r="AX300" s="213"/>
      <c r="AY300" s="213"/>
      <c r="AZ300" s="213"/>
      <c r="BA300" s="213"/>
      <c r="BB300" s="213"/>
    </row>
    <row r="301" ht="12.75" customHeight="1" outlineLevel="1">
      <c r="A301" s="204">
        <v>56.0</v>
      </c>
      <c r="B301" s="205" t="s">
        <v>437</v>
      </c>
      <c r="C301" s="206" t="s">
        <v>438</v>
      </c>
      <c r="D301" s="207" t="s">
        <v>372</v>
      </c>
      <c r="E301" s="208">
        <v>5.0</v>
      </c>
      <c r="F301" s="209">
        <v>4091.11</v>
      </c>
      <c r="G301" s="210">
        <f t="shared" ref="G301:G309" si="22">ROUND(E301*F301,2)</f>
        <v>20455.55</v>
      </c>
      <c r="H301" s="211"/>
      <c r="I301" s="212">
        <f t="shared" ref="I301:I309" si="23">ROUND(E301*H301,2)</f>
        <v>0</v>
      </c>
      <c r="J301" s="211"/>
      <c r="K301" s="212">
        <f t="shared" ref="K301:K309" si="24">ROUND(E301*J301,2)</f>
        <v>0</v>
      </c>
      <c r="L301" s="212">
        <v>21.0</v>
      </c>
      <c r="M301" s="212">
        <f t="shared" ref="M301:M309" si="25">G301*(1+L301/100)</f>
        <v>24751.2155</v>
      </c>
      <c r="N301" s="212">
        <v>0.0</v>
      </c>
      <c r="O301" s="212">
        <f t="shared" ref="O301:O309" si="26">ROUND(E301*N301,2)</f>
        <v>0</v>
      </c>
      <c r="P301" s="212">
        <v>0.0</v>
      </c>
      <c r="Q301" s="212">
        <f t="shared" ref="Q301:Q309" si="27">ROUND(E301*P301,2)</f>
        <v>0</v>
      </c>
      <c r="R301" s="212"/>
      <c r="S301" s="212" t="s">
        <v>178</v>
      </c>
      <c r="T301" s="212" t="s">
        <v>179</v>
      </c>
      <c r="U301" s="212">
        <v>0.0</v>
      </c>
      <c r="V301" s="212">
        <f t="shared" ref="V301:V309" si="28">ROUND(E301*U301,2)</f>
        <v>0</v>
      </c>
      <c r="W301" s="212"/>
      <c r="X301" s="212" t="s">
        <v>225</v>
      </c>
      <c r="Y301" s="213"/>
      <c r="Z301" s="213"/>
      <c r="AA301" s="213"/>
      <c r="AB301" s="213"/>
      <c r="AC301" s="213"/>
      <c r="AD301" s="213"/>
      <c r="AE301" s="213"/>
      <c r="AF301" s="213"/>
      <c r="AG301" s="213" t="s">
        <v>226</v>
      </c>
      <c r="AH301" s="213"/>
      <c r="AI301" s="213"/>
      <c r="AJ301" s="213"/>
      <c r="AK301" s="213"/>
      <c r="AL301" s="213"/>
      <c r="AM301" s="213"/>
      <c r="AN301" s="213"/>
      <c r="AO301" s="213"/>
      <c r="AP301" s="213"/>
      <c r="AQ301" s="213"/>
      <c r="AR301" s="213"/>
      <c r="AS301" s="213"/>
      <c r="AT301" s="213"/>
      <c r="AU301" s="213"/>
      <c r="AV301" s="213"/>
      <c r="AW301" s="213"/>
      <c r="AX301" s="213"/>
      <c r="AY301" s="213"/>
      <c r="AZ301" s="213"/>
      <c r="BA301" s="213"/>
      <c r="BB301" s="213"/>
    </row>
    <row r="302" ht="12.75" customHeight="1" outlineLevel="1">
      <c r="A302" s="204">
        <v>57.0</v>
      </c>
      <c r="B302" s="205" t="s">
        <v>439</v>
      </c>
      <c r="C302" s="206" t="s">
        <v>440</v>
      </c>
      <c r="D302" s="207" t="s">
        <v>372</v>
      </c>
      <c r="E302" s="208">
        <v>52.0</v>
      </c>
      <c r="F302" s="209">
        <v>300.0</v>
      </c>
      <c r="G302" s="210">
        <f t="shared" si="22"/>
        <v>15600</v>
      </c>
      <c r="H302" s="211"/>
      <c r="I302" s="212">
        <f t="shared" si="23"/>
        <v>0</v>
      </c>
      <c r="J302" s="211"/>
      <c r="K302" s="212">
        <f t="shared" si="24"/>
        <v>0</v>
      </c>
      <c r="L302" s="212">
        <v>21.0</v>
      </c>
      <c r="M302" s="212">
        <f t="shared" si="25"/>
        <v>18876</v>
      </c>
      <c r="N302" s="212">
        <v>0.0</v>
      </c>
      <c r="O302" s="212">
        <f t="shared" si="26"/>
        <v>0</v>
      </c>
      <c r="P302" s="212">
        <v>0.0</v>
      </c>
      <c r="Q302" s="212">
        <f t="shared" si="27"/>
        <v>0</v>
      </c>
      <c r="R302" s="212"/>
      <c r="S302" s="212" t="s">
        <v>178</v>
      </c>
      <c r="T302" s="212" t="s">
        <v>179</v>
      </c>
      <c r="U302" s="212">
        <v>0.0</v>
      </c>
      <c r="V302" s="212">
        <f t="shared" si="28"/>
        <v>0</v>
      </c>
      <c r="W302" s="212"/>
      <c r="X302" s="212" t="s">
        <v>225</v>
      </c>
      <c r="Y302" s="213"/>
      <c r="Z302" s="213"/>
      <c r="AA302" s="213"/>
      <c r="AB302" s="213"/>
      <c r="AC302" s="213"/>
      <c r="AD302" s="213"/>
      <c r="AE302" s="213"/>
      <c r="AF302" s="213"/>
      <c r="AG302" s="213" t="s">
        <v>226</v>
      </c>
      <c r="AH302" s="213"/>
      <c r="AI302" s="213"/>
      <c r="AJ302" s="213"/>
      <c r="AK302" s="213"/>
      <c r="AL302" s="213"/>
      <c r="AM302" s="213"/>
      <c r="AN302" s="213"/>
      <c r="AO302" s="213"/>
      <c r="AP302" s="213"/>
      <c r="AQ302" s="213"/>
      <c r="AR302" s="213"/>
      <c r="AS302" s="213"/>
      <c r="AT302" s="213"/>
      <c r="AU302" s="213"/>
      <c r="AV302" s="213"/>
      <c r="AW302" s="213"/>
      <c r="AX302" s="213"/>
      <c r="AY302" s="213"/>
      <c r="AZ302" s="213"/>
      <c r="BA302" s="213"/>
      <c r="BB302" s="213"/>
    </row>
    <row r="303" ht="12.75" customHeight="1" outlineLevel="1">
      <c r="A303" s="204">
        <v>58.0</v>
      </c>
      <c r="B303" s="205" t="s">
        <v>441</v>
      </c>
      <c r="C303" s="206" t="s">
        <v>442</v>
      </c>
      <c r="D303" s="207" t="s">
        <v>372</v>
      </c>
      <c r="E303" s="208">
        <v>13.0</v>
      </c>
      <c r="F303" s="209">
        <v>300.0</v>
      </c>
      <c r="G303" s="210">
        <f t="shared" si="22"/>
        <v>3900</v>
      </c>
      <c r="H303" s="211"/>
      <c r="I303" s="212">
        <f t="shared" si="23"/>
        <v>0</v>
      </c>
      <c r="J303" s="211"/>
      <c r="K303" s="212">
        <f t="shared" si="24"/>
        <v>0</v>
      </c>
      <c r="L303" s="212">
        <v>21.0</v>
      </c>
      <c r="M303" s="212">
        <f t="shared" si="25"/>
        <v>4719</v>
      </c>
      <c r="N303" s="212">
        <v>0.0</v>
      </c>
      <c r="O303" s="212">
        <f t="shared" si="26"/>
        <v>0</v>
      </c>
      <c r="P303" s="212">
        <v>0.0</v>
      </c>
      <c r="Q303" s="212">
        <f t="shared" si="27"/>
        <v>0</v>
      </c>
      <c r="R303" s="212"/>
      <c r="S303" s="212" t="s">
        <v>178</v>
      </c>
      <c r="T303" s="212" t="s">
        <v>179</v>
      </c>
      <c r="U303" s="212">
        <v>0.0</v>
      </c>
      <c r="V303" s="212">
        <f t="shared" si="28"/>
        <v>0</v>
      </c>
      <c r="W303" s="212"/>
      <c r="X303" s="212" t="s">
        <v>225</v>
      </c>
      <c r="Y303" s="213"/>
      <c r="Z303" s="213"/>
      <c r="AA303" s="213"/>
      <c r="AB303" s="213"/>
      <c r="AC303" s="213"/>
      <c r="AD303" s="213"/>
      <c r="AE303" s="213"/>
      <c r="AF303" s="213"/>
      <c r="AG303" s="213" t="s">
        <v>226</v>
      </c>
      <c r="AH303" s="213"/>
      <c r="AI303" s="213"/>
      <c r="AJ303" s="213"/>
      <c r="AK303" s="213"/>
      <c r="AL303" s="213"/>
      <c r="AM303" s="213"/>
      <c r="AN303" s="213"/>
      <c r="AO303" s="213"/>
      <c r="AP303" s="213"/>
      <c r="AQ303" s="213"/>
      <c r="AR303" s="213"/>
      <c r="AS303" s="213"/>
      <c r="AT303" s="213"/>
      <c r="AU303" s="213"/>
      <c r="AV303" s="213"/>
      <c r="AW303" s="213"/>
      <c r="AX303" s="213"/>
      <c r="AY303" s="213"/>
      <c r="AZ303" s="213"/>
      <c r="BA303" s="213"/>
      <c r="BB303" s="213"/>
    </row>
    <row r="304" ht="12.75" customHeight="1" outlineLevel="1">
      <c r="A304" s="204">
        <v>59.0</v>
      </c>
      <c r="B304" s="205" t="s">
        <v>443</v>
      </c>
      <c r="C304" s="206" t="s">
        <v>444</v>
      </c>
      <c r="D304" s="207" t="s">
        <v>372</v>
      </c>
      <c r="E304" s="208">
        <v>2.0</v>
      </c>
      <c r="F304" s="209">
        <v>3200.0</v>
      </c>
      <c r="G304" s="210">
        <f t="shared" si="22"/>
        <v>6400</v>
      </c>
      <c r="H304" s="211"/>
      <c r="I304" s="212">
        <f t="shared" si="23"/>
        <v>0</v>
      </c>
      <c r="J304" s="211"/>
      <c r="K304" s="212">
        <f t="shared" si="24"/>
        <v>0</v>
      </c>
      <c r="L304" s="212">
        <v>21.0</v>
      </c>
      <c r="M304" s="212">
        <f t="shared" si="25"/>
        <v>7744</v>
      </c>
      <c r="N304" s="212">
        <v>0.0</v>
      </c>
      <c r="O304" s="212">
        <f t="shared" si="26"/>
        <v>0</v>
      </c>
      <c r="P304" s="212">
        <v>0.0</v>
      </c>
      <c r="Q304" s="212">
        <f t="shared" si="27"/>
        <v>0</v>
      </c>
      <c r="R304" s="212"/>
      <c r="S304" s="212" t="s">
        <v>178</v>
      </c>
      <c r="T304" s="212" t="s">
        <v>179</v>
      </c>
      <c r="U304" s="212">
        <v>0.0</v>
      </c>
      <c r="V304" s="212">
        <f t="shared" si="28"/>
        <v>0</v>
      </c>
      <c r="W304" s="212"/>
      <c r="X304" s="212" t="s">
        <v>225</v>
      </c>
      <c r="Y304" s="213"/>
      <c r="Z304" s="213"/>
      <c r="AA304" s="213"/>
      <c r="AB304" s="213"/>
      <c r="AC304" s="213"/>
      <c r="AD304" s="213"/>
      <c r="AE304" s="213"/>
      <c r="AF304" s="213"/>
      <c r="AG304" s="213" t="s">
        <v>226</v>
      </c>
      <c r="AH304" s="213"/>
      <c r="AI304" s="213"/>
      <c r="AJ304" s="213"/>
      <c r="AK304" s="213"/>
      <c r="AL304" s="213"/>
      <c r="AM304" s="213"/>
      <c r="AN304" s="213"/>
      <c r="AO304" s="213"/>
      <c r="AP304" s="213"/>
      <c r="AQ304" s="213"/>
      <c r="AR304" s="213"/>
      <c r="AS304" s="213"/>
      <c r="AT304" s="213"/>
      <c r="AU304" s="213"/>
      <c r="AV304" s="213"/>
      <c r="AW304" s="213"/>
      <c r="AX304" s="213"/>
      <c r="AY304" s="213"/>
      <c r="AZ304" s="213"/>
      <c r="BA304" s="213"/>
      <c r="BB304" s="213"/>
    </row>
    <row r="305" ht="12.75" customHeight="1" outlineLevel="1">
      <c r="A305" s="204">
        <v>60.0</v>
      </c>
      <c r="B305" s="205" t="s">
        <v>445</v>
      </c>
      <c r="C305" s="206" t="s">
        <v>446</v>
      </c>
      <c r="D305" s="207" t="s">
        <v>377</v>
      </c>
      <c r="E305" s="208">
        <v>2.0</v>
      </c>
      <c r="F305" s="209">
        <v>3400.0</v>
      </c>
      <c r="G305" s="210">
        <f t="shared" si="22"/>
        <v>6800</v>
      </c>
      <c r="H305" s="211"/>
      <c r="I305" s="212">
        <f t="shared" si="23"/>
        <v>0</v>
      </c>
      <c r="J305" s="211"/>
      <c r="K305" s="212">
        <f t="shared" si="24"/>
        <v>0</v>
      </c>
      <c r="L305" s="212">
        <v>21.0</v>
      </c>
      <c r="M305" s="212">
        <f t="shared" si="25"/>
        <v>8228</v>
      </c>
      <c r="N305" s="212">
        <v>0.0</v>
      </c>
      <c r="O305" s="212">
        <f t="shared" si="26"/>
        <v>0</v>
      </c>
      <c r="P305" s="212">
        <v>0.0</v>
      </c>
      <c r="Q305" s="212">
        <f t="shared" si="27"/>
        <v>0</v>
      </c>
      <c r="R305" s="212"/>
      <c r="S305" s="212" t="s">
        <v>178</v>
      </c>
      <c r="T305" s="212" t="s">
        <v>179</v>
      </c>
      <c r="U305" s="212">
        <v>0.0</v>
      </c>
      <c r="V305" s="212">
        <f t="shared" si="28"/>
        <v>0</v>
      </c>
      <c r="W305" s="212"/>
      <c r="X305" s="212" t="s">
        <v>225</v>
      </c>
      <c r="Y305" s="213"/>
      <c r="Z305" s="213"/>
      <c r="AA305" s="213"/>
      <c r="AB305" s="213"/>
      <c r="AC305" s="213"/>
      <c r="AD305" s="213"/>
      <c r="AE305" s="213"/>
      <c r="AF305" s="213"/>
      <c r="AG305" s="213" t="s">
        <v>226</v>
      </c>
      <c r="AH305" s="213"/>
      <c r="AI305" s="213"/>
      <c r="AJ305" s="213"/>
      <c r="AK305" s="213"/>
      <c r="AL305" s="213"/>
      <c r="AM305" s="213"/>
      <c r="AN305" s="213"/>
      <c r="AO305" s="213"/>
      <c r="AP305" s="213"/>
      <c r="AQ305" s="213"/>
      <c r="AR305" s="213"/>
      <c r="AS305" s="213"/>
      <c r="AT305" s="213"/>
      <c r="AU305" s="213"/>
      <c r="AV305" s="213"/>
      <c r="AW305" s="213"/>
      <c r="AX305" s="213"/>
      <c r="AY305" s="213"/>
      <c r="AZ305" s="213"/>
      <c r="BA305" s="213"/>
      <c r="BB305" s="213"/>
    </row>
    <row r="306" ht="12.75" customHeight="1" outlineLevel="1">
      <c r="A306" s="204">
        <v>61.0</v>
      </c>
      <c r="B306" s="205" t="s">
        <v>447</v>
      </c>
      <c r="C306" s="206" t="s">
        <v>448</v>
      </c>
      <c r="D306" s="207" t="s">
        <v>377</v>
      </c>
      <c r="E306" s="208">
        <v>1.0</v>
      </c>
      <c r="F306" s="209">
        <v>3700.0</v>
      </c>
      <c r="G306" s="210">
        <f t="shared" si="22"/>
        <v>3700</v>
      </c>
      <c r="H306" s="211"/>
      <c r="I306" s="212">
        <f t="shared" si="23"/>
        <v>0</v>
      </c>
      <c r="J306" s="211"/>
      <c r="K306" s="212">
        <f t="shared" si="24"/>
        <v>0</v>
      </c>
      <c r="L306" s="212">
        <v>21.0</v>
      </c>
      <c r="M306" s="212">
        <f t="shared" si="25"/>
        <v>4477</v>
      </c>
      <c r="N306" s="212">
        <v>0.0</v>
      </c>
      <c r="O306" s="212">
        <f t="shared" si="26"/>
        <v>0</v>
      </c>
      <c r="P306" s="212">
        <v>0.0</v>
      </c>
      <c r="Q306" s="212">
        <f t="shared" si="27"/>
        <v>0</v>
      </c>
      <c r="R306" s="212"/>
      <c r="S306" s="212" t="s">
        <v>178</v>
      </c>
      <c r="T306" s="212" t="s">
        <v>179</v>
      </c>
      <c r="U306" s="212">
        <v>0.0</v>
      </c>
      <c r="V306" s="212">
        <f t="shared" si="28"/>
        <v>0</v>
      </c>
      <c r="W306" s="212"/>
      <c r="X306" s="212" t="s">
        <v>225</v>
      </c>
      <c r="Y306" s="213"/>
      <c r="Z306" s="213"/>
      <c r="AA306" s="213"/>
      <c r="AB306" s="213"/>
      <c r="AC306" s="213"/>
      <c r="AD306" s="213"/>
      <c r="AE306" s="213"/>
      <c r="AF306" s="213"/>
      <c r="AG306" s="213" t="s">
        <v>226</v>
      </c>
      <c r="AH306" s="213"/>
      <c r="AI306" s="213"/>
      <c r="AJ306" s="213"/>
      <c r="AK306" s="213"/>
      <c r="AL306" s="213"/>
      <c r="AM306" s="213"/>
      <c r="AN306" s="213"/>
      <c r="AO306" s="213"/>
      <c r="AP306" s="213"/>
      <c r="AQ306" s="213"/>
      <c r="AR306" s="213"/>
      <c r="AS306" s="213"/>
      <c r="AT306" s="213"/>
      <c r="AU306" s="213"/>
      <c r="AV306" s="213"/>
      <c r="AW306" s="213"/>
      <c r="AX306" s="213"/>
      <c r="AY306" s="213"/>
      <c r="AZ306" s="213"/>
      <c r="BA306" s="213"/>
      <c r="BB306" s="213"/>
    </row>
    <row r="307" ht="12.75" customHeight="1" outlineLevel="1">
      <c r="A307" s="204">
        <v>62.0</v>
      </c>
      <c r="B307" s="205" t="s">
        <v>449</v>
      </c>
      <c r="C307" s="206" t="s">
        <v>450</v>
      </c>
      <c r="D307" s="207" t="s">
        <v>377</v>
      </c>
      <c r="E307" s="208">
        <v>3.0</v>
      </c>
      <c r="F307" s="209">
        <v>1658.56</v>
      </c>
      <c r="G307" s="210">
        <f t="shared" si="22"/>
        <v>4975.68</v>
      </c>
      <c r="H307" s="211"/>
      <c r="I307" s="212">
        <f t="shared" si="23"/>
        <v>0</v>
      </c>
      <c r="J307" s="211"/>
      <c r="K307" s="212">
        <f t="shared" si="24"/>
        <v>0</v>
      </c>
      <c r="L307" s="212">
        <v>21.0</v>
      </c>
      <c r="M307" s="212">
        <f t="shared" si="25"/>
        <v>6020.5728</v>
      </c>
      <c r="N307" s="212">
        <v>0.0</v>
      </c>
      <c r="O307" s="212">
        <f t="shared" si="26"/>
        <v>0</v>
      </c>
      <c r="P307" s="212">
        <v>0.0</v>
      </c>
      <c r="Q307" s="212">
        <f t="shared" si="27"/>
        <v>0</v>
      </c>
      <c r="R307" s="212"/>
      <c r="S307" s="212" t="s">
        <v>178</v>
      </c>
      <c r="T307" s="212" t="s">
        <v>179</v>
      </c>
      <c r="U307" s="212">
        <v>0.0</v>
      </c>
      <c r="V307" s="212">
        <f t="shared" si="28"/>
        <v>0</v>
      </c>
      <c r="W307" s="212"/>
      <c r="X307" s="212" t="s">
        <v>225</v>
      </c>
      <c r="Y307" s="213"/>
      <c r="Z307" s="213"/>
      <c r="AA307" s="213"/>
      <c r="AB307" s="213"/>
      <c r="AC307" s="213"/>
      <c r="AD307" s="213"/>
      <c r="AE307" s="213"/>
      <c r="AF307" s="213"/>
      <c r="AG307" s="213" t="s">
        <v>226</v>
      </c>
      <c r="AH307" s="213"/>
      <c r="AI307" s="213"/>
      <c r="AJ307" s="213"/>
      <c r="AK307" s="213"/>
      <c r="AL307" s="213"/>
      <c r="AM307" s="213"/>
      <c r="AN307" s="213"/>
      <c r="AO307" s="213"/>
      <c r="AP307" s="213"/>
      <c r="AQ307" s="213"/>
      <c r="AR307" s="213"/>
      <c r="AS307" s="213"/>
      <c r="AT307" s="213"/>
      <c r="AU307" s="213"/>
      <c r="AV307" s="213"/>
      <c r="AW307" s="213"/>
      <c r="AX307" s="213"/>
      <c r="AY307" s="213"/>
      <c r="AZ307" s="213"/>
      <c r="BA307" s="213"/>
      <c r="BB307" s="213"/>
    </row>
    <row r="308" ht="12.75" customHeight="1" outlineLevel="1">
      <c r="A308" s="204">
        <v>63.0</v>
      </c>
      <c r="B308" s="205" t="s">
        <v>451</v>
      </c>
      <c r="C308" s="206" t="s">
        <v>452</v>
      </c>
      <c r="D308" s="207" t="s">
        <v>377</v>
      </c>
      <c r="E308" s="208">
        <v>3.0</v>
      </c>
      <c r="F308" s="209">
        <v>2600.0</v>
      </c>
      <c r="G308" s="210">
        <f t="shared" si="22"/>
        <v>7800</v>
      </c>
      <c r="H308" s="211"/>
      <c r="I308" s="212">
        <f t="shared" si="23"/>
        <v>0</v>
      </c>
      <c r="J308" s="211"/>
      <c r="K308" s="212">
        <f t="shared" si="24"/>
        <v>0</v>
      </c>
      <c r="L308" s="212">
        <v>21.0</v>
      </c>
      <c r="M308" s="212">
        <f t="shared" si="25"/>
        <v>9438</v>
      </c>
      <c r="N308" s="212">
        <v>0.0</v>
      </c>
      <c r="O308" s="212">
        <f t="shared" si="26"/>
        <v>0</v>
      </c>
      <c r="P308" s="212">
        <v>0.0</v>
      </c>
      <c r="Q308" s="212">
        <f t="shared" si="27"/>
        <v>0</v>
      </c>
      <c r="R308" s="212"/>
      <c r="S308" s="212" t="s">
        <v>178</v>
      </c>
      <c r="T308" s="212" t="s">
        <v>179</v>
      </c>
      <c r="U308" s="212">
        <v>0.0</v>
      </c>
      <c r="V308" s="212">
        <f t="shared" si="28"/>
        <v>0</v>
      </c>
      <c r="W308" s="212"/>
      <c r="X308" s="212" t="s">
        <v>225</v>
      </c>
      <c r="Y308" s="213"/>
      <c r="Z308" s="213"/>
      <c r="AA308" s="213"/>
      <c r="AB308" s="213"/>
      <c r="AC308" s="213"/>
      <c r="AD308" s="213"/>
      <c r="AE308" s="213"/>
      <c r="AF308" s="213"/>
      <c r="AG308" s="213" t="s">
        <v>226</v>
      </c>
      <c r="AH308" s="213"/>
      <c r="AI308" s="213"/>
      <c r="AJ308" s="213"/>
      <c r="AK308" s="213"/>
      <c r="AL308" s="213"/>
      <c r="AM308" s="213"/>
      <c r="AN308" s="213"/>
      <c r="AO308" s="213"/>
      <c r="AP308" s="213"/>
      <c r="AQ308" s="213"/>
      <c r="AR308" s="213"/>
      <c r="AS308" s="213"/>
      <c r="AT308" s="213"/>
      <c r="AU308" s="213"/>
      <c r="AV308" s="213"/>
      <c r="AW308" s="213"/>
      <c r="AX308" s="213"/>
      <c r="AY308" s="213"/>
      <c r="AZ308" s="213"/>
      <c r="BA308" s="213"/>
      <c r="BB308" s="213"/>
    </row>
    <row r="309" ht="12.75" customHeight="1" outlineLevel="1">
      <c r="A309" s="214">
        <v>64.0</v>
      </c>
      <c r="B309" s="215" t="s">
        <v>453</v>
      </c>
      <c r="C309" s="216" t="s">
        <v>454</v>
      </c>
      <c r="D309" s="217" t="s">
        <v>377</v>
      </c>
      <c r="E309" s="218">
        <v>2.0</v>
      </c>
      <c r="F309" s="219">
        <v>34200.0</v>
      </c>
      <c r="G309" s="220">
        <f t="shared" si="22"/>
        <v>68400</v>
      </c>
      <c r="H309" s="211"/>
      <c r="I309" s="212">
        <f t="shared" si="23"/>
        <v>0</v>
      </c>
      <c r="J309" s="211"/>
      <c r="K309" s="212">
        <f t="shared" si="24"/>
        <v>0</v>
      </c>
      <c r="L309" s="212">
        <v>21.0</v>
      </c>
      <c r="M309" s="212">
        <f t="shared" si="25"/>
        <v>82764</v>
      </c>
      <c r="N309" s="212">
        <v>0.0</v>
      </c>
      <c r="O309" s="212">
        <f t="shared" si="26"/>
        <v>0</v>
      </c>
      <c r="P309" s="212">
        <v>0.0</v>
      </c>
      <c r="Q309" s="212">
        <f t="shared" si="27"/>
        <v>0</v>
      </c>
      <c r="R309" s="212"/>
      <c r="S309" s="212" t="s">
        <v>178</v>
      </c>
      <c r="T309" s="212" t="s">
        <v>179</v>
      </c>
      <c r="U309" s="212">
        <v>0.0</v>
      </c>
      <c r="V309" s="212">
        <f t="shared" si="28"/>
        <v>0</v>
      </c>
      <c r="W309" s="212"/>
      <c r="X309" s="212" t="s">
        <v>225</v>
      </c>
      <c r="Y309" s="213"/>
      <c r="Z309" s="213"/>
      <c r="AA309" s="213"/>
      <c r="AB309" s="213"/>
      <c r="AC309" s="213"/>
      <c r="AD309" s="213"/>
      <c r="AE309" s="213"/>
      <c r="AF309" s="213"/>
      <c r="AG309" s="213" t="s">
        <v>226</v>
      </c>
      <c r="AH309" s="213"/>
      <c r="AI309" s="213"/>
      <c r="AJ309" s="213"/>
      <c r="AK309" s="213"/>
      <c r="AL309" s="213"/>
      <c r="AM309" s="213"/>
      <c r="AN309" s="213"/>
      <c r="AO309" s="213"/>
      <c r="AP309" s="213"/>
      <c r="AQ309" s="213"/>
      <c r="AR309" s="213"/>
      <c r="AS309" s="213"/>
      <c r="AT309" s="213"/>
      <c r="AU309" s="213"/>
      <c r="AV309" s="213"/>
      <c r="AW309" s="213"/>
      <c r="AX309" s="213"/>
      <c r="AY309" s="213"/>
      <c r="AZ309" s="213"/>
      <c r="BA309" s="213"/>
      <c r="BB309" s="213"/>
    </row>
    <row r="310" ht="12.75" customHeight="1" outlineLevel="1">
      <c r="A310" s="235"/>
      <c r="B310" s="236"/>
      <c r="C310" s="237" t="s">
        <v>455</v>
      </c>
      <c r="D310" s="238"/>
      <c r="E310" s="239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3"/>
      <c r="Z310" s="213"/>
      <c r="AA310" s="213"/>
      <c r="AB310" s="213"/>
      <c r="AC310" s="213"/>
      <c r="AD310" s="213"/>
      <c r="AE310" s="213"/>
      <c r="AF310" s="213"/>
      <c r="AG310" s="213" t="s">
        <v>228</v>
      </c>
      <c r="AH310" s="213">
        <v>0.0</v>
      </c>
      <c r="AI310" s="213"/>
      <c r="AJ310" s="213"/>
      <c r="AK310" s="213"/>
      <c r="AL310" s="213"/>
      <c r="AM310" s="213"/>
      <c r="AN310" s="213"/>
      <c r="AO310" s="213"/>
      <c r="AP310" s="213"/>
      <c r="AQ310" s="213"/>
      <c r="AR310" s="213"/>
      <c r="AS310" s="213"/>
      <c r="AT310" s="213"/>
      <c r="AU310" s="213"/>
      <c r="AV310" s="213"/>
      <c r="AW310" s="213"/>
      <c r="AX310" s="213"/>
      <c r="AY310" s="213"/>
      <c r="AZ310" s="213"/>
      <c r="BA310" s="213"/>
      <c r="BB310" s="213"/>
    </row>
    <row r="311" ht="12.75" customHeight="1" outlineLevel="1">
      <c r="A311" s="235"/>
      <c r="B311" s="236"/>
      <c r="C311" s="237" t="s">
        <v>456</v>
      </c>
      <c r="D311" s="238"/>
      <c r="E311" s="239">
        <v>2.0</v>
      </c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3"/>
      <c r="Z311" s="213"/>
      <c r="AA311" s="213"/>
      <c r="AB311" s="213"/>
      <c r="AC311" s="213"/>
      <c r="AD311" s="213"/>
      <c r="AE311" s="213"/>
      <c r="AF311" s="213"/>
      <c r="AG311" s="213" t="s">
        <v>228</v>
      </c>
      <c r="AH311" s="213">
        <v>0.0</v>
      </c>
      <c r="AI311" s="213"/>
      <c r="AJ311" s="213"/>
      <c r="AK311" s="213"/>
      <c r="AL311" s="213"/>
      <c r="AM311" s="213"/>
      <c r="AN311" s="213"/>
      <c r="AO311" s="213"/>
      <c r="AP311" s="213"/>
      <c r="AQ311" s="213"/>
      <c r="AR311" s="213"/>
      <c r="AS311" s="213"/>
      <c r="AT311" s="213"/>
      <c r="AU311" s="213"/>
      <c r="AV311" s="213"/>
      <c r="AW311" s="213"/>
      <c r="AX311" s="213"/>
      <c r="AY311" s="213"/>
      <c r="AZ311" s="213"/>
      <c r="BA311" s="213"/>
      <c r="BB311" s="213"/>
    </row>
    <row r="312" ht="12.75" customHeight="1" outlineLevel="1">
      <c r="A312" s="214">
        <v>65.0</v>
      </c>
      <c r="B312" s="215" t="s">
        <v>457</v>
      </c>
      <c r="C312" s="216" t="s">
        <v>458</v>
      </c>
      <c r="D312" s="217" t="s">
        <v>377</v>
      </c>
      <c r="E312" s="218">
        <v>3.0</v>
      </c>
      <c r="F312" s="219">
        <v>26900.0</v>
      </c>
      <c r="G312" s="220">
        <f>ROUND(E312*F312,2)</f>
        <v>80700</v>
      </c>
      <c r="H312" s="211"/>
      <c r="I312" s="212">
        <f>ROUND(E312*H312,2)</f>
        <v>0</v>
      </c>
      <c r="J312" s="211"/>
      <c r="K312" s="212">
        <f>ROUND(E312*J312,2)</f>
        <v>0</v>
      </c>
      <c r="L312" s="212">
        <v>21.0</v>
      </c>
      <c r="M312" s="212">
        <f>G312*(1+L312/100)</f>
        <v>97647</v>
      </c>
      <c r="N312" s="212">
        <v>0.0</v>
      </c>
      <c r="O312" s="212">
        <f>ROUND(E312*N312,2)</f>
        <v>0</v>
      </c>
      <c r="P312" s="212">
        <v>0.0</v>
      </c>
      <c r="Q312" s="212">
        <f>ROUND(E312*P312,2)</f>
        <v>0</v>
      </c>
      <c r="R312" s="212"/>
      <c r="S312" s="212" t="s">
        <v>178</v>
      </c>
      <c r="T312" s="212" t="s">
        <v>179</v>
      </c>
      <c r="U312" s="212">
        <v>0.0</v>
      </c>
      <c r="V312" s="212">
        <f>ROUND(E312*U312,2)</f>
        <v>0</v>
      </c>
      <c r="W312" s="212"/>
      <c r="X312" s="212" t="s">
        <v>225</v>
      </c>
      <c r="Y312" s="213"/>
      <c r="Z312" s="213"/>
      <c r="AA312" s="213"/>
      <c r="AB312" s="213"/>
      <c r="AC312" s="213"/>
      <c r="AD312" s="213"/>
      <c r="AE312" s="213"/>
      <c r="AF312" s="213"/>
      <c r="AG312" s="213" t="s">
        <v>226</v>
      </c>
      <c r="AH312" s="213"/>
      <c r="AI312" s="213"/>
      <c r="AJ312" s="213"/>
      <c r="AK312" s="213"/>
      <c r="AL312" s="213"/>
      <c r="AM312" s="213"/>
      <c r="AN312" s="213"/>
      <c r="AO312" s="213"/>
      <c r="AP312" s="213"/>
      <c r="AQ312" s="213"/>
      <c r="AR312" s="213"/>
      <c r="AS312" s="213"/>
      <c r="AT312" s="213"/>
      <c r="AU312" s="213"/>
      <c r="AV312" s="213"/>
      <c r="AW312" s="213"/>
      <c r="AX312" s="213"/>
      <c r="AY312" s="213"/>
      <c r="AZ312" s="213"/>
      <c r="BA312" s="213"/>
      <c r="BB312" s="213"/>
    </row>
    <row r="313" ht="12.75" customHeight="1" outlineLevel="1">
      <c r="A313" s="235"/>
      <c r="B313" s="236"/>
      <c r="C313" s="237" t="s">
        <v>455</v>
      </c>
      <c r="D313" s="238"/>
      <c r="E313" s="239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3"/>
      <c r="Z313" s="213"/>
      <c r="AA313" s="213"/>
      <c r="AB313" s="213"/>
      <c r="AC313" s="213"/>
      <c r="AD313" s="213"/>
      <c r="AE313" s="213"/>
      <c r="AF313" s="213"/>
      <c r="AG313" s="213" t="s">
        <v>228</v>
      </c>
      <c r="AH313" s="213">
        <v>0.0</v>
      </c>
      <c r="AI313" s="213"/>
      <c r="AJ313" s="213"/>
      <c r="AK313" s="213"/>
      <c r="AL313" s="213"/>
      <c r="AM313" s="213"/>
      <c r="AN313" s="213"/>
      <c r="AO313" s="213"/>
      <c r="AP313" s="213"/>
      <c r="AQ313" s="213"/>
      <c r="AR313" s="213"/>
      <c r="AS313" s="213"/>
      <c r="AT313" s="213"/>
      <c r="AU313" s="213"/>
      <c r="AV313" s="213"/>
      <c r="AW313" s="213"/>
      <c r="AX313" s="213"/>
      <c r="AY313" s="213"/>
      <c r="AZ313" s="213"/>
      <c r="BA313" s="213"/>
      <c r="BB313" s="213"/>
    </row>
    <row r="314" ht="12.75" customHeight="1" outlineLevel="1">
      <c r="A314" s="235"/>
      <c r="B314" s="236"/>
      <c r="C314" s="237" t="s">
        <v>459</v>
      </c>
      <c r="D314" s="238"/>
      <c r="E314" s="239">
        <v>3.0</v>
      </c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3"/>
      <c r="Z314" s="213"/>
      <c r="AA314" s="213"/>
      <c r="AB314" s="213"/>
      <c r="AC314" s="213"/>
      <c r="AD314" s="213"/>
      <c r="AE314" s="213"/>
      <c r="AF314" s="213"/>
      <c r="AG314" s="213" t="s">
        <v>228</v>
      </c>
      <c r="AH314" s="213">
        <v>0.0</v>
      </c>
      <c r="AI314" s="213"/>
      <c r="AJ314" s="213"/>
      <c r="AK314" s="213"/>
      <c r="AL314" s="213"/>
      <c r="AM314" s="213"/>
      <c r="AN314" s="213"/>
      <c r="AO314" s="213"/>
      <c r="AP314" s="213"/>
      <c r="AQ314" s="213"/>
      <c r="AR314" s="213"/>
      <c r="AS314" s="213"/>
      <c r="AT314" s="213"/>
      <c r="AU314" s="213"/>
      <c r="AV314" s="213"/>
      <c r="AW314" s="213"/>
      <c r="AX314" s="213"/>
      <c r="AY314" s="213"/>
      <c r="AZ314" s="213"/>
      <c r="BA314" s="213"/>
      <c r="BB314" s="213"/>
    </row>
    <row r="315" ht="12.75" customHeight="1" outlineLevel="1">
      <c r="A315" s="214">
        <v>66.0</v>
      </c>
      <c r="B315" s="215" t="s">
        <v>460</v>
      </c>
      <c r="C315" s="216" t="s">
        <v>461</v>
      </c>
      <c r="D315" s="217" t="s">
        <v>377</v>
      </c>
      <c r="E315" s="218">
        <v>6.0</v>
      </c>
      <c r="F315" s="219">
        <v>7300.0</v>
      </c>
      <c r="G315" s="220">
        <f>ROUND(E315*F315,2)</f>
        <v>43800</v>
      </c>
      <c r="H315" s="211"/>
      <c r="I315" s="212">
        <f>ROUND(E315*H315,2)</f>
        <v>0</v>
      </c>
      <c r="J315" s="211"/>
      <c r="K315" s="212">
        <f>ROUND(E315*J315,2)</f>
        <v>0</v>
      </c>
      <c r="L315" s="212">
        <v>21.0</v>
      </c>
      <c r="M315" s="212">
        <f>G315*(1+L315/100)</f>
        <v>52998</v>
      </c>
      <c r="N315" s="212">
        <v>0.0</v>
      </c>
      <c r="O315" s="212">
        <f>ROUND(E315*N315,2)</f>
        <v>0</v>
      </c>
      <c r="P315" s="212">
        <v>0.0</v>
      </c>
      <c r="Q315" s="212">
        <f>ROUND(E315*P315,2)</f>
        <v>0</v>
      </c>
      <c r="R315" s="212"/>
      <c r="S315" s="212" t="s">
        <v>178</v>
      </c>
      <c r="T315" s="212" t="s">
        <v>179</v>
      </c>
      <c r="U315" s="212">
        <v>0.0</v>
      </c>
      <c r="V315" s="212">
        <f>ROUND(E315*U315,2)</f>
        <v>0</v>
      </c>
      <c r="W315" s="212"/>
      <c r="X315" s="212" t="s">
        <v>225</v>
      </c>
      <c r="Y315" s="213"/>
      <c r="Z315" s="213"/>
      <c r="AA315" s="213"/>
      <c r="AB315" s="213"/>
      <c r="AC315" s="213"/>
      <c r="AD315" s="213"/>
      <c r="AE315" s="213"/>
      <c r="AF315" s="213"/>
      <c r="AG315" s="213" t="s">
        <v>226</v>
      </c>
      <c r="AH315" s="213"/>
      <c r="AI315" s="213"/>
      <c r="AJ315" s="213"/>
      <c r="AK315" s="213"/>
      <c r="AL315" s="213"/>
      <c r="AM315" s="213"/>
      <c r="AN315" s="213"/>
      <c r="AO315" s="213"/>
      <c r="AP315" s="213"/>
      <c r="AQ315" s="213"/>
      <c r="AR315" s="213"/>
      <c r="AS315" s="213"/>
      <c r="AT315" s="213"/>
      <c r="AU315" s="213"/>
      <c r="AV315" s="213"/>
      <c r="AW315" s="213"/>
      <c r="AX315" s="213"/>
      <c r="AY315" s="213"/>
      <c r="AZ315" s="213"/>
      <c r="BA315" s="213"/>
      <c r="BB315" s="213"/>
    </row>
    <row r="316" ht="12.75" customHeight="1" outlineLevel="1">
      <c r="A316" s="235"/>
      <c r="B316" s="236"/>
      <c r="C316" s="237" t="s">
        <v>462</v>
      </c>
      <c r="D316" s="238"/>
      <c r="E316" s="239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3"/>
      <c r="Z316" s="213"/>
      <c r="AA316" s="213"/>
      <c r="AB316" s="213"/>
      <c r="AC316" s="213"/>
      <c r="AD316" s="213"/>
      <c r="AE316" s="213"/>
      <c r="AF316" s="213"/>
      <c r="AG316" s="213" t="s">
        <v>228</v>
      </c>
      <c r="AH316" s="213">
        <v>0.0</v>
      </c>
      <c r="AI316" s="213"/>
      <c r="AJ316" s="213"/>
      <c r="AK316" s="213"/>
      <c r="AL316" s="213"/>
      <c r="AM316" s="213"/>
      <c r="AN316" s="213"/>
      <c r="AO316" s="213"/>
      <c r="AP316" s="213"/>
      <c r="AQ316" s="213"/>
      <c r="AR316" s="213"/>
      <c r="AS316" s="213"/>
      <c r="AT316" s="213"/>
      <c r="AU316" s="213"/>
      <c r="AV316" s="213"/>
      <c r="AW316" s="213"/>
      <c r="AX316" s="213"/>
      <c r="AY316" s="213"/>
      <c r="AZ316" s="213"/>
      <c r="BA316" s="213"/>
      <c r="BB316" s="213"/>
    </row>
    <row r="317" ht="12.75" customHeight="1" outlineLevel="1">
      <c r="A317" s="235"/>
      <c r="B317" s="236"/>
      <c r="C317" s="237" t="s">
        <v>248</v>
      </c>
      <c r="D317" s="238"/>
      <c r="E317" s="239">
        <v>6.0</v>
      </c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3"/>
      <c r="Z317" s="213"/>
      <c r="AA317" s="213"/>
      <c r="AB317" s="213"/>
      <c r="AC317" s="213"/>
      <c r="AD317" s="213"/>
      <c r="AE317" s="213"/>
      <c r="AF317" s="213"/>
      <c r="AG317" s="213" t="s">
        <v>228</v>
      </c>
      <c r="AH317" s="213">
        <v>0.0</v>
      </c>
      <c r="AI317" s="213"/>
      <c r="AJ317" s="213"/>
      <c r="AK317" s="213"/>
      <c r="AL317" s="213"/>
      <c r="AM317" s="213"/>
      <c r="AN317" s="213"/>
      <c r="AO317" s="213"/>
      <c r="AP317" s="213"/>
      <c r="AQ317" s="213"/>
      <c r="AR317" s="213"/>
      <c r="AS317" s="213"/>
      <c r="AT317" s="213"/>
      <c r="AU317" s="213"/>
      <c r="AV317" s="213"/>
      <c r="AW317" s="213"/>
      <c r="AX317" s="213"/>
      <c r="AY317" s="213"/>
      <c r="AZ317" s="213"/>
      <c r="BA317" s="213"/>
      <c r="BB317" s="213"/>
    </row>
    <row r="318" ht="12.75" customHeight="1" outlineLevel="1">
      <c r="A318" s="214">
        <v>67.0</v>
      </c>
      <c r="B318" s="215" t="s">
        <v>463</v>
      </c>
      <c r="C318" s="216" t="s">
        <v>464</v>
      </c>
      <c r="D318" s="217" t="s">
        <v>377</v>
      </c>
      <c r="E318" s="218">
        <v>6.0</v>
      </c>
      <c r="F318" s="219">
        <v>6700.0</v>
      </c>
      <c r="G318" s="220">
        <f>ROUND(E318*F318,2)</f>
        <v>40200</v>
      </c>
      <c r="H318" s="211"/>
      <c r="I318" s="212">
        <f>ROUND(E318*H318,2)</f>
        <v>0</v>
      </c>
      <c r="J318" s="211"/>
      <c r="K318" s="212">
        <f>ROUND(E318*J318,2)</f>
        <v>0</v>
      </c>
      <c r="L318" s="212">
        <v>21.0</v>
      </c>
      <c r="M318" s="212">
        <f>G318*(1+L318/100)</f>
        <v>48642</v>
      </c>
      <c r="N318" s="212">
        <v>0.0</v>
      </c>
      <c r="O318" s="212">
        <f>ROUND(E318*N318,2)</f>
        <v>0</v>
      </c>
      <c r="P318" s="212">
        <v>0.0</v>
      </c>
      <c r="Q318" s="212">
        <f>ROUND(E318*P318,2)</f>
        <v>0</v>
      </c>
      <c r="R318" s="212"/>
      <c r="S318" s="212" t="s">
        <v>178</v>
      </c>
      <c r="T318" s="212" t="s">
        <v>179</v>
      </c>
      <c r="U318" s="212">
        <v>0.0</v>
      </c>
      <c r="V318" s="212">
        <f>ROUND(E318*U318,2)</f>
        <v>0</v>
      </c>
      <c r="W318" s="212"/>
      <c r="X318" s="212" t="s">
        <v>225</v>
      </c>
      <c r="Y318" s="213"/>
      <c r="Z318" s="213"/>
      <c r="AA318" s="213"/>
      <c r="AB318" s="213"/>
      <c r="AC318" s="213"/>
      <c r="AD318" s="213"/>
      <c r="AE318" s="213"/>
      <c r="AF318" s="213"/>
      <c r="AG318" s="213" t="s">
        <v>226</v>
      </c>
      <c r="AH318" s="213"/>
      <c r="AI318" s="213"/>
      <c r="AJ318" s="213"/>
      <c r="AK318" s="213"/>
      <c r="AL318" s="213"/>
      <c r="AM318" s="213"/>
      <c r="AN318" s="213"/>
      <c r="AO318" s="213"/>
      <c r="AP318" s="213"/>
      <c r="AQ318" s="213"/>
      <c r="AR318" s="213"/>
      <c r="AS318" s="213"/>
      <c r="AT318" s="213"/>
      <c r="AU318" s="213"/>
      <c r="AV318" s="213"/>
      <c r="AW318" s="213"/>
      <c r="AX318" s="213"/>
      <c r="AY318" s="213"/>
      <c r="AZ318" s="213"/>
      <c r="BA318" s="213"/>
      <c r="BB318" s="213"/>
    </row>
    <row r="319" ht="12.75" customHeight="1" outlineLevel="1">
      <c r="A319" s="235"/>
      <c r="B319" s="236"/>
      <c r="C319" s="237" t="s">
        <v>462</v>
      </c>
      <c r="D319" s="238"/>
      <c r="E319" s="239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3"/>
      <c r="Z319" s="213"/>
      <c r="AA319" s="213"/>
      <c r="AB319" s="213"/>
      <c r="AC319" s="213"/>
      <c r="AD319" s="213"/>
      <c r="AE319" s="213"/>
      <c r="AF319" s="213"/>
      <c r="AG319" s="213" t="s">
        <v>228</v>
      </c>
      <c r="AH319" s="213">
        <v>0.0</v>
      </c>
      <c r="AI319" s="213"/>
      <c r="AJ319" s="213"/>
      <c r="AK319" s="213"/>
      <c r="AL319" s="213"/>
      <c r="AM319" s="213"/>
      <c r="AN319" s="213"/>
      <c r="AO319" s="213"/>
      <c r="AP319" s="213"/>
      <c r="AQ319" s="213"/>
      <c r="AR319" s="213"/>
      <c r="AS319" s="213"/>
      <c r="AT319" s="213"/>
      <c r="AU319" s="213"/>
      <c r="AV319" s="213"/>
      <c r="AW319" s="213"/>
      <c r="AX319" s="213"/>
      <c r="AY319" s="213"/>
      <c r="AZ319" s="213"/>
      <c r="BA319" s="213"/>
      <c r="BB319" s="213"/>
    </row>
    <row r="320" ht="12.75" customHeight="1" outlineLevel="1">
      <c r="A320" s="235"/>
      <c r="B320" s="236"/>
      <c r="C320" s="237" t="s">
        <v>248</v>
      </c>
      <c r="D320" s="238"/>
      <c r="E320" s="239">
        <v>6.0</v>
      </c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3"/>
      <c r="Z320" s="213"/>
      <c r="AA320" s="213"/>
      <c r="AB320" s="213"/>
      <c r="AC320" s="213"/>
      <c r="AD320" s="213"/>
      <c r="AE320" s="213"/>
      <c r="AF320" s="213"/>
      <c r="AG320" s="213" t="s">
        <v>228</v>
      </c>
      <c r="AH320" s="213">
        <v>0.0</v>
      </c>
      <c r="AI320" s="213"/>
      <c r="AJ320" s="213"/>
      <c r="AK320" s="213"/>
      <c r="AL320" s="213"/>
      <c r="AM320" s="213"/>
      <c r="AN320" s="213"/>
      <c r="AO320" s="213"/>
      <c r="AP320" s="213"/>
      <c r="AQ320" s="213"/>
      <c r="AR320" s="213"/>
      <c r="AS320" s="213"/>
      <c r="AT320" s="213"/>
      <c r="AU320" s="213"/>
      <c r="AV320" s="213"/>
      <c r="AW320" s="213"/>
      <c r="AX320" s="213"/>
      <c r="AY320" s="213"/>
      <c r="AZ320" s="213"/>
      <c r="BA320" s="213"/>
      <c r="BB320" s="213"/>
    </row>
    <row r="321" ht="12.75" customHeight="1" outlineLevel="1">
      <c r="A321" s="214">
        <v>68.0</v>
      </c>
      <c r="B321" s="215" t="s">
        <v>465</v>
      </c>
      <c r="C321" s="216" t="s">
        <v>466</v>
      </c>
      <c r="D321" s="217" t="s">
        <v>377</v>
      </c>
      <c r="E321" s="218">
        <v>1.5</v>
      </c>
      <c r="F321" s="219">
        <v>4700.0</v>
      </c>
      <c r="G321" s="220">
        <f>ROUND(E321*F321,2)</f>
        <v>7050</v>
      </c>
      <c r="H321" s="211"/>
      <c r="I321" s="212">
        <f>ROUND(E321*H321,2)</f>
        <v>0</v>
      </c>
      <c r="J321" s="211"/>
      <c r="K321" s="212">
        <f>ROUND(E321*J321,2)</f>
        <v>0</v>
      </c>
      <c r="L321" s="212">
        <v>21.0</v>
      </c>
      <c r="M321" s="212">
        <f>G321*(1+L321/100)</f>
        <v>8530.5</v>
      </c>
      <c r="N321" s="212">
        <v>0.0</v>
      </c>
      <c r="O321" s="212">
        <f>ROUND(E321*N321,2)</f>
        <v>0</v>
      </c>
      <c r="P321" s="212">
        <v>0.0</v>
      </c>
      <c r="Q321" s="212">
        <f>ROUND(E321*P321,2)</f>
        <v>0</v>
      </c>
      <c r="R321" s="212"/>
      <c r="S321" s="212" t="s">
        <v>178</v>
      </c>
      <c r="T321" s="212" t="s">
        <v>179</v>
      </c>
      <c r="U321" s="212">
        <v>0.0</v>
      </c>
      <c r="V321" s="212">
        <f>ROUND(E321*U321,2)</f>
        <v>0</v>
      </c>
      <c r="W321" s="212"/>
      <c r="X321" s="212" t="s">
        <v>225</v>
      </c>
      <c r="Y321" s="213"/>
      <c r="Z321" s="213"/>
      <c r="AA321" s="213"/>
      <c r="AB321" s="213"/>
      <c r="AC321" s="213"/>
      <c r="AD321" s="213"/>
      <c r="AE321" s="213"/>
      <c r="AF321" s="213"/>
      <c r="AG321" s="213" t="s">
        <v>226</v>
      </c>
      <c r="AH321" s="213"/>
      <c r="AI321" s="213"/>
      <c r="AJ321" s="213"/>
      <c r="AK321" s="213"/>
      <c r="AL321" s="213"/>
      <c r="AM321" s="213"/>
      <c r="AN321" s="213"/>
      <c r="AO321" s="213"/>
      <c r="AP321" s="213"/>
      <c r="AQ321" s="213"/>
      <c r="AR321" s="213"/>
      <c r="AS321" s="213"/>
      <c r="AT321" s="213"/>
      <c r="AU321" s="213"/>
      <c r="AV321" s="213"/>
      <c r="AW321" s="213"/>
      <c r="AX321" s="213"/>
      <c r="AY321" s="213"/>
      <c r="AZ321" s="213"/>
      <c r="BA321" s="213"/>
      <c r="BB321" s="213"/>
    </row>
    <row r="322" ht="12.75" customHeight="1" outlineLevel="1">
      <c r="A322" s="235"/>
      <c r="B322" s="236"/>
      <c r="C322" s="237" t="s">
        <v>467</v>
      </c>
      <c r="D322" s="238"/>
      <c r="E322" s="239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3"/>
      <c r="Z322" s="213"/>
      <c r="AA322" s="213"/>
      <c r="AB322" s="213"/>
      <c r="AC322" s="213"/>
      <c r="AD322" s="213"/>
      <c r="AE322" s="213"/>
      <c r="AF322" s="213"/>
      <c r="AG322" s="213" t="s">
        <v>228</v>
      </c>
      <c r="AH322" s="213">
        <v>0.0</v>
      </c>
      <c r="AI322" s="213"/>
      <c r="AJ322" s="213"/>
      <c r="AK322" s="213"/>
      <c r="AL322" s="213"/>
      <c r="AM322" s="213"/>
      <c r="AN322" s="213"/>
      <c r="AO322" s="213"/>
      <c r="AP322" s="213"/>
      <c r="AQ322" s="213"/>
      <c r="AR322" s="213"/>
      <c r="AS322" s="213"/>
      <c r="AT322" s="213"/>
      <c r="AU322" s="213"/>
      <c r="AV322" s="213"/>
      <c r="AW322" s="213"/>
      <c r="AX322" s="213"/>
      <c r="AY322" s="213"/>
      <c r="AZ322" s="213"/>
      <c r="BA322" s="213"/>
      <c r="BB322" s="213"/>
    </row>
    <row r="323" ht="12.75" customHeight="1" outlineLevel="1">
      <c r="A323" s="235"/>
      <c r="B323" s="236"/>
      <c r="C323" s="237" t="s">
        <v>468</v>
      </c>
      <c r="D323" s="238"/>
      <c r="E323" s="239">
        <v>1.5</v>
      </c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3"/>
      <c r="Z323" s="213"/>
      <c r="AA323" s="213"/>
      <c r="AB323" s="213"/>
      <c r="AC323" s="213"/>
      <c r="AD323" s="213"/>
      <c r="AE323" s="213"/>
      <c r="AF323" s="213"/>
      <c r="AG323" s="213" t="s">
        <v>228</v>
      </c>
      <c r="AH323" s="213">
        <v>0.0</v>
      </c>
      <c r="AI323" s="213"/>
      <c r="AJ323" s="213"/>
      <c r="AK323" s="213"/>
      <c r="AL323" s="213"/>
      <c r="AM323" s="213"/>
      <c r="AN323" s="213"/>
      <c r="AO323" s="213"/>
      <c r="AP323" s="213"/>
      <c r="AQ323" s="213"/>
      <c r="AR323" s="213"/>
      <c r="AS323" s="213"/>
      <c r="AT323" s="213"/>
      <c r="AU323" s="213"/>
      <c r="AV323" s="213"/>
      <c r="AW323" s="213"/>
      <c r="AX323" s="213"/>
      <c r="AY323" s="213"/>
      <c r="AZ323" s="213"/>
      <c r="BA323" s="213"/>
      <c r="BB323" s="213"/>
    </row>
    <row r="324" ht="12.75" customHeight="1" outlineLevel="1">
      <c r="A324" s="214">
        <v>69.0</v>
      </c>
      <c r="B324" s="215" t="s">
        <v>469</v>
      </c>
      <c r="C324" s="216" t="s">
        <v>470</v>
      </c>
      <c r="D324" s="217" t="s">
        <v>251</v>
      </c>
      <c r="E324" s="218">
        <v>392.7</v>
      </c>
      <c r="F324" s="219">
        <v>30.03</v>
      </c>
      <c r="G324" s="220">
        <f>ROUND(E324*F324,2)</f>
        <v>11792.78</v>
      </c>
      <c r="H324" s="211"/>
      <c r="I324" s="212">
        <f>ROUND(E324*H324,2)</f>
        <v>0</v>
      </c>
      <c r="J324" s="211"/>
      <c r="K324" s="212">
        <f>ROUND(E324*J324,2)</f>
        <v>0</v>
      </c>
      <c r="L324" s="212">
        <v>21.0</v>
      </c>
      <c r="M324" s="212">
        <f>G324*(1+L324/100)</f>
        <v>14269.2638</v>
      </c>
      <c r="N324" s="212">
        <v>0.0</v>
      </c>
      <c r="O324" s="212">
        <f>ROUND(E324*N324,2)</f>
        <v>0</v>
      </c>
      <c r="P324" s="212">
        <v>0.0</v>
      </c>
      <c r="Q324" s="212">
        <f>ROUND(E324*P324,2)</f>
        <v>0</v>
      </c>
      <c r="R324" s="212"/>
      <c r="S324" s="212" t="s">
        <v>178</v>
      </c>
      <c r="T324" s="212" t="s">
        <v>179</v>
      </c>
      <c r="U324" s="212">
        <v>0.0</v>
      </c>
      <c r="V324" s="212">
        <f>ROUND(E324*U324,2)</f>
        <v>0</v>
      </c>
      <c r="W324" s="212"/>
      <c r="X324" s="212" t="s">
        <v>225</v>
      </c>
      <c r="Y324" s="213"/>
      <c r="Z324" s="213"/>
      <c r="AA324" s="213"/>
      <c r="AB324" s="213"/>
      <c r="AC324" s="213"/>
      <c r="AD324" s="213"/>
      <c r="AE324" s="213"/>
      <c r="AF324" s="213"/>
      <c r="AG324" s="213" t="s">
        <v>226</v>
      </c>
      <c r="AH324" s="213"/>
      <c r="AI324" s="213"/>
      <c r="AJ324" s="213"/>
      <c r="AK324" s="213"/>
      <c r="AL324" s="213"/>
      <c r="AM324" s="213"/>
      <c r="AN324" s="213"/>
      <c r="AO324" s="213"/>
      <c r="AP324" s="213"/>
      <c r="AQ324" s="213"/>
      <c r="AR324" s="213"/>
      <c r="AS324" s="213"/>
      <c r="AT324" s="213"/>
      <c r="AU324" s="213"/>
      <c r="AV324" s="213"/>
      <c r="AW324" s="213"/>
      <c r="AX324" s="213"/>
      <c r="AY324" s="213"/>
      <c r="AZ324" s="213"/>
      <c r="BA324" s="213"/>
      <c r="BB324" s="213"/>
    </row>
    <row r="325" ht="12.75" customHeight="1" outlineLevel="1">
      <c r="A325" s="235"/>
      <c r="B325" s="236"/>
      <c r="C325" s="237" t="s">
        <v>414</v>
      </c>
      <c r="D325" s="238"/>
      <c r="E325" s="239">
        <v>392.7</v>
      </c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3"/>
      <c r="Z325" s="213"/>
      <c r="AA325" s="213"/>
      <c r="AB325" s="213"/>
      <c r="AC325" s="213"/>
      <c r="AD325" s="213"/>
      <c r="AE325" s="213"/>
      <c r="AF325" s="213"/>
      <c r="AG325" s="213" t="s">
        <v>228</v>
      </c>
      <c r="AH325" s="213">
        <v>0.0</v>
      </c>
      <c r="AI325" s="213"/>
      <c r="AJ325" s="213"/>
      <c r="AK325" s="213"/>
      <c r="AL325" s="213"/>
      <c r="AM325" s="213"/>
      <c r="AN325" s="213"/>
      <c r="AO325" s="213"/>
      <c r="AP325" s="213"/>
      <c r="AQ325" s="213"/>
      <c r="AR325" s="213"/>
      <c r="AS325" s="213"/>
      <c r="AT325" s="213"/>
      <c r="AU325" s="213"/>
      <c r="AV325" s="213"/>
      <c r="AW325" s="213"/>
      <c r="AX325" s="213"/>
      <c r="AY325" s="213"/>
      <c r="AZ325" s="213"/>
      <c r="BA325" s="213"/>
      <c r="BB325" s="213"/>
    </row>
    <row r="326" ht="12.75" customHeight="1" outlineLevel="1">
      <c r="A326" s="214">
        <v>70.0</v>
      </c>
      <c r="B326" s="215" t="s">
        <v>471</v>
      </c>
      <c r="C326" s="216" t="s">
        <v>472</v>
      </c>
      <c r="D326" s="217" t="s">
        <v>251</v>
      </c>
      <c r="E326" s="218">
        <v>72.0</v>
      </c>
      <c r="F326" s="219">
        <v>61.65</v>
      </c>
      <c r="G326" s="220">
        <f>ROUND(E326*F326,2)</f>
        <v>4438.8</v>
      </c>
      <c r="H326" s="211"/>
      <c r="I326" s="212">
        <f>ROUND(E326*H326,2)</f>
        <v>0</v>
      </c>
      <c r="J326" s="211"/>
      <c r="K326" s="212">
        <f>ROUND(E326*J326,2)</f>
        <v>0</v>
      </c>
      <c r="L326" s="212">
        <v>21.0</v>
      </c>
      <c r="M326" s="212">
        <f>G326*(1+L326/100)</f>
        <v>5370.948</v>
      </c>
      <c r="N326" s="212">
        <v>0.0</v>
      </c>
      <c r="O326" s="212">
        <f>ROUND(E326*N326,2)</f>
        <v>0</v>
      </c>
      <c r="P326" s="212">
        <v>0.0</v>
      </c>
      <c r="Q326" s="212">
        <f>ROUND(E326*P326,2)</f>
        <v>0</v>
      </c>
      <c r="R326" s="212"/>
      <c r="S326" s="212" t="s">
        <v>184</v>
      </c>
      <c r="T326" s="212" t="s">
        <v>184</v>
      </c>
      <c r="U326" s="212">
        <v>0.165</v>
      </c>
      <c r="V326" s="212">
        <f>ROUND(E326*U326,2)</f>
        <v>11.88</v>
      </c>
      <c r="W326" s="212"/>
      <c r="X326" s="212" t="s">
        <v>225</v>
      </c>
      <c r="Y326" s="213"/>
      <c r="Z326" s="213"/>
      <c r="AA326" s="213"/>
      <c r="AB326" s="213"/>
      <c r="AC326" s="213"/>
      <c r="AD326" s="213"/>
      <c r="AE326" s="213"/>
      <c r="AF326" s="213"/>
      <c r="AG326" s="213" t="s">
        <v>408</v>
      </c>
      <c r="AH326" s="213"/>
      <c r="AI326" s="213"/>
      <c r="AJ326" s="213"/>
      <c r="AK326" s="213"/>
      <c r="AL326" s="213"/>
      <c r="AM326" s="213"/>
      <c r="AN326" s="213"/>
      <c r="AO326" s="213"/>
      <c r="AP326" s="213"/>
      <c r="AQ326" s="213"/>
      <c r="AR326" s="213"/>
      <c r="AS326" s="213"/>
      <c r="AT326" s="213"/>
      <c r="AU326" s="213"/>
      <c r="AV326" s="213"/>
      <c r="AW326" s="213"/>
      <c r="AX326" s="213"/>
      <c r="AY326" s="213"/>
      <c r="AZ326" s="213"/>
      <c r="BA326" s="213"/>
      <c r="BB326" s="213"/>
    </row>
    <row r="327" ht="12.75" customHeight="1" outlineLevel="1">
      <c r="A327" s="235"/>
      <c r="B327" s="236"/>
      <c r="C327" s="237" t="s">
        <v>423</v>
      </c>
      <c r="D327" s="238"/>
      <c r="E327" s="239">
        <v>72.0</v>
      </c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3"/>
      <c r="Z327" s="213"/>
      <c r="AA327" s="213"/>
      <c r="AB327" s="213"/>
      <c r="AC327" s="213"/>
      <c r="AD327" s="213"/>
      <c r="AE327" s="213"/>
      <c r="AF327" s="213"/>
      <c r="AG327" s="213" t="s">
        <v>228</v>
      </c>
      <c r="AH327" s="213">
        <v>0.0</v>
      </c>
      <c r="AI327" s="213"/>
      <c r="AJ327" s="213"/>
      <c r="AK327" s="213"/>
      <c r="AL327" s="213"/>
      <c r="AM327" s="213"/>
      <c r="AN327" s="213"/>
      <c r="AO327" s="213"/>
      <c r="AP327" s="213"/>
      <c r="AQ327" s="213"/>
      <c r="AR327" s="213"/>
      <c r="AS327" s="213"/>
      <c r="AT327" s="213"/>
      <c r="AU327" s="213"/>
      <c r="AV327" s="213"/>
      <c r="AW327" s="213"/>
      <c r="AX327" s="213"/>
      <c r="AY327" s="213"/>
      <c r="AZ327" s="213"/>
      <c r="BA327" s="213"/>
      <c r="BB327" s="213"/>
    </row>
    <row r="328" ht="12.75" customHeight="1" outlineLevel="1">
      <c r="A328" s="214">
        <v>71.0</v>
      </c>
      <c r="B328" s="215" t="s">
        <v>473</v>
      </c>
      <c r="C328" s="216" t="s">
        <v>474</v>
      </c>
      <c r="D328" s="217" t="s">
        <v>251</v>
      </c>
      <c r="E328" s="218">
        <v>392.7</v>
      </c>
      <c r="F328" s="219">
        <v>100.0</v>
      </c>
      <c r="G328" s="220">
        <f>ROUND(E328*F328,2)</f>
        <v>39270</v>
      </c>
      <c r="H328" s="211"/>
      <c r="I328" s="212">
        <f>ROUND(E328*H328,2)</f>
        <v>0</v>
      </c>
      <c r="J328" s="211"/>
      <c r="K328" s="212">
        <f>ROUND(E328*J328,2)</f>
        <v>0</v>
      </c>
      <c r="L328" s="212">
        <v>21.0</v>
      </c>
      <c r="M328" s="212">
        <f>G328*(1+L328/100)</f>
        <v>47516.7</v>
      </c>
      <c r="N328" s="212">
        <v>0.0</v>
      </c>
      <c r="O328" s="212">
        <f>ROUND(E328*N328,2)</f>
        <v>0</v>
      </c>
      <c r="P328" s="212">
        <v>0.0</v>
      </c>
      <c r="Q328" s="212">
        <f>ROUND(E328*P328,2)</f>
        <v>0</v>
      </c>
      <c r="R328" s="212"/>
      <c r="S328" s="212" t="s">
        <v>184</v>
      </c>
      <c r="T328" s="212" t="s">
        <v>184</v>
      </c>
      <c r="U328" s="212">
        <v>0.184</v>
      </c>
      <c r="V328" s="212">
        <f>ROUND(E328*U328,2)</f>
        <v>72.26</v>
      </c>
      <c r="W328" s="212"/>
      <c r="X328" s="212" t="s">
        <v>225</v>
      </c>
      <c r="Y328" s="213"/>
      <c r="Z328" s="213"/>
      <c r="AA328" s="213"/>
      <c r="AB328" s="213"/>
      <c r="AC328" s="213"/>
      <c r="AD328" s="213"/>
      <c r="AE328" s="213"/>
      <c r="AF328" s="213"/>
      <c r="AG328" s="213" t="s">
        <v>408</v>
      </c>
      <c r="AH328" s="213"/>
      <c r="AI328" s="213"/>
      <c r="AJ328" s="213"/>
      <c r="AK328" s="213"/>
      <c r="AL328" s="213"/>
      <c r="AM328" s="213"/>
      <c r="AN328" s="213"/>
      <c r="AO328" s="213"/>
      <c r="AP328" s="213"/>
      <c r="AQ328" s="213"/>
      <c r="AR328" s="213"/>
      <c r="AS328" s="213"/>
      <c r="AT328" s="213"/>
      <c r="AU328" s="213"/>
      <c r="AV328" s="213"/>
      <c r="AW328" s="213"/>
      <c r="AX328" s="213"/>
      <c r="AY328" s="213"/>
      <c r="AZ328" s="213"/>
      <c r="BA328" s="213"/>
      <c r="BB328" s="213"/>
    </row>
    <row r="329" ht="12.75" customHeight="1" outlineLevel="1">
      <c r="A329" s="235"/>
      <c r="B329" s="236"/>
      <c r="C329" s="237" t="s">
        <v>414</v>
      </c>
      <c r="D329" s="238"/>
      <c r="E329" s="239">
        <v>392.7</v>
      </c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3"/>
      <c r="Z329" s="213"/>
      <c r="AA329" s="213"/>
      <c r="AB329" s="213"/>
      <c r="AC329" s="213"/>
      <c r="AD329" s="213"/>
      <c r="AE329" s="213"/>
      <c r="AF329" s="213"/>
      <c r="AG329" s="213" t="s">
        <v>228</v>
      </c>
      <c r="AH329" s="213">
        <v>0.0</v>
      </c>
      <c r="AI329" s="213"/>
      <c r="AJ329" s="213"/>
      <c r="AK329" s="213"/>
      <c r="AL329" s="213"/>
      <c r="AM329" s="213"/>
      <c r="AN329" s="213"/>
      <c r="AO329" s="213"/>
      <c r="AP329" s="213"/>
      <c r="AQ329" s="213"/>
      <c r="AR329" s="213"/>
      <c r="AS329" s="213"/>
      <c r="AT329" s="213"/>
      <c r="AU329" s="213"/>
      <c r="AV329" s="213"/>
      <c r="AW329" s="213"/>
      <c r="AX329" s="213"/>
      <c r="AY329" s="213"/>
      <c r="AZ329" s="213"/>
      <c r="BA329" s="213"/>
      <c r="BB329" s="213"/>
    </row>
    <row r="330" ht="12.75" customHeight="1">
      <c r="A330" s="196" t="s">
        <v>173</v>
      </c>
      <c r="B330" s="197" t="s">
        <v>136</v>
      </c>
      <c r="C330" s="198" t="s">
        <v>137</v>
      </c>
      <c r="D330" s="199"/>
      <c r="E330" s="200"/>
      <c r="F330" s="201"/>
      <c r="G330" s="202">
        <f>SUMIF(AG331:AG333,"&lt;&gt;NOR",G331:G333)</f>
        <v>18535.44</v>
      </c>
      <c r="H330" s="203"/>
      <c r="I330" s="203">
        <f>SUM(I331:I333)</f>
        <v>0</v>
      </c>
      <c r="J330" s="203"/>
      <c r="K330" s="203">
        <f>SUM(K331:K333)</f>
        <v>0</v>
      </c>
      <c r="L330" s="203"/>
      <c r="M330" s="203">
        <f>SUM(M331:M333)</f>
        <v>22427.8824</v>
      </c>
      <c r="N330" s="203"/>
      <c r="O330" s="203">
        <f>SUM(O331:O333)</f>
        <v>0.24</v>
      </c>
      <c r="P330" s="203"/>
      <c r="Q330" s="203">
        <f>SUM(Q331:Q333)</f>
        <v>0</v>
      </c>
      <c r="R330" s="203"/>
      <c r="S330" s="203"/>
      <c r="T330" s="203"/>
      <c r="U330" s="203"/>
      <c r="V330" s="203">
        <f>SUM(V331:V333)</f>
        <v>20.42</v>
      </c>
      <c r="W330" s="203"/>
      <c r="X330" s="203"/>
      <c r="AG330" s="184" t="s">
        <v>174</v>
      </c>
    </row>
    <row r="331" ht="12.75" customHeight="1" outlineLevel="1">
      <c r="A331" s="214">
        <v>72.0</v>
      </c>
      <c r="B331" s="215" t="s">
        <v>475</v>
      </c>
      <c r="C331" s="216" t="s">
        <v>476</v>
      </c>
      <c r="D331" s="217" t="s">
        <v>251</v>
      </c>
      <c r="E331" s="218">
        <v>785.4</v>
      </c>
      <c r="F331" s="219">
        <v>23.6</v>
      </c>
      <c r="G331" s="220">
        <f>ROUND(E331*F331,2)</f>
        <v>18535.44</v>
      </c>
      <c r="H331" s="211"/>
      <c r="I331" s="212">
        <f>ROUND(E331*H331,2)</f>
        <v>0</v>
      </c>
      <c r="J331" s="211"/>
      <c r="K331" s="212">
        <f>ROUND(E331*J331,2)</f>
        <v>0</v>
      </c>
      <c r="L331" s="212">
        <v>21.0</v>
      </c>
      <c r="M331" s="212">
        <f>G331*(1+L331/100)</f>
        <v>22427.8824</v>
      </c>
      <c r="N331" s="212">
        <v>3.1E-4</v>
      </c>
      <c r="O331" s="212">
        <f>ROUND(E331*N331,2)</f>
        <v>0.24</v>
      </c>
      <c r="P331" s="212">
        <v>0.0</v>
      </c>
      <c r="Q331" s="212">
        <f>ROUND(E331*P331,2)</f>
        <v>0</v>
      </c>
      <c r="R331" s="212"/>
      <c r="S331" s="212" t="s">
        <v>184</v>
      </c>
      <c r="T331" s="212" t="s">
        <v>184</v>
      </c>
      <c r="U331" s="212">
        <v>0.026</v>
      </c>
      <c r="V331" s="212">
        <f>ROUND(E331*U331,2)</f>
        <v>20.42</v>
      </c>
      <c r="W331" s="212"/>
      <c r="X331" s="212" t="s">
        <v>225</v>
      </c>
      <c r="Y331" s="213"/>
      <c r="Z331" s="213"/>
      <c r="AA331" s="213"/>
      <c r="AB331" s="213"/>
      <c r="AC331" s="213"/>
      <c r="AD331" s="213"/>
      <c r="AE331" s="213"/>
      <c r="AF331" s="213"/>
      <c r="AG331" s="213" t="s">
        <v>408</v>
      </c>
      <c r="AH331" s="213"/>
      <c r="AI331" s="213"/>
      <c r="AJ331" s="213"/>
      <c r="AK331" s="213"/>
      <c r="AL331" s="213"/>
      <c r="AM331" s="213"/>
      <c r="AN331" s="213"/>
      <c r="AO331" s="213"/>
      <c r="AP331" s="213"/>
      <c r="AQ331" s="213"/>
      <c r="AR331" s="213"/>
      <c r="AS331" s="213"/>
      <c r="AT331" s="213"/>
      <c r="AU331" s="213"/>
      <c r="AV331" s="213"/>
      <c r="AW331" s="213"/>
      <c r="AX331" s="213"/>
      <c r="AY331" s="213"/>
      <c r="AZ331" s="213"/>
      <c r="BA331" s="213"/>
      <c r="BB331" s="213"/>
    </row>
    <row r="332" ht="12.75" customHeight="1" outlineLevel="1">
      <c r="A332" s="235"/>
      <c r="B332" s="236"/>
      <c r="C332" s="237" t="s">
        <v>477</v>
      </c>
      <c r="D332" s="238"/>
      <c r="E332" s="239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3"/>
      <c r="Z332" s="213"/>
      <c r="AA332" s="213"/>
      <c r="AB332" s="213"/>
      <c r="AC332" s="213"/>
      <c r="AD332" s="213"/>
      <c r="AE332" s="213"/>
      <c r="AF332" s="213"/>
      <c r="AG332" s="213" t="s">
        <v>228</v>
      </c>
      <c r="AH332" s="213">
        <v>0.0</v>
      </c>
      <c r="AI332" s="213"/>
      <c r="AJ332" s="213"/>
      <c r="AK332" s="213"/>
      <c r="AL332" s="213"/>
      <c r="AM332" s="213"/>
      <c r="AN332" s="213"/>
      <c r="AO332" s="213"/>
      <c r="AP332" s="213"/>
      <c r="AQ332" s="213"/>
      <c r="AR332" s="213"/>
      <c r="AS332" s="213"/>
      <c r="AT332" s="213"/>
      <c r="AU332" s="213"/>
      <c r="AV332" s="213"/>
      <c r="AW332" s="213"/>
      <c r="AX332" s="213"/>
      <c r="AY332" s="213"/>
      <c r="AZ332" s="213"/>
      <c r="BA332" s="213"/>
      <c r="BB332" s="213"/>
    </row>
    <row r="333" ht="12.75" customHeight="1" outlineLevel="1">
      <c r="A333" s="235"/>
      <c r="B333" s="236"/>
      <c r="C333" s="237" t="s">
        <v>478</v>
      </c>
      <c r="D333" s="238"/>
      <c r="E333" s="239">
        <v>785.4</v>
      </c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3"/>
      <c r="Z333" s="213"/>
      <c r="AA333" s="213"/>
      <c r="AB333" s="213"/>
      <c r="AC333" s="213"/>
      <c r="AD333" s="213"/>
      <c r="AE333" s="213"/>
      <c r="AF333" s="213"/>
      <c r="AG333" s="213" t="s">
        <v>228</v>
      </c>
      <c r="AH333" s="213">
        <v>0.0</v>
      </c>
      <c r="AI333" s="213"/>
      <c r="AJ333" s="213"/>
      <c r="AK333" s="213"/>
      <c r="AL333" s="213"/>
      <c r="AM333" s="213"/>
      <c r="AN333" s="213"/>
      <c r="AO333" s="213"/>
      <c r="AP333" s="213"/>
      <c r="AQ333" s="213"/>
      <c r="AR333" s="213"/>
      <c r="AS333" s="213"/>
      <c r="AT333" s="213"/>
      <c r="AU333" s="213"/>
      <c r="AV333" s="213"/>
      <c r="AW333" s="213"/>
      <c r="AX333" s="213"/>
      <c r="AY333" s="213"/>
      <c r="AZ333" s="213"/>
      <c r="BA333" s="213"/>
      <c r="BB333" s="213"/>
    </row>
    <row r="334" ht="12.75" customHeight="1">
      <c r="A334" s="196" t="s">
        <v>173</v>
      </c>
      <c r="B334" s="197" t="s">
        <v>138</v>
      </c>
      <c r="C334" s="198" t="s">
        <v>139</v>
      </c>
      <c r="D334" s="199"/>
      <c r="E334" s="200"/>
      <c r="F334" s="201"/>
      <c r="G334" s="202">
        <f>SUMIF(AG335:AG354,"&lt;&gt;NOR",G335:G354)</f>
        <v>16191.95</v>
      </c>
      <c r="H334" s="203"/>
      <c r="I334" s="203">
        <f>SUM(I335:I354)</f>
        <v>0</v>
      </c>
      <c r="J334" s="203"/>
      <c r="K334" s="203">
        <f>SUM(K335:K354)</f>
        <v>0</v>
      </c>
      <c r="L334" s="203"/>
      <c r="M334" s="203">
        <f>SUM(M335:M354)</f>
        <v>19592.2595</v>
      </c>
      <c r="N334" s="203"/>
      <c r="O334" s="203">
        <f>SUM(O335:O354)</f>
        <v>0</v>
      </c>
      <c r="P334" s="203"/>
      <c r="Q334" s="203">
        <f>SUM(Q335:Q354)</f>
        <v>0</v>
      </c>
      <c r="R334" s="203"/>
      <c r="S334" s="203"/>
      <c r="T334" s="203"/>
      <c r="U334" s="203"/>
      <c r="V334" s="203">
        <f>SUM(V335:V354)</f>
        <v>18.03</v>
      </c>
      <c r="W334" s="203"/>
      <c r="X334" s="203"/>
      <c r="AG334" s="184" t="s">
        <v>174</v>
      </c>
    </row>
    <row r="335" ht="12.75" customHeight="1" outlineLevel="1">
      <c r="A335" s="214">
        <v>73.0</v>
      </c>
      <c r="B335" s="215" t="s">
        <v>479</v>
      </c>
      <c r="C335" s="216" t="s">
        <v>480</v>
      </c>
      <c r="D335" s="217" t="s">
        <v>316</v>
      </c>
      <c r="E335" s="218">
        <v>3.06057</v>
      </c>
      <c r="F335" s="219">
        <v>571.0</v>
      </c>
      <c r="G335" s="220">
        <f>ROUND(E335*F335,2)</f>
        <v>1747.59</v>
      </c>
      <c r="H335" s="211"/>
      <c r="I335" s="212">
        <f>ROUND(E335*H335,2)</f>
        <v>0</v>
      </c>
      <c r="J335" s="211"/>
      <c r="K335" s="212">
        <f>ROUND(E335*J335,2)</f>
        <v>0</v>
      </c>
      <c r="L335" s="212">
        <v>21.0</v>
      </c>
      <c r="M335" s="212">
        <f>G335*(1+L335/100)</f>
        <v>2114.5839</v>
      </c>
      <c r="N335" s="212">
        <v>0.0</v>
      </c>
      <c r="O335" s="212">
        <f>ROUND(E335*N335,2)</f>
        <v>0</v>
      </c>
      <c r="P335" s="212">
        <v>0.0</v>
      </c>
      <c r="Q335" s="212">
        <f>ROUND(E335*P335,2)</f>
        <v>0</v>
      </c>
      <c r="R335" s="212"/>
      <c r="S335" s="212" t="s">
        <v>184</v>
      </c>
      <c r="T335" s="212" t="s">
        <v>184</v>
      </c>
      <c r="U335" s="212">
        <v>0.0</v>
      </c>
      <c r="V335" s="212">
        <f>ROUND(E335*U335,2)</f>
        <v>0</v>
      </c>
      <c r="W335" s="212"/>
      <c r="X335" s="212" t="s">
        <v>481</v>
      </c>
      <c r="Y335" s="213"/>
      <c r="Z335" s="213"/>
      <c r="AA335" s="213"/>
      <c r="AB335" s="213"/>
      <c r="AC335" s="213"/>
      <c r="AD335" s="213"/>
      <c r="AE335" s="213"/>
      <c r="AF335" s="213"/>
      <c r="AG335" s="213" t="s">
        <v>482</v>
      </c>
      <c r="AH335" s="213"/>
      <c r="AI335" s="213"/>
      <c r="AJ335" s="213"/>
      <c r="AK335" s="213"/>
      <c r="AL335" s="213"/>
      <c r="AM335" s="213"/>
      <c r="AN335" s="213"/>
      <c r="AO335" s="213"/>
      <c r="AP335" s="213"/>
      <c r="AQ335" s="213"/>
      <c r="AR335" s="213"/>
      <c r="AS335" s="213"/>
      <c r="AT335" s="213"/>
      <c r="AU335" s="213"/>
      <c r="AV335" s="213"/>
      <c r="AW335" s="213"/>
      <c r="AX335" s="213"/>
      <c r="AY335" s="213"/>
      <c r="AZ335" s="213"/>
      <c r="BA335" s="213"/>
      <c r="BB335" s="213"/>
    </row>
    <row r="336" ht="12.75" customHeight="1" outlineLevel="1">
      <c r="A336" s="235"/>
      <c r="B336" s="236"/>
      <c r="C336" s="237" t="s">
        <v>483</v>
      </c>
      <c r="D336" s="238"/>
      <c r="E336" s="239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3"/>
      <c r="Z336" s="213"/>
      <c r="AA336" s="213"/>
      <c r="AB336" s="213"/>
      <c r="AC336" s="213"/>
      <c r="AD336" s="213"/>
      <c r="AE336" s="213"/>
      <c r="AF336" s="213"/>
      <c r="AG336" s="213" t="s">
        <v>228</v>
      </c>
      <c r="AH336" s="213">
        <v>0.0</v>
      </c>
      <c r="AI336" s="213"/>
      <c r="AJ336" s="213"/>
      <c r="AK336" s="213"/>
      <c r="AL336" s="213"/>
      <c r="AM336" s="213"/>
      <c r="AN336" s="213"/>
      <c r="AO336" s="213"/>
      <c r="AP336" s="213"/>
      <c r="AQ336" s="213"/>
      <c r="AR336" s="213"/>
      <c r="AS336" s="213"/>
      <c r="AT336" s="213"/>
      <c r="AU336" s="213"/>
      <c r="AV336" s="213"/>
      <c r="AW336" s="213"/>
      <c r="AX336" s="213"/>
      <c r="AY336" s="213"/>
      <c r="AZ336" s="213"/>
      <c r="BA336" s="213"/>
      <c r="BB336" s="213"/>
    </row>
    <row r="337" ht="12.75" customHeight="1" outlineLevel="1">
      <c r="A337" s="235"/>
      <c r="B337" s="236"/>
      <c r="C337" s="237" t="s">
        <v>484</v>
      </c>
      <c r="D337" s="238"/>
      <c r="E337" s="239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3"/>
      <c r="Z337" s="213"/>
      <c r="AA337" s="213"/>
      <c r="AB337" s="213"/>
      <c r="AC337" s="213"/>
      <c r="AD337" s="213"/>
      <c r="AE337" s="213"/>
      <c r="AF337" s="213"/>
      <c r="AG337" s="213" t="s">
        <v>228</v>
      </c>
      <c r="AH337" s="213">
        <v>0.0</v>
      </c>
      <c r="AI337" s="213"/>
      <c r="AJ337" s="213"/>
      <c r="AK337" s="213"/>
      <c r="AL337" s="213"/>
      <c r="AM337" s="213"/>
      <c r="AN337" s="213"/>
      <c r="AO337" s="213"/>
      <c r="AP337" s="213"/>
      <c r="AQ337" s="213"/>
      <c r="AR337" s="213"/>
      <c r="AS337" s="213"/>
      <c r="AT337" s="213"/>
      <c r="AU337" s="213"/>
      <c r="AV337" s="213"/>
      <c r="AW337" s="213"/>
      <c r="AX337" s="213"/>
      <c r="AY337" s="213"/>
      <c r="AZ337" s="213"/>
      <c r="BA337" s="213"/>
      <c r="BB337" s="213"/>
    </row>
    <row r="338" ht="12.75" customHeight="1" outlineLevel="1">
      <c r="A338" s="235"/>
      <c r="B338" s="236"/>
      <c r="C338" s="237" t="s">
        <v>485</v>
      </c>
      <c r="D338" s="238"/>
      <c r="E338" s="239">
        <v>3.06057</v>
      </c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3"/>
      <c r="Z338" s="213"/>
      <c r="AA338" s="213"/>
      <c r="AB338" s="213"/>
      <c r="AC338" s="213"/>
      <c r="AD338" s="213"/>
      <c r="AE338" s="213"/>
      <c r="AF338" s="213"/>
      <c r="AG338" s="213" t="s">
        <v>228</v>
      </c>
      <c r="AH338" s="213">
        <v>0.0</v>
      </c>
      <c r="AI338" s="213"/>
      <c r="AJ338" s="213"/>
      <c r="AK338" s="213"/>
      <c r="AL338" s="213"/>
      <c r="AM338" s="213"/>
      <c r="AN338" s="213"/>
      <c r="AO338" s="213"/>
      <c r="AP338" s="213"/>
      <c r="AQ338" s="213"/>
      <c r="AR338" s="213"/>
      <c r="AS338" s="213"/>
      <c r="AT338" s="213"/>
      <c r="AU338" s="213"/>
      <c r="AV338" s="213"/>
      <c r="AW338" s="213"/>
      <c r="AX338" s="213"/>
      <c r="AY338" s="213"/>
      <c r="AZ338" s="213"/>
      <c r="BA338" s="213"/>
      <c r="BB338" s="213"/>
    </row>
    <row r="339" ht="12.75" customHeight="1" outlineLevel="1">
      <c r="A339" s="214">
        <v>74.0</v>
      </c>
      <c r="B339" s="215" t="s">
        <v>486</v>
      </c>
      <c r="C339" s="216" t="s">
        <v>487</v>
      </c>
      <c r="D339" s="217" t="s">
        <v>316</v>
      </c>
      <c r="E339" s="218">
        <v>30.60572</v>
      </c>
      <c r="F339" s="219">
        <v>75.0</v>
      </c>
      <c r="G339" s="220">
        <f>ROUND(E339*F339,2)</f>
        <v>2295.43</v>
      </c>
      <c r="H339" s="211"/>
      <c r="I339" s="212">
        <f>ROUND(E339*H339,2)</f>
        <v>0</v>
      </c>
      <c r="J339" s="211"/>
      <c r="K339" s="212">
        <f>ROUND(E339*J339,2)</f>
        <v>0</v>
      </c>
      <c r="L339" s="212">
        <v>21.0</v>
      </c>
      <c r="M339" s="212">
        <f>G339*(1+L339/100)</f>
        <v>2777.4703</v>
      </c>
      <c r="N339" s="212">
        <v>0.0</v>
      </c>
      <c r="O339" s="212">
        <f>ROUND(E339*N339,2)</f>
        <v>0</v>
      </c>
      <c r="P339" s="212">
        <v>0.0</v>
      </c>
      <c r="Q339" s="212">
        <f>ROUND(E339*P339,2)</f>
        <v>0</v>
      </c>
      <c r="R339" s="212"/>
      <c r="S339" s="212" t="s">
        <v>184</v>
      </c>
      <c r="T339" s="212" t="s">
        <v>184</v>
      </c>
      <c r="U339" s="212">
        <v>0.49</v>
      </c>
      <c r="V339" s="212">
        <f>ROUND(E339*U339,2)</f>
        <v>15</v>
      </c>
      <c r="W339" s="212"/>
      <c r="X339" s="212" t="s">
        <v>481</v>
      </c>
      <c r="Y339" s="213"/>
      <c r="Z339" s="213"/>
      <c r="AA339" s="213"/>
      <c r="AB339" s="213"/>
      <c r="AC339" s="213"/>
      <c r="AD339" s="213"/>
      <c r="AE339" s="213"/>
      <c r="AF339" s="213"/>
      <c r="AG339" s="213" t="s">
        <v>482</v>
      </c>
      <c r="AH339" s="213"/>
      <c r="AI339" s="213"/>
      <c r="AJ339" s="213"/>
      <c r="AK339" s="213"/>
      <c r="AL339" s="213"/>
      <c r="AM339" s="213"/>
      <c r="AN339" s="213"/>
      <c r="AO339" s="213"/>
      <c r="AP339" s="213"/>
      <c r="AQ339" s="213"/>
      <c r="AR339" s="213"/>
      <c r="AS339" s="213"/>
      <c r="AT339" s="213"/>
      <c r="AU339" s="213"/>
      <c r="AV339" s="213"/>
      <c r="AW339" s="213"/>
      <c r="AX339" s="213"/>
      <c r="AY339" s="213"/>
      <c r="AZ339" s="213"/>
      <c r="BA339" s="213"/>
      <c r="BB339" s="213"/>
    </row>
    <row r="340" ht="12.75" customHeight="1" outlineLevel="1">
      <c r="A340" s="235"/>
      <c r="B340" s="236"/>
      <c r="C340" s="237" t="s">
        <v>483</v>
      </c>
      <c r="D340" s="238"/>
      <c r="E340" s="239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3"/>
      <c r="Z340" s="213"/>
      <c r="AA340" s="213"/>
      <c r="AB340" s="213"/>
      <c r="AC340" s="213"/>
      <c r="AD340" s="213"/>
      <c r="AE340" s="213"/>
      <c r="AF340" s="213"/>
      <c r="AG340" s="213" t="s">
        <v>228</v>
      </c>
      <c r="AH340" s="213">
        <v>0.0</v>
      </c>
      <c r="AI340" s="213"/>
      <c r="AJ340" s="213"/>
      <c r="AK340" s="213"/>
      <c r="AL340" s="213"/>
      <c r="AM340" s="213"/>
      <c r="AN340" s="213"/>
      <c r="AO340" s="213"/>
      <c r="AP340" s="213"/>
      <c r="AQ340" s="213"/>
      <c r="AR340" s="213"/>
      <c r="AS340" s="213"/>
      <c r="AT340" s="213"/>
      <c r="AU340" s="213"/>
      <c r="AV340" s="213"/>
      <c r="AW340" s="213"/>
      <c r="AX340" s="213"/>
      <c r="AY340" s="213"/>
      <c r="AZ340" s="213"/>
      <c r="BA340" s="213"/>
      <c r="BB340" s="213"/>
    </row>
    <row r="341" ht="12.75" customHeight="1" outlineLevel="1">
      <c r="A341" s="235"/>
      <c r="B341" s="236"/>
      <c r="C341" s="237" t="s">
        <v>484</v>
      </c>
      <c r="D341" s="238"/>
      <c r="E341" s="239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3"/>
      <c r="Z341" s="213"/>
      <c r="AA341" s="213"/>
      <c r="AB341" s="213"/>
      <c r="AC341" s="213"/>
      <c r="AD341" s="213"/>
      <c r="AE341" s="213"/>
      <c r="AF341" s="213"/>
      <c r="AG341" s="213" t="s">
        <v>228</v>
      </c>
      <c r="AH341" s="213">
        <v>0.0</v>
      </c>
      <c r="AI341" s="213"/>
      <c r="AJ341" s="213"/>
      <c r="AK341" s="213"/>
      <c r="AL341" s="213"/>
      <c r="AM341" s="213"/>
      <c r="AN341" s="213"/>
      <c r="AO341" s="213"/>
      <c r="AP341" s="213"/>
      <c r="AQ341" s="213"/>
      <c r="AR341" s="213"/>
      <c r="AS341" s="213"/>
      <c r="AT341" s="213"/>
      <c r="AU341" s="213"/>
      <c r="AV341" s="213"/>
      <c r="AW341" s="213"/>
      <c r="AX341" s="213"/>
      <c r="AY341" s="213"/>
      <c r="AZ341" s="213"/>
      <c r="BA341" s="213"/>
      <c r="BB341" s="213"/>
    </row>
    <row r="342" ht="12.75" customHeight="1" outlineLevel="1">
      <c r="A342" s="235"/>
      <c r="B342" s="236"/>
      <c r="C342" s="237" t="s">
        <v>488</v>
      </c>
      <c r="D342" s="238"/>
      <c r="E342" s="239">
        <v>30.60572</v>
      </c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3"/>
      <c r="Z342" s="213"/>
      <c r="AA342" s="213"/>
      <c r="AB342" s="213"/>
      <c r="AC342" s="213"/>
      <c r="AD342" s="213"/>
      <c r="AE342" s="213"/>
      <c r="AF342" s="213"/>
      <c r="AG342" s="213" t="s">
        <v>228</v>
      </c>
      <c r="AH342" s="213">
        <v>0.0</v>
      </c>
      <c r="AI342" s="213"/>
      <c r="AJ342" s="213"/>
      <c r="AK342" s="213"/>
      <c r="AL342" s="213"/>
      <c r="AM342" s="213"/>
      <c r="AN342" s="213"/>
      <c r="AO342" s="213"/>
      <c r="AP342" s="213"/>
      <c r="AQ342" s="213"/>
      <c r="AR342" s="213"/>
      <c r="AS342" s="213"/>
      <c r="AT342" s="213"/>
      <c r="AU342" s="213"/>
      <c r="AV342" s="213"/>
      <c r="AW342" s="213"/>
      <c r="AX342" s="213"/>
      <c r="AY342" s="213"/>
      <c r="AZ342" s="213"/>
      <c r="BA342" s="213"/>
      <c r="BB342" s="213"/>
    </row>
    <row r="343" ht="12.75" customHeight="1" outlineLevel="1">
      <c r="A343" s="214">
        <v>75.0</v>
      </c>
      <c r="B343" s="215" t="s">
        <v>489</v>
      </c>
      <c r="C343" s="216" t="s">
        <v>490</v>
      </c>
      <c r="D343" s="217" t="s">
        <v>316</v>
      </c>
      <c r="E343" s="218">
        <v>275.45148</v>
      </c>
      <c r="F343" s="219">
        <v>6.5</v>
      </c>
      <c r="G343" s="220">
        <f>ROUND(E343*F343,2)</f>
        <v>1790.43</v>
      </c>
      <c r="H343" s="211"/>
      <c r="I343" s="212">
        <f>ROUND(E343*H343,2)</f>
        <v>0</v>
      </c>
      <c r="J343" s="211"/>
      <c r="K343" s="212">
        <f>ROUND(E343*J343,2)</f>
        <v>0</v>
      </c>
      <c r="L343" s="212">
        <v>21.0</v>
      </c>
      <c r="M343" s="212">
        <f>G343*(1+L343/100)</f>
        <v>2166.4203</v>
      </c>
      <c r="N343" s="212">
        <v>0.0</v>
      </c>
      <c r="O343" s="212">
        <f>ROUND(E343*N343,2)</f>
        <v>0</v>
      </c>
      <c r="P343" s="212">
        <v>0.0</v>
      </c>
      <c r="Q343" s="212">
        <f>ROUND(E343*P343,2)</f>
        <v>0</v>
      </c>
      <c r="R343" s="212"/>
      <c r="S343" s="212" t="s">
        <v>184</v>
      </c>
      <c r="T343" s="212" t="s">
        <v>184</v>
      </c>
      <c r="U343" s="212">
        <v>0.0</v>
      </c>
      <c r="V343" s="212">
        <f>ROUND(E343*U343,2)</f>
        <v>0</v>
      </c>
      <c r="W343" s="212"/>
      <c r="X343" s="212" t="s">
        <v>481</v>
      </c>
      <c r="Y343" s="213"/>
      <c r="Z343" s="213"/>
      <c r="AA343" s="213"/>
      <c r="AB343" s="213"/>
      <c r="AC343" s="213"/>
      <c r="AD343" s="213"/>
      <c r="AE343" s="213"/>
      <c r="AF343" s="213"/>
      <c r="AG343" s="213" t="s">
        <v>482</v>
      </c>
      <c r="AH343" s="213"/>
      <c r="AI343" s="213"/>
      <c r="AJ343" s="213"/>
      <c r="AK343" s="213"/>
      <c r="AL343" s="213"/>
      <c r="AM343" s="213"/>
      <c r="AN343" s="213"/>
      <c r="AO343" s="213"/>
      <c r="AP343" s="213"/>
      <c r="AQ343" s="213"/>
      <c r="AR343" s="213"/>
      <c r="AS343" s="213"/>
      <c r="AT343" s="213"/>
      <c r="AU343" s="213"/>
      <c r="AV343" s="213"/>
      <c r="AW343" s="213"/>
      <c r="AX343" s="213"/>
      <c r="AY343" s="213"/>
      <c r="AZ343" s="213"/>
      <c r="BA343" s="213"/>
      <c r="BB343" s="213"/>
    </row>
    <row r="344" ht="12.75" customHeight="1" outlineLevel="1">
      <c r="A344" s="235"/>
      <c r="B344" s="236"/>
      <c r="C344" s="237" t="s">
        <v>483</v>
      </c>
      <c r="D344" s="238"/>
      <c r="E344" s="239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3"/>
      <c r="Z344" s="213"/>
      <c r="AA344" s="213"/>
      <c r="AB344" s="213"/>
      <c r="AC344" s="213"/>
      <c r="AD344" s="213"/>
      <c r="AE344" s="213"/>
      <c r="AF344" s="213"/>
      <c r="AG344" s="213" t="s">
        <v>228</v>
      </c>
      <c r="AH344" s="213">
        <v>0.0</v>
      </c>
      <c r="AI344" s="213"/>
      <c r="AJ344" s="213"/>
      <c r="AK344" s="213"/>
      <c r="AL344" s="213"/>
      <c r="AM344" s="213"/>
      <c r="AN344" s="213"/>
      <c r="AO344" s="213"/>
      <c r="AP344" s="213"/>
      <c r="AQ344" s="213"/>
      <c r="AR344" s="213"/>
      <c r="AS344" s="213"/>
      <c r="AT344" s="213"/>
      <c r="AU344" s="213"/>
      <c r="AV344" s="213"/>
      <c r="AW344" s="213"/>
      <c r="AX344" s="213"/>
      <c r="AY344" s="213"/>
      <c r="AZ344" s="213"/>
      <c r="BA344" s="213"/>
      <c r="BB344" s="213"/>
    </row>
    <row r="345" ht="12.75" customHeight="1" outlineLevel="1">
      <c r="A345" s="235"/>
      <c r="B345" s="236"/>
      <c r="C345" s="237" t="s">
        <v>484</v>
      </c>
      <c r="D345" s="238"/>
      <c r="E345" s="239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3"/>
      <c r="Z345" s="213"/>
      <c r="AA345" s="213"/>
      <c r="AB345" s="213"/>
      <c r="AC345" s="213"/>
      <c r="AD345" s="213"/>
      <c r="AE345" s="213"/>
      <c r="AF345" s="213"/>
      <c r="AG345" s="213" t="s">
        <v>228</v>
      </c>
      <c r="AH345" s="213">
        <v>0.0</v>
      </c>
      <c r="AI345" s="213"/>
      <c r="AJ345" s="213"/>
      <c r="AK345" s="213"/>
      <c r="AL345" s="213"/>
      <c r="AM345" s="213"/>
      <c r="AN345" s="213"/>
      <c r="AO345" s="213"/>
      <c r="AP345" s="213"/>
      <c r="AQ345" s="213"/>
      <c r="AR345" s="213"/>
      <c r="AS345" s="213"/>
      <c r="AT345" s="213"/>
      <c r="AU345" s="213"/>
      <c r="AV345" s="213"/>
      <c r="AW345" s="213"/>
      <c r="AX345" s="213"/>
      <c r="AY345" s="213"/>
      <c r="AZ345" s="213"/>
      <c r="BA345" s="213"/>
      <c r="BB345" s="213"/>
    </row>
    <row r="346" ht="12.75" customHeight="1" outlineLevel="1">
      <c r="A346" s="235"/>
      <c r="B346" s="236"/>
      <c r="C346" s="237" t="s">
        <v>491</v>
      </c>
      <c r="D346" s="238"/>
      <c r="E346" s="239">
        <v>275.45148</v>
      </c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3"/>
      <c r="Z346" s="213"/>
      <c r="AA346" s="213"/>
      <c r="AB346" s="213"/>
      <c r="AC346" s="213"/>
      <c r="AD346" s="213"/>
      <c r="AE346" s="213"/>
      <c r="AF346" s="213"/>
      <c r="AG346" s="213" t="s">
        <v>228</v>
      </c>
      <c r="AH346" s="213">
        <v>0.0</v>
      </c>
      <c r="AI346" s="213"/>
      <c r="AJ346" s="213"/>
      <c r="AK346" s="213"/>
      <c r="AL346" s="213"/>
      <c r="AM346" s="213"/>
      <c r="AN346" s="213"/>
      <c r="AO346" s="213"/>
      <c r="AP346" s="213"/>
      <c r="AQ346" s="213"/>
      <c r="AR346" s="213"/>
      <c r="AS346" s="213"/>
      <c r="AT346" s="213"/>
      <c r="AU346" s="213"/>
      <c r="AV346" s="213"/>
      <c r="AW346" s="213"/>
      <c r="AX346" s="213"/>
      <c r="AY346" s="213"/>
      <c r="AZ346" s="213"/>
      <c r="BA346" s="213"/>
      <c r="BB346" s="213"/>
    </row>
    <row r="347" ht="12.75" customHeight="1" outlineLevel="1">
      <c r="A347" s="214">
        <v>76.0</v>
      </c>
      <c r="B347" s="215" t="s">
        <v>492</v>
      </c>
      <c r="C347" s="216" t="s">
        <v>493</v>
      </c>
      <c r="D347" s="217" t="s">
        <v>316</v>
      </c>
      <c r="E347" s="218">
        <v>30.60572</v>
      </c>
      <c r="F347" s="219">
        <v>72.5</v>
      </c>
      <c r="G347" s="220">
        <f>ROUND(E347*F347,2)</f>
        <v>2218.91</v>
      </c>
      <c r="H347" s="211"/>
      <c r="I347" s="212">
        <f>ROUND(E347*H347,2)</f>
        <v>0</v>
      </c>
      <c r="J347" s="211"/>
      <c r="K347" s="212">
        <f>ROUND(E347*J347,2)</f>
        <v>0</v>
      </c>
      <c r="L347" s="212">
        <v>21.0</v>
      </c>
      <c r="M347" s="212">
        <f>G347*(1+L347/100)</f>
        <v>2684.8811</v>
      </c>
      <c r="N347" s="212">
        <v>0.0</v>
      </c>
      <c r="O347" s="212">
        <f>ROUND(E347*N347,2)</f>
        <v>0</v>
      </c>
      <c r="P347" s="212">
        <v>0.0</v>
      </c>
      <c r="Q347" s="212">
        <f>ROUND(E347*P347,2)</f>
        <v>0</v>
      </c>
      <c r="R347" s="212"/>
      <c r="S347" s="212" t="s">
        <v>184</v>
      </c>
      <c r="T347" s="212" t="s">
        <v>184</v>
      </c>
      <c r="U347" s="212">
        <v>0.099</v>
      </c>
      <c r="V347" s="212">
        <f>ROUND(E347*U347,2)</f>
        <v>3.03</v>
      </c>
      <c r="W347" s="212"/>
      <c r="X347" s="212" t="s">
        <v>481</v>
      </c>
      <c r="Y347" s="213"/>
      <c r="Z347" s="213"/>
      <c r="AA347" s="213"/>
      <c r="AB347" s="213"/>
      <c r="AC347" s="213"/>
      <c r="AD347" s="213"/>
      <c r="AE347" s="213"/>
      <c r="AF347" s="213"/>
      <c r="AG347" s="213" t="s">
        <v>482</v>
      </c>
      <c r="AH347" s="213"/>
      <c r="AI347" s="213"/>
      <c r="AJ347" s="213"/>
      <c r="AK347" s="213"/>
      <c r="AL347" s="213"/>
      <c r="AM347" s="213"/>
      <c r="AN347" s="213"/>
      <c r="AO347" s="213"/>
      <c r="AP347" s="213"/>
      <c r="AQ347" s="213"/>
      <c r="AR347" s="213"/>
      <c r="AS347" s="213"/>
      <c r="AT347" s="213"/>
      <c r="AU347" s="213"/>
      <c r="AV347" s="213"/>
      <c r="AW347" s="213"/>
      <c r="AX347" s="213"/>
      <c r="AY347" s="213"/>
      <c r="AZ347" s="213"/>
      <c r="BA347" s="213"/>
      <c r="BB347" s="213"/>
    </row>
    <row r="348" ht="12.75" customHeight="1" outlineLevel="1">
      <c r="A348" s="235"/>
      <c r="B348" s="236"/>
      <c r="C348" s="237" t="s">
        <v>483</v>
      </c>
      <c r="D348" s="238"/>
      <c r="E348" s="239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3"/>
      <c r="Z348" s="213"/>
      <c r="AA348" s="213"/>
      <c r="AB348" s="213"/>
      <c r="AC348" s="213"/>
      <c r="AD348" s="213"/>
      <c r="AE348" s="213"/>
      <c r="AF348" s="213"/>
      <c r="AG348" s="213" t="s">
        <v>228</v>
      </c>
      <c r="AH348" s="213">
        <v>0.0</v>
      </c>
      <c r="AI348" s="213"/>
      <c r="AJ348" s="213"/>
      <c r="AK348" s="213"/>
      <c r="AL348" s="213"/>
      <c r="AM348" s="213"/>
      <c r="AN348" s="213"/>
      <c r="AO348" s="213"/>
      <c r="AP348" s="213"/>
      <c r="AQ348" s="213"/>
      <c r="AR348" s="213"/>
      <c r="AS348" s="213"/>
      <c r="AT348" s="213"/>
      <c r="AU348" s="213"/>
      <c r="AV348" s="213"/>
      <c r="AW348" s="213"/>
      <c r="AX348" s="213"/>
      <c r="AY348" s="213"/>
      <c r="AZ348" s="213"/>
      <c r="BA348" s="213"/>
      <c r="BB348" s="213"/>
    </row>
    <row r="349" ht="12.75" customHeight="1" outlineLevel="1">
      <c r="A349" s="235"/>
      <c r="B349" s="236"/>
      <c r="C349" s="237" t="s">
        <v>484</v>
      </c>
      <c r="D349" s="238"/>
      <c r="E349" s="239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3"/>
      <c r="Z349" s="213"/>
      <c r="AA349" s="213"/>
      <c r="AB349" s="213"/>
      <c r="AC349" s="213"/>
      <c r="AD349" s="213"/>
      <c r="AE349" s="213"/>
      <c r="AF349" s="213"/>
      <c r="AG349" s="213" t="s">
        <v>228</v>
      </c>
      <c r="AH349" s="213">
        <v>0.0</v>
      </c>
      <c r="AI349" s="213"/>
      <c r="AJ349" s="213"/>
      <c r="AK349" s="213"/>
      <c r="AL349" s="213"/>
      <c r="AM349" s="213"/>
      <c r="AN349" s="213"/>
      <c r="AO349" s="213"/>
      <c r="AP349" s="213"/>
      <c r="AQ349" s="213"/>
      <c r="AR349" s="213"/>
      <c r="AS349" s="213"/>
      <c r="AT349" s="213"/>
      <c r="AU349" s="213"/>
      <c r="AV349" s="213"/>
      <c r="AW349" s="213"/>
      <c r="AX349" s="213"/>
      <c r="AY349" s="213"/>
      <c r="AZ349" s="213"/>
      <c r="BA349" s="213"/>
      <c r="BB349" s="213"/>
    </row>
    <row r="350" ht="12.75" customHeight="1" outlineLevel="1">
      <c r="A350" s="235"/>
      <c r="B350" s="236"/>
      <c r="C350" s="237" t="s">
        <v>488</v>
      </c>
      <c r="D350" s="238"/>
      <c r="E350" s="239">
        <v>30.60572</v>
      </c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3"/>
      <c r="Z350" s="213"/>
      <c r="AA350" s="213"/>
      <c r="AB350" s="213"/>
      <c r="AC350" s="213"/>
      <c r="AD350" s="213"/>
      <c r="AE350" s="213"/>
      <c r="AF350" s="213"/>
      <c r="AG350" s="213" t="s">
        <v>228</v>
      </c>
      <c r="AH350" s="213">
        <v>0.0</v>
      </c>
      <c r="AI350" s="213"/>
      <c r="AJ350" s="213"/>
      <c r="AK350" s="213"/>
      <c r="AL350" s="213"/>
      <c r="AM350" s="213"/>
      <c r="AN350" s="213"/>
      <c r="AO350" s="213"/>
      <c r="AP350" s="213"/>
      <c r="AQ350" s="213"/>
      <c r="AR350" s="213"/>
      <c r="AS350" s="213"/>
      <c r="AT350" s="213"/>
      <c r="AU350" s="213"/>
      <c r="AV350" s="213"/>
      <c r="AW350" s="213"/>
      <c r="AX350" s="213"/>
      <c r="AY350" s="213"/>
      <c r="AZ350" s="213"/>
      <c r="BA350" s="213"/>
      <c r="BB350" s="213"/>
    </row>
    <row r="351" ht="12.75" customHeight="1" outlineLevel="1">
      <c r="A351" s="214">
        <v>77.0</v>
      </c>
      <c r="B351" s="215" t="s">
        <v>494</v>
      </c>
      <c r="C351" s="216" t="s">
        <v>495</v>
      </c>
      <c r="D351" s="217" t="s">
        <v>316</v>
      </c>
      <c r="E351" s="218">
        <v>27.54515</v>
      </c>
      <c r="F351" s="219">
        <v>295.5</v>
      </c>
      <c r="G351" s="220">
        <f>ROUND(E351*F351,2)</f>
        <v>8139.59</v>
      </c>
      <c r="H351" s="211"/>
      <c r="I351" s="212">
        <f>ROUND(E351*H351,2)</f>
        <v>0</v>
      </c>
      <c r="J351" s="211"/>
      <c r="K351" s="212">
        <f>ROUND(E351*J351,2)</f>
        <v>0</v>
      </c>
      <c r="L351" s="212">
        <v>21.0</v>
      </c>
      <c r="M351" s="212">
        <f>G351*(1+L351/100)</f>
        <v>9848.9039</v>
      </c>
      <c r="N351" s="212">
        <v>0.0</v>
      </c>
      <c r="O351" s="212">
        <f>ROUND(E351*N351,2)</f>
        <v>0</v>
      </c>
      <c r="P351" s="212">
        <v>0.0</v>
      </c>
      <c r="Q351" s="212">
        <f>ROUND(E351*P351,2)</f>
        <v>0</v>
      </c>
      <c r="R351" s="212"/>
      <c r="S351" s="212" t="s">
        <v>184</v>
      </c>
      <c r="T351" s="212" t="s">
        <v>184</v>
      </c>
      <c r="U351" s="212">
        <v>0.0</v>
      </c>
      <c r="V351" s="212">
        <f>ROUND(E351*U351,2)</f>
        <v>0</v>
      </c>
      <c r="W351" s="212"/>
      <c r="X351" s="212" t="s">
        <v>481</v>
      </c>
      <c r="Y351" s="213"/>
      <c r="Z351" s="213"/>
      <c r="AA351" s="213"/>
      <c r="AB351" s="213"/>
      <c r="AC351" s="213"/>
      <c r="AD351" s="213"/>
      <c r="AE351" s="213"/>
      <c r="AF351" s="213"/>
      <c r="AG351" s="213" t="s">
        <v>482</v>
      </c>
      <c r="AH351" s="213"/>
      <c r="AI351" s="213"/>
      <c r="AJ351" s="213"/>
      <c r="AK351" s="213"/>
      <c r="AL351" s="213"/>
      <c r="AM351" s="213"/>
      <c r="AN351" s="213"/>
      <c r="AO351" s="213"/>
      <c r="AP351" s="213"/>
      <c r="AQ351" s="213"/>
      <c r="AR351" s="213"/>
      <c r="AS351" s="213"/>
      <c r="AT351" s="213"/>
      <c r="AU351" s="213"/>
      <c r="AV351" s="213"/>
      <c r="AW351" s="213"/>
      <c r="AX351" s="213"/>
      <c r="AY351" s="213"/>
      <c r="AZ351" s="213"/>
      <c r="BA351" s="213"/>
      <c r="BB351" s="213"/>
    </row>
    <row r="352" ht="12.75" customHeight="1" outlineLevel="1">
      <c r="A352" s="235"/>
      <c r="B352" s="236"/>
      <c r="C352" s="237" t="s">
        <v>483</v>
      </c>
      <c r="D352" s="238"/>
      <c r="E352" s="239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3"/>
      <c r="Z352" s="213"/>
      <c r="AA352" s="213"/>
      <c r="AB352" s="213"/>
      <c r="AC352" s="213"/>
      <c r="AD352" s="213"/>
      <c r="AE352" s="213"/>
      <c r="AF352" s="213"/>
      <c r="AG352" s="213" t="s">
        <v>228</v>
      </c>
      <c r="AH352" s="213">
        <v>0.0</v>
      </c>
      <c r="AI352" s="213"/>
      <c r="AJ352" s="213"/>
      <c r="AK352" s="213"/>
      <c r="AL352" s="213"/>
      <c r="AM352" s="213"/>
      <c r="AN352" s="213"/>
      <c r="AO352" s="213"/>
      <c r="AP352" s="213"/>
      <c r="AQ352" s="213"/>
      <c r="AR352" s="213"/>
      <c r="AS352" s="213"/>
      <c r="AT352" s="213"/>
      <c r="AU352" s="213"/>
      <c r="AV352" s="213"/>
      <c r="AW352" s="213"/>
      <c r="AX352" s="213"/>
      <c r="AY352" s="213"/>
      <c r="AZ352" s="213"/>
      <c r="BA352" s="213"/>
      <c r="BB352" s="213"/>
    </row>
    <row r="353" ht="12.75" customHeight="1" outlineLevel="1">
      <c r="A353" s="235"/>
      <c r="B353" s="236"/>
      <c r="C353" s="237" t="s">
        <v>484</v>
      </c>
      <c r="D353" s="238"/>
      <c r="E353" s="239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3"/>
      <c r="Z353" s="213"/>
      <c r="AA353" s="213"/>
      <c r="AB353" s="213"/>
      <c r="AC353" s="213"/>
      <c r="AD353" s="213"/>
      <c r="AE353" s="213"/>
      <c r="AF353" s="213"/>
      <c r="AG353" s="213" t="s">
        <v>228</v>
      </c>
      <c r="AH353" s="213">
        <v>0.0</v>
      </c>
      <c r="AI353" s="213"/>
      <c r="AJ353" s="213"/>
      <c r="AK353" s="213"/>
      <c r="AL353" s="213"/>
      <c r="AM353" s="213"/>
      <c r="AN353" s="213"/>
      <c r="AO353" s="213"/>
      <c r="AP353" s="213"/>
      <c r="AQ353" s="213"/>
      <c r="AR353" s="213"/>
      <c r="AS353" s="213"/>
      <c r="AT353" s="213"/>
      <c r="AU353" s="213"/>
      <c r="AV353" s="213"/>
      <c r="AW353" s="213"/>
      <c r="AX353" s="213"/>
      <c r="AY353" s="213"/>
      <c r="AZ353" s="213"/>
      <c r="BA353" s="213"/>
      <c r="BB353" s="213"/>
    </row>
    <row r="354" ht="12.75" customHeight="1" outlineLevel="1">
      <c r="A354" s="235"/>
      <c r="B354" s="236"/>
      <c r="C354" s="237" t="s">
        <v>496</v>
      </c>
      <c r="D354" s="238"/>
      <c r="E354" s="239">
        <v>27.54515</v>
      </c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3"/>
      <c r="Z354" s="213"/>
      <c r="AA354" s="213"/>
      <c r="AB354" s="213"/>
      <c r="AC354" s="213"/>
      <c r="AD354" s="213"/>
      <c r="AE354" s="213"/>
      <c r="AF354" s="213"/>
      <c r="AG354" s="213" t="s">
        <v>228</v>
      </c>
      <c r="AH354" s="213">
        <v>0.0</v>
      </c>
      <c r="AI354" s="213"/>
      <c r="AJ354" s="213"/>
      <c r="AK354" s="213"/>
      <c r="AL354" s="213"/>
      <c r="AM354" s="213"/>
      <c r="AN354" s="213"/>
      <c r="AO354" s="213"/>
      <c r="AP354" s="213"/>
      <c r="AQ354" s="213"/>
      <c r="AR354" s="213"/>
      <c r="AS354" s="213"/>
      <c r="AT354" s="213"/>
      <c r="AU354" s="213"/>
      <c r="AV354" s="213"/>
      <c r="AW354" s="213"/>
      <c r="AX354" s="213"/>
      <c r="AY354" s="213"/>
      <c r="AZ354" s="213"/>
      <c r="BA354" s="213"/>
      <c r="BB354" s="213"/>
    </row>
    <row r="355" ht="12.75" customHeight="1">
      <c r="A355" s="175"/>
      <c r="B355" s="179"/>
      <c r="C355" s="221"/>
      <c r="D355" s="181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AE355" s="184">
        <v>15.0</v>
      </c>
      <c r="AF355" s="184">
        <v>21.0</v>
      </c>
      <c r="AG355" s="184" t="s">
        <v>160</v>
      </c>
    </row>
    <row r="356" ht="12.75" customHeight="1">
      <c r="A356" s="222"/>
      <c r="B356" s="223" t="s">
        <v>24</v>
      </c>
      <c r="C356" s="224"/>
      <c r="D356" s="225"/>
      <c r="E356" s="226"/>
      <c r="F356" s="226"/>
      <c r="G356" s="227">
        <f>G8+G157+G194+G198+G238+G246+G261+G267+G272+G277+G281+G330+G334</f>
        <v>5016734.54</v>
      </c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AE356" s="184">
        <f>SUMIF(L7:L354,AE355,G7:G354)</f>
        <v>0</v>
      </c>
      <c r="AF356" s="184">
        <f>SUMIF(L7:L354,AF355,G7:G354)</f>
        <v>5016734.54</v>
      </c>
      <c r="AG356" s="184" t="s">
        <v>218</v>
      </c>
    </row>
    <row r="357" ht="12.75" customHeight="1">
      <c r="A357" s="175"/>
      <c r="B357" s="179"/>
      <c r="C357" s="221"/>
      <c r="D357" s="181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</row>
    <row r="358" ht="12.75" customHeight="1">
      <c r="A358" s="175"/>
      <c r="B358" s="179"/>
      <c r="C358" s="221"/>
      <c r="D358" s="181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</row>
    <row r="359" ht="12.75" customHeight="1">
      <c r="A359" s="175" t="s">
        <v>219</v>
      </c>
      <c r="D359" s="181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</row>
    <row r="360" ht="12.75" customHeight="1">
      <c r="A360" s="228"/>
      <c r="B360" s="27"/>
      <c r="C360" s="27"/>
      <c r="D360" s="27"/>
      <c r="E360" s="27"/>
      <c r="F360" s="27"/>
      <c r="G360" s="229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AG360" s="184" t="s">
        <v>220</v>
      </c>
    </row>
    <row r="361" ht="12.75" customHeight="1">
      <c r="A361" s="230"/>
      <c r="G361" s="231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</row>
    <row r="362" ht="12.75" customHeight="1">
      <c r="A362" s="230"/>
      <c r="G362" s="231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</row>
    <row r="363" ht="12.75" customHeight="1">
      <c r="A363" s="230"/>
      <c r="G363" s="231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</row>
    <row r="364" ht="12.75" customHeight="1">
      <c r="A364" s="232"/>
      <c r="B364" s="38"/>
      <c r="C364" s="38"/>
      <c r="D364" s="38"/>
      <c r="E364" s="38"/>
      <c r="F364" s="38"/>
      <c r="G364" s="233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</row>
    <row r="365" ht="12.75" customHeight="1">
      <c r="A365" s="175"/>
      <c r="B365" s="179"/>
      <c r="C365" s="221"/>
      <c r="D365" s="181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</row>
    <row r="366" ht="12.75" customHeight="1">
      <c r="B366" s="185"/>
      <c r="C366" s="234"/>
      <c r="D366" s="126"/>
      <c r="AG366" s="184" t="s">
        <v>221</v>
      </c>
    </row>
    <row r="367" ht="12.75" customHeight="1">
      <c r="B367" s="185"/>
      <c r="C367" s="185"/>
      <c r="D367" s="126"/>
    </row>
    <row r="368" ht="12.75" customHeight="1">
      <c r="B368" s="185"/>
      <c r="C368" s="185"/>
      <c r="D368" s="126"/>
    </row>
    <row r="369" ht="12.75" customHeight="1">
      <c r="B369" s="185"/>
      <c r="C369" s="185"/>
      <c r="D369" s="126"/>
    </row>
    <row r="370" ht="12.75" customHeight="1">
      <c r="B370" s="185"/>
      <c r="C370" s="185"/>
      <c r="D370" s="126"/>
    </row>
    <row r="371" ht="12.75" customHeight="1">
      <c r="B371" s="185"/>
      <c r="C371" s="185"/>
      <c r="D371" s="126"/>
    </row>
    <row r="372" ht="12.75" customHeight="1">
      <c r="B372" s="185"/>
      <c r="C372" s="185"/>
      <c r="D372" s="126"/>
    </row>
    <row r="373" ht="12.75" customHeight="1">
      <c r="B373" s="185"/>
      <c r="C373" s="185"/>
      <c r="D373" s="126"/>
    </row>
    <row r="374" ht="12.75" customHeight="1">
      <c r="B374" s="185"/>
      <c r="C374" s="185"/>
      <c r="D374" s="126"/>
    </row>
    <row r="375" ht="12.75" customHeight="1">
      <c r="B375" s="185"/>
      <c r="C375" s="185"/>
      <c r="D375" s="126"/>
    </row>
    <row r="376" ht="12.75" customHeight="1">
      <c r="B376" s="185"/>
      <c r="C376" s="185"/>
      <c r="D376" s="126"/>
    </row>
    <row r="377" ht="12.75" customHeight="1">
      <c r="B377" s="185"/>
      <c r="C377" s="185"/>
      <c r="D377" s="126"/>
    </row>
    <row r="378" ht="12.75" customHeight="1">
      <c r="B378" s="185"/>
      <c r="C378" s="185"/>
      <c r="D378" s="126"/>
    </row>
    <row r="379" ht="12.75" customHeight="1">
      <c r="B379" s="185"/>
      <c r="C379" s="185"/>
      <c r="D379" s="126"/>
    </row>
    <row r="380" ht="12.75" customHeight="1">
      <c r="B380" s="185"/>
      <c r="C380" s="185"/>
      <c r="D380" s="126"/>
    </row>
    <row r="381" ht="12.75" customHeight="1">
      <c r="B381" s="185"/>
      <c r="C381" s="185"/>
      <c r="D381" s="126"/>
    </row>
    <row r="382" ht="12.75" customHeight="1">
      <c r="B382" s="185"/>
      <c r="C382" s="185"/>
      <c r="D382" s="126"/>
    </row>
    <row r="383" ht="12.75" customHeight="1">
      <c r="B383" s="185"/>
      <c r="C383" s="185"/>
      <c r="D383" s="126"/>
    </row>
    <row r="384" ht="12.75" customHeight="1">
      <c r="B384" s="185"/>
      <c r="C384" s="185"/>
      <c r="D384" s="126"/>
    </row>
    <row r="385" ht="12.75" customHeight="1">
      <c r="B385" s="185"/>
      <c r="C385" s="185"/>
      <c r="D385" s="126"/>
    </row>
    <row r="386" ht="12.75" customHeight="1">
      <c r="B386" s="185"/>
      <c r="C386" s="185"/>
      <c r="D386" s="126"/>
    </row>
    <row r="387" ht="12.75" customHeight="1">
      <c r="B387" s="185"/>
      <c r="C387" s="185"/>
      <c r="D387" s="126"/>
    </row>
    <row r="388" ht="12.75" customHeight="1">
      <c r="B388" s="185"/>
      <c r="C388" s="185"/>
      <c r="D388" s="126"/>
    </row>
    <row r="389" ht="12.75" customHeight="1">
      <c r="B389" s="185"/>
      <c r="C389" s="185"/>
      <c r="D389" s="126"/>
    </row>
    <row r="390" ht="12.75" customHeight="1">
      <c r="B390" s="185"/>
      <c r="C390" s="185"/>
      <c r="D390" s="126"/>
    </row>
    <row r="391" ht="12.75" customHeight="1">
      <c r="B391" s="185"/>
      <c r="C391" s="185"/>
      <c r="D391" s="126"/>
    </row>
    <row r="392" ht="12.75" customHeight="1">
      <c r="B392" s="185"/>
      <c r="C392" s="185"/>
      <c r="D392" s="126"/>
    </row>
    <row r="393" ht="12.75" customHeight="1">
      <c r="B393" s="185"/>
      <c r="C393" s="185"/>
      <c r="D393" s="126"/>
    </row>
    <row r="394" ht="12.75" customHeight="1">
      <c r="B394" s="185"/>
      <c r="C394" s="185"/>
      <c r="D394" s="126"/>
    </row>
    <row r="395" ht="12.75" customHeight="1">
      <c r="B395" s="185"/>
      <c r="C395" s="185"/>
      <c r="D395" s="126"/>
    </row>
    <row r="396" ht="12.75" customHeight="1">
      <c r="B396" s="185"/>
      <c r="C396" s="185"/>
      <c r="D396" s="126"/>
    </row>
    <row r="397" ht="12.75" customHeight="1">
      <c r="B397" s="185"/>
      <c r="C397" s="185"/>
      <c r="D397" s="126"/>
    </row>
    <row r="398" ht="12.75" customHeight="1">
      <c r="B398" s="185"/>
      <c r="C398" s="185"/>
      <c r="D398" s="126"/>
    </row>
    <row r="399" ht="12.75" customHeight="1">
      <c r="B399" s="185"/>
      <c r="C399" s="185"/>
      <c r="D399" s="126"/>
    </row>
    <row r="400" ht="12.75" customHeight="1">
      <c r="B400" s="185"/>
      <c r="C400" s="185"/>
      <c r="D400" s="126"/>
    </row>
    <row r="401" ht="12.75" customHeight="1">
      <c r="B401" s="185"/>
      <c r="C401" s="185"/>
      <c r="D401" s="126"/>
    </row>
    <row r="402" ht="12.75" customHeight="1">
      <c r="B402" s="185"/>
      <c r="C402" s="185"/>
      <c r="D402" s="126"/>
    </row>
    <row r="403" ht="12.75" customHeight="1">
      <c r="B403" s="185"/>
      <c r="C403" s="185"/>
      <c r="D403" s="126"/>
    </row>
    <row r="404" ht="12.75" customHeight="1">
      <c r="B404" s="185"/>
      <c r="C404" s="185"/>
      <c r="D404" s="126"/>
    </row>
    <row r="405" ht="12.75" customHeight="1">
      <c r="B405" s="185"/>
      <c r="C405" s="185"/>
      <c r="D405" s="126"/>
    </row>
    <row r="406" ht="12.75" customHeight="1">
      <c r="B406" s="185"/>
      <c r="C406" s="185"/>
      <c r="D406" s="126"/>
    </row>
    <row r="407" ht="12.75" customHeight="1">
      <c r="B407" s="185"/>
      <c r="C407" s="185"/>
      <c r="D407" s="126"/>
    </row>
    <row r="408" ht="12.75" customHeight="1">
      <c r="B408" s="185"/>
      <c r="C408" s="185"/>
      <c r="D408" s="126"/>
    </row>
    <row r="409" ht="12.75" customHeight="1">
      <c r="B409" s="185"/>
      <c r="C409" s="185"/>
      <c r="D409" s="126"/>
    </row>
    <row r="410" ht="12.75" customHeight="1">
      <c r="B410" s="185"/>
      <c r="C410" s="185"/>
      <c r="D410" s="126"/>
    </row>
    <row r="411" ht="12.75" customHeight="1">
      <c r="B411" s="185"/>
      <c r="C411" s="185"/>
      <c r="D411" s="126"/>
    </row>
    <row r="412" ht="12.75" customHeight="1">
      <c r="B412" s="185"/>
      <c r="C412" s="185"/>
      <c r="D412" s="126"/>
    </row>
    <row r="413" ht="12.75" customHeight="1">
      <c r="B413" s="185"/>
      <c r="C413" s="185"/>
      <c r="D413" s="126"/>
    </row>
    <row r="414" ht="12.75" customHeight="1">
      <c r="B414" s="185"/>
      <c r="C414" s="185"/>
      <c r="D414" s="126"/>
    </row>
    <row r="415" ht="12.75" customHeight="1">
      <c r="B415" s="185"/>
      <c r="C415" s="185"/>
      <c r="D415" s="126"/>
    </row>
    <row r="416" ht="12.75" customHeight="1">
      <c r="B416" s="185"/>
      <c r="C416" s="185"/>
      <c r="D416" s="126"/>
    </row>
    <row r="417" ht="12.75" customHeight="1">
      <c r="B417" s="185"/>
      <c r="C417" s="185"/>
      <c r="D417" s="126"/>
    </row>
    <row r="418" ht="12.75" customHeight="1">
      <c r="B418" s="185"/>
      <c r="C418" s="185"/>
      <c r="D418" s="126"/>
    </row>
    <row r="419" ht="12.75" customHeight="1">
      <c r="B419" s="185"/>
      <c r="C419" s="185"/>
      <c r="D419" s="126"/>
    </row>
    <row r="420" ht="12.75" customHeight="1">
      <c r="B420" s="185"/>
      <c r="C420" s="185"/>
      <c r="D420" s="126"/>
    </row>
    <row r="421" ht="12.75" customHeight="1">
      <c r="B421" s="185"/>
      <c r="C421" s="185"/>
      <c r="D421" s="126"/>
    </row>
    <row r="422" ht="12.75" customHeight="1">
      <c r="B422" s="185"/>
      <c r="C422" s="185"/>
      <c r="D422" s="126"/>
    </row>
    <row r="423" ht="12.75" customHeight="1">
      <c r="B423" s="185"/>
      <c r="C423" s="185"/>
      <c r="D423" s="126"/>
    </row>
    <row r="424" ht="12.75" customHeight="1">
      <c r="B424" s="185"/>
      <c r="C424" s="185"/>
      <c r="D424" s="126"/>
    </row>
    <row r="425" ht="12.75" customHeight="1">
      <c r="B425" s="185"/>
      <c r="C425" s="185"/>
      <c r="D425" s="126"/>
    </row>
    <row r="426" ht="12.75" customHeight="1">
      <c r="B426" s="185"/>
      <c r="C426" s="185"/>
      <c r="D426" s="126"/>
    </row>
    <row r="427" ht="12.75" customHeight="1">
      <c r="B427" s="185"/>
      <c r="C427" s="185"/>
      <c r="D427" s="126"/>
    </row>
    <row r="428" ht="12.75" customHeight="1">
      <c r="B428" s="185"/>
      <c r="C428" s="185"/>
      <c r="D428" s="126"/>
    </row>
    <row r="429" ht="12.75" customHeight="1">
      <c r="B429" s="185"/>
      <c r="C429" s="185"/>
      <c r="D429" s="126"/>
    </row>
    <row r="430" ht="12.75" customHeight="1">
      <c r="B430" s="185"/>
      <c r="C430" s="185"/>
      <c r="D430" s="126"/>
    </row>
    <row r="431" ht="12.75" customHeight="1">
      <c r="B431" s="185"/>
      <c r="C431" s="185"/>
      <c r="D431" s="126"/>
    </row>
    <row r="432" ht="12.75" customHeight="1">
      <c r="B432" s="185"/>
      <c r="C432" s="185"/>
      <c r="D432" s="126"/>
    </row>
    <row r="433" ht="12.75" customHeight="1">
      <c r="B433" s="185"/>
      <c r="C433" s="185"/>
      <c r="D433" s="126"/>
    </row>
    <row r="434" ht="12.75" customHeight="1">
      <c r="B434" s="185"/>
      <c r="C434" s="185"/>
      <c r="D434" s="126"/>
    </row>
    <row r="435" ht="12.75" customHeight="1">
      <c r="B435" s="185"/>
      <c r="C435" s="185"/>
      <c r="D435" s="126"/>
    </row>
    <row r="436" ht="12.75" customHeight="1">
      <c r="B436" s="185"/>
      <c r="C436" s="185"/>
      <c r="D436" s="126"/>
    </row>
    <row r="437" ht="12.75" customHeight="1">
      <c r="B437" s="185"/>
      <c r="C437" s="185"/>
      <c r="D437" s="126"/>
    </row>
    <row r="438" ht="12.75" customHeight="1">
      <c r="B438" s="185"/>
      <c r="C438" s="185"/>
      <c r="D438" s="126"/>
    </row>
    <row r="439" ht="12.75" customHeight="1">
      <c r="B439" s="185"/>
      <c r="C439" s="185"/>
      <c r="D439" s="126"/>
    </row>
    <row r="440" ht="12.75" customHeight="1">
      <c r="B440" s="185"/>
      <c r="C440" s="185"/>
      <c r="D440" s="126"/>
    </row>
    <row r="441" ht="12.75" customHeight="1">
      <c r="B441" s="185"/>
      <c r="C441" s="185"/>
      <c r="D441" s="126"/>
    </row>
    <row r="442" ht="12.75" customHeight="1">
      <c r="B442" s="185"/>
      <c r="C442" s="185"/>
      <c r="D442" s="126"/>
    </row>
    <row r="443" ht="12.75" customHeight="1">
      <c r="B443" s="185"/>
      <c r="C443" s="185"/>
      <c r="D443" s="126"/>
    </row>
    <row r="444" ht="12.75" customHeight="1">
      <c r="B444" s="185"/>
      <c r="C444" s="185"/>
      <c r="D444" s="126"/>
    </row>
    <row r="445" ht="12.75" customHeight="1">
      <c r="B445" s="185"/>
      <c r="C445" s="185"/>
      <c r="D445" s="126"/>
    </row>
    <row r="446" ht="12.75" customHeight="1">
      <c r="B446" s="185"/>
      <c r="C446" s="185"/>
      <c r="D446" s="126"/>
    </row>
    <row r="447" ht="12.75" customHeight="1">
      <c r="B447" s="185"/>
      <c r="C447" s="185"/>
      <c r="D447" s="126"/>
    </row>
    <row r="448" ht="12.75" customHeight="1">
      <c r="B448" s="185"/>
      <c r="C448" s="185"/>
      <c r="D448" s="126"/>
    </row>
    <row r="449" ht="12.75" customHeight="1">
      <c r="B449" s="185"/>
      <c r="C449" s="185"/>
      <c r="D449" s="126"/>
    </row>
    <row r="450" ht="12.75" customHeight="1">
      <c r="B450" s="185"/>
      <c r="C450" s="185"/>
      <c r="D450" s="126"/>
    </row>
    <row r="451" ht="12.75" customHeight="1">
      <c r="B451" s="185"/>
      <c r="C451" s="185"/>
      <c r="D451" s="126"/>
    </row>
    <row r="452" ht="12.75" customHeight="1">
      <c r="B452" s="185"/>
      <c r="C452" s="185"/>
      <c r="D452" s="126"/>
    </row>
    <row r="453" ht="12.75" customHeight="1">
      <c r="B453" s="185"/>
      <c r="C453" s="185"/>
      <c r="D453" s="126"/>
    </row>
    <row r="454" ht="12.75" customHeight="1">
      <c r="B454" s="185"/>
      <c r="C454" s="185"/>
      <c r="D454" s="126"/>
    </row>
    <row r="455" ht="12.75" customHeight="1">
      <c r="B455" s="185"/>
      <c r="C455" s="185"/>
      <c r="D455" s="126"/>
    </row>
    <row r="456" ht="12.75" customHeight="1">
      <c r="B456" s="185"/>
      <c r="C456" s="185"/>
      <c r="D456" s="126"/>
    </row>
    <row r="457" ht="12.75" customHeight="1">
      <c r="B457" s="185"/>
      <c r="C457" s="185"/>
      <c r="D457" s="126"/>
    </row>
    <row r="458" ht="12.75" customHeight="1">
      <c r="B458" s="185"/>
      <c r="C458" s="185"/>
      <c r="D458" s="126"/>
    </row>
    <row r="459" ht="12.75" customHeight="1">
      <c r="B459" s="185"/>
      <c r="C459" s="185"/>
      <c r="D459" s="126"/>
    </row>
    <row r="460" ht="12.75" customHeight="1">
      <c r="B460" s="185"/>
      <c r="C460" s="185"/>
      <c r="D460" s="126"/>
    </row>
    <row r="461" ht="12.75" customHeight="1">
      <c r="B461" s="185"/>
      <c r="C461" s="185"/>
      <c r="D461" s="126"/>
    </row>
    <row r="462" ht="12.75" customHeight="1">
      <c r="B462" s="185"/>
      <c r="C462" s="185"/>
      <c r="D462" s="126"/>
    </row>
    <row r="463" ht="12.75" customHeight="1">
      <c r="B463" s="185"/>
      <c r="C463" s="185"/>
      <c r="D463" s="126"/>
    </row>
    <row r="464" ht="12.75" customHeight="1">
      <c r="B464" s="185"/>
      <c r="C464" s="185"/>
      <c r="D464" s="126"/>
    </row>
    <row r="465" ht="12.75" customHeight="1">
      <c r="B465" s="185"/>
      <c r="C465" s="185"/>
      <c r="D465" s="126"/>
    </row>
    <row r="466" ht="12.75" customHeight="1">
      <c r="B466" s="185"/>
      <c r="C466" s="185"/>
      <c r="D466" s="126"/>
    </row>
    <row r="467" ht="12.75" customHeight="1">
      <c r="B467" s="185"/>
      <c r="C467" s="185"/>
      <c r="D467" s="126"/>
    </row>
    <row r="468" ht="12.75" customHeight="1">
      <c r="B468" s="185"/>
      <c r="C468" s="185"/>
      <c r="D468" s="126"/>
    </row>
    <row r="469" ht="12.75" customHeight="1">
      <c r="B469" s="185"/>
      <c r="C469" s="185"/>
      <c r="D469" s="126"/>
    </row>
    <row r="470" ht="12.75" customHeight="1">
      <c r="B470" s="185"/>
      <c r="C470" s="185"/>
      <c r="D470" s="126"/>
    </row>
    <row r="471" ht="12.75" customHeight="1">
      <c r="B471" s="185"/>
      <c r="C471" s="185"/>
      <c r="D471" s="126"/>
    </row>
    <row r="472" ht="12.75" customHeight="1">
      <c r="B472" s="185"/>
      <c r="C472" s="185"/>
      <c r="D472" s="126"/>
    </row>
    <row r="473" ht="12.75" customHeight="1">
      <c r="B473" s="185"/>
      <c r="C473" s="185"/>
      <c r="D473" s="126"/>
    </row>
    <row r="474" ht="12.75" customHeight="1">
      <c r="B474" s="185"/>
      <c r="C474" s="185"/>
      <c r="D474" s="126"/>
    </row>
    <row r="475" ht="12.75" customHeight="1">
      <c r="B475" s="185"/>
      <c r="C475" s="185"/>
      <c r="D475" s="126"/>
    </row>
    <row r="476" ht="12.75" customHeight="1">
      <c r="B476" s="185"/>
      <c r="C476" s="185"/>
      <c r="D476" s="126"/>
    </row>
    <row r="477" ht="12.75" customHeight="1">
      <c r="B477" s="185"/>
      <c r="C477" s="185"/>
      <c r="D477" s="126"/>
    </row>
    <row r="478" ht="12.75" customHeight="1">
      <c r="B478" s="185"/>
      <c r="C478" s="185"/>
      <c r="D478" s="126"/>
    </row>
    <row r="479" ht="12.75" customHeight="1">
      <c r="B479" s="185"/>
      <c r="C479" s="185"/>
      <c r="D479" s="126"/>
    </row>
    <row r="480" ht="12.75" customHeight="1">
      <c r="B480" s="185"/>
      <c r="C480" s="185"/>
      <c r="D480" s="126"/>
    </row>
    <row r="481" ht="12.75" customHeight="1">
      <c r="B481" s="185"/>
      <c r="C481" s="185"/>
      <c r="D481" s="126"/>
    </row>
    <row r="482" ht="12.75" customHeight="1">
      <c r="B482" s="185"/>
      <c r="C482" s="185"/>
      <c r="D482" s="126"/>
    </row>
    <row r="483" ht="12.75" customHeight="1">
      <c r="B483" s="185"/>
      <c r="C483" s="185"/>
      <c r="D483" s="126"/>
    </row>
    <row r="484" ht="12.75" customHeight="1">
      <c r="B484" s="185"/>
      <c r="C484" s="185"/>
      <c r="D484" s="126"/>
    </row>
    <row r="485" ht="12.75" customHeight="1">
      <c r="B485" s="185"/>
      <c r="C485" s="185"/>
      <c r="D485" s="126"/>
    </row>
    <row r="486" ht="12.75" customHeight="1">
      <c r="B486" s="185"/>
      <c r="C486" s="185"/>
      <c r="D486" s="126"/>
    </row>
    <row r="487" ht="12.75" customHeight="1">
      <c r="B487" s="185"/>
      <c r="C487" s="185"/>
      <c r="D487" s="126"/>
    </row>
    <row r="488" ht="12.75" customHeight="1">
      <c r="B488" s="185"/>
      <c r="C488" s="185"/>
      <c r="D488" s="126"/>
    </row>
    <row r="489" ht="12.75" customHeight="1">
      <c r="B489" s="185"/>
      <c r="C489" s="185"/>
      <c r="D489" s="126"/>
    </row>
    <row r="490" ht="12.75" customHeight="1">
      <c r="B490" s="185"/>
      <c r="C490" s="185"/>
      <c r="D490" s="126"/>
    </row>
    <row r="491" ht="12.75" customHeight="1">
      <c r="B491" s="185"/>
      <c r="C491" s="185"/>
      <c r="D491" s="126"/>
    </row>
    <row r="492" ht="12.75" customHeight="1">
      <c r="B492" s="185"/>
      <c r="C492" s="185"/>
      <c r="D492" s="126"/>
    </row>
    <row r="493" ht="12.75" customHeight="1">
      <c r="B493" s="185"/>
      <c r="C493" s="185"/>
      <c r="D493" s="126"/>
    </row>
    <row r="494" ht="12.75" customHeight="1">
      <c r="B494" s="185"/>
      <c r="C494" s="185"/>
      <c r="D494" s="126"/>
    </row>
    <row r="495" ht="12.75" customHeight="1">
      <c r="B495" s="185"/>
      <c r="C495" s="185"/>
      <c r="D495" s="126"/>
    </row>
    <row r="496" ht="12.75" customHeight="1">
      <c r="B496" s="185"/>
      <c r="C496" s="185"/>
      <c r="D496" s="126"/>
    </row>
    <row r="497" ht="12.75" customHeight="1">
      <c r="B497" s="185"/>
      <c r="C497" s="185"/>
      <c r="D497" s="126"/>
    </row>
    <row r="498" ht="12.75" customHeight="1">
      <c r="B498" s="185"/>
      <c r="C498" s="185"/>
      <c r="D498" s="126"/>
    </row>
    <row r="499" ht="12.75" customHeight="1">
      <c r="B499" s="185"/>
      <c r="C499" s="185"/>
      <c r="D499" s="126"/>
    </row>
    <row r="500" ht="12.75" customHeight="1">
      <c r="B500" s="185"/>
      <c r="C500" s="185"/>
      <c r="D500" s="126"/>
    </row>
    <row r="501" ht="12.75" customHeight="1">
      <c r="B501" s="185"/>
      <c r="C501" s="185"/>
      <c r="D501" s="126"/>
    </row>
    <row r="502" ht="12.75" customHeight="1">
      <c r="B502" s="185"/>
      <c r="C502" s="185"/>
      <c r="D502" s="126"/>
    </row>
    <row r="503" ht="12.75" customHeight="1">
      <c r="B503" s="185"/>
      <c r="C503" s="185"/>
      <c r="D503" s="126"/>
    </row>
    <row r="504" ht="12.75" customHeight="1">
      <c r="B504" s="185"/>
      <c r="C504" s="185"/>
      <c r="D504" s="126"/>
    </row>
    <row r="505" ht="12.75" customHeight="1">
      <c r="B505" s="185"/>
      <c r="C505" s="185"/>
      <c r="D505" s="126"/>
    </row>
    <row r="506" ht="12.75" customHeight="1">
      <c r="B506" s="185"/>
      <c r="C506" s="185"/>
      <c r="D506" s="126"/>
    </row>
    <row r="507" ht="12.75" customHeight="1">
      <c r="B507" s="185"/>
      <c r="C507" s="185"/>
      <c r="D507" s="126"/>
    </row>
    <row r="508" ht="12.75" customHeight="1">
      <c r="B508" s="185"/>
      <c r="C508" s="185"/>
      <c r="D508" s="126"/>
    </row>
    <row r="509" ht="12.75" customHeight="1">
      <c r="B509" s="185"/>
      <c r="C509" s="185"/>
      <c r="D509" s="126"/>
    </row>
    <row r="510" ht="12.75" customHeight="1">
      <c r="B510" s="185"/>
      <c r="C510" s="185"/>
      <c r="D510" s="126"/>
    </row>
    <row r="511" ht="12.75" customHeight="1">
      <c r="B511" s="185"/>
      <c r="C511" s="185"/>
      <c r="D511" s="126"/>
    </row>
    <row r="512" ht="12.75" customHeight="1">
      <c r="B512" s="185"/>
      <c r="C512" s="185"/>
      <c r="D512" s="126"/>
    </row>
    <row r="513" ht="12.75" customHeight="1">
      <c r="B513" s="185"/>
      <c r="C513" s="185"/>
      <c r="D513" s="126"/>
    </row>
    <row r="514" ht="12.75" customHeight="1">
      <c r="B514" s="185"/>
      <c r="C514" s="185"/>
      <c r="D514" s="126"/>
    </row>
    <row r="515" ht="12.75" customHeight="1">
      <c r="B515" s="185"/>
      <c r="C515" s="185"/>
      <c r="D515" s="126"/>
    </row>
    <row r="516" ht="12.75" customHeight="1">
      <c r="B516" s="185"/>
      <c r="C516" s="185"/>
      <c r="D516" s="126"/>
    </row>
    <row r="517" ht="12.75" customHeight="1">
      <c r="B517" s="185"/>
      <c r="C517" s="185"/>
      <c r="D517" s="126"/>
    </row>
    <row r="518" ht="12.75" customHeight="1">
      <c r="B518" s="185"/>
      <c r="C518" s="185"/>
      <c r="D518" s="126"/>
    </row>
    <row r="519" ht="12.75" customHeight="1">
      <c r="B519" s="185"/>
      <c r="C519" s="185"/>
      <c r="D519" s="126"/>
    </row>
    <row r="520" ht="12.75" customHeight="1">
      <c r="B520" s="185"/>
      <c r="C520" s="185"/>
      <c r="D520" s="126"/>
    </row>
    <row r="521" ht="12.75" customHeight="1">
      <c r="B521" s="185"/>
      <c r="C521" s="185"/>
      <c r="D521" s="126"/>
    </row>
    <row r="522" ht="12.75" customHeight="1">
      <c r="B522" s="185"/>
      <c r="C522" s="185"/>
      <c r="D522" s="126"/>
    </row>
    <row r="523" ht="12.75" customHeight="1">
      <c r="B523" s="185"/>
      <c r="C523" s="185"/>
      <c r="D523" s="126"/>
    </row>
    <row r="524" ht="12.75" customHeight="1">
      <c r="B524" s="185"/>
      <c r="C524" s="185"/>
      <c r="D524" s="126"/>
    </row>
    <row r="525" ht="12.75" customHeight="1">
      <c r="B525" s="185"/>
      <c r="C525" s="185"/>
      <c r="D525" s="126"/>
    </row>
    <row r="526" ht="12.75" customHeight="1">
      <c r="B526" s="185"/>
      <c r="C526" s="185"/>
      <c r="D526" s="126"/>
    </row>
    <row r="527" ht="12.75" customHeight="1">
      <c r="B527" s="185"/>
      <c r="C527" s="185"/>
      <c r="D527" s="126"/>
    </row>
    <row r="528" ht="12.75" customHeight="1">
      <c r="B528" s="185"/>
      <c r="C528" s="185"/>
      <c r="D528" s="126"/>
    </row>
    <row r="529" ht="12.75" customHeight="1">
      <c r="B529" s="185"/>
      <c r="C529" s="185"/>
      <c r="D529" s="126"/>
    </row>
    <row r="530" ht="12.75" customHeight="1">
      <c r="B530" s="185"/>
      <c r="C530" s="185"/>
      <c r="D530" s="126"/>
    </row>
    <row r="531" ht="12.75" customHeight="1">
      <c r="B531" s="185"/>
      <c r="C531" s="185"/>
      <c r="D531" s="126"/>
    </row>
    <row r="532" ht="12.75" customHeight="1">
      <c r="B532" s="185"/>
      <c r="C532" s="185"/>
      <c r="D532" s="126"/>
    </row>
    <row r="533" ht="12.75" customHeight="1">
      <c r="B533" s="185"/>
      <c r="C533" s="185"/>
      <c r="D533" s="126"/>
    </row>
    <row r="534" ht="12.75" customHeight="1">
      <c r="B534" s="185"/>
      <c r="C534" s="185"/>
      <c r="D534" s="126"/>
    </row>
    <row r="535" ht="12.75" customHeight="1">
      <c r="B535" s="185"/>
      <c r="C535" s="185"/>
      <c r="D535" s="126"/>
    </row>
    <row r="536" ht="12.75" customHeight="1">
      <c r="B536" s="185"/>
      <c r="C536" s="185"/>
      <c r="D536" s="126"/>
    </row>
    <row r="537" ht="12.75" customHeight="1">
      <c r="B537" s="185"/>
      <c r="C537" s="185"/>
      <c r="D537" s="126"/>
    </row>
    <row r="538" ht="12.75" customHeight="1">
      <c r="B538" s="185"/>
      <c r="C538" s="185"/>
      <c r="D538" s="126"/>
    </row>
    <row r="539" ht="12.75" customHeight="1">
      <c r="B539" s="185"/>
      <c r="C539" s="185"/>
      <c r="D539" s="126"/>
    </row>
    <row r="540" ht="12.75" customHeight="1">
      <c r="B540" s="185"/>
      <c r="C540" s="185"/>
      <c r="D540" s="126"/>
    </row>
    <row r="541" ht="12.75" customHeight="1">
      <c r="B541" s="185"/>
      <c r="C541" s="185"/>
      <c r="D541" s="126"/>
    </row>
    <row r="542" ht="12.75" customHeight="1">
      <c r="B542" s="185"/>
      <c r="C542" s="185"/>
      <c r="D542" s="126"/>
    </row>
    <row r="543" ht="12.75" customHeight="1">
      <c r="B543" s="185"/>
      <c r="C543" s="185"/>
      <c r="D543" s="126"/>
    </row>
    <row r="544" ht="12.75" customHeight="1">
      <c r="B544" s="185"/>
      <c r="C544" s="185"/>
      <c r="D544" s="126"/>
    </row>
    <row r="545" ht="12.75" customHeight="1">
      <c r="B545" s="185"/>
      <c r="C545" s="185"/>
      <c r="D545" s="126"/>
    </row>
    <row r="546" ht="12.75" customHeight="1">
      <c r="B546" s="185"/>
      <c r="C546" s="185"/>
      <c r="D546" s="126"/>
    </row>
    <row r="547" ht="12.75" customHeight="1">
      <c r="B547" s="185"/>
      <c r="C547" s="185"/>
      <c r="D547" s="126"/>
    </row>
    <row r="548" ht="12.75" customHeight="1">
      <c r="B548" s="185"/>
      <c r="C548" s="185"/>
      <c r="D548" s="126"/>
    </row>
    <row r="549" ht="12.75" customHeight="1">
      <c r="B549" s="185"/>
      <c r="C549" s="185"/>
      <c r="D549" s="126"/>
    </row>
    <row r="550" ht="12.75" customHeight="1">
      <c r="B550" s="185"/>
      <c r="C550" s="185"/>
      <c r="D550" s="126"/>
    </row>
    <row r="551" ht="12.75" customHeight="1">
      <c r="B551" s="185"/>
      <c r="C551" s="185"/>
      <c r="D551" s="126"/>
    </row>
    <row r="552" ht="12.75" customHeight="1">
      <c r="B552" s="185"/>
      <c r="C552" s="185"/>
      <c r="D552" s="126"/>
    </row>
    <row r="553" ht="12.75" customHeight="1">
      <c r="B553" s="185"/>
      <c r="C553" s="185"/>
      <c r="D553" s="126"/>
    </row>
    <row r="554" ht="12.75" customHeight="1">
      <c r="B554" s="185"/>
      <c r="C554" s="185"/>
      <c r="D554" s="126"/>
    </row>
    <row r="555" ht="12.75" customHeight="1">
      <c r="B555" s="185"/>
      <c r="C555" s="185"/>
      <c r="D555" s="126"/>
    </row>
    <row r="556" ht="12.75" customHeight="1">
      <c r="B556" s="185"/>
      <c r="C556" s="185"/>
      <c r="D556" s="126"/>
    </row>
    <row r="557" ht="12.75" customHeight="1">
      <c r="B557" s="185"/>
      <c r="C557" s="185"/>
      <c r="D557" s="126"/>
    </row>
    <row r="558" ht="12.75" customHeight="1">
      <c r="B558" s="185"/>
      <c r="C558" s="185"/>
      <c r="D558" s="126"/>
    </row>
    <row r="559" ht="12.75" customHeight="1">
      <c r="B559" s="185"/>
      <c r="C559" s="185"/>
      <c r="D559" s="126"/>
    </row>
    <row r="560" ht="12.75" customHeight="1">
      <c r="B560" s="185"/>
      <c r="C560" s="185"/>
      <c r="D560" s="126"/>
    </row>
    <row r="561" ht="12.75" customHeight="1">
      <c r="B561" s="185"/>
      <c r="C561" s="185"/>
      <c r="D561" s="126"/>
    </row>
    <row r="562" ht="12.75" customHeight="1">
      <c r="B562" s="185"/>
      <c r="C562" s="185"/>
      <c r="D562" s="126"/>
    </row>
    <row r="563" ht="12.75" customHeight="1">
      <c r="B563" s="185"/>
      <c r="C563" s="185"/>
      <c r="D563" s="126"/>
    </row>
    <row r="564" ht="12.75" customHeight="1">
      <c r="B564" s="185"/>
      <c r="C564" s="185"/>
      <c r="D564" s="126"/>
    </row>
    <row r="565" ht="12.75" customHeight="1">
      <c r="B565" s="185"/>
      <c r="C565" s="185"/>
      <c r="D565" s="126"/>
    </row>
    <row r="566" ht="12.75" customHeight="1">
      <c r="B566" s="185"/>
      <c r="C566" s="185"/>
      <c r="D566" s="126"/>
    </row>
  </sheetData>
  <mergeCells count="6">
    <mergeCell ref="A1:G1"/>
    <mergeCell ref="C2:G2"/>
    <mergeCell ref="C3:G3"/>
    <mergeCell ref="C4:G4"/>
    <mergeCell ref="A359:C359"/>
    <mergeCell ref="A360:G364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58</v>
      </c>
      <c r="C3" s="177" t="s">
        <v>59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58</v>
      </c>
      <c r="C4" s="188" t="s">
        <v>59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SUMIF(AG9:AG47,"&lt;&gt;NOR",G9:G47)</f>
        <v>26527.19</v>
      </c>
      <c r="H8" s="203"/>
      <c r="I8" s="203">
        <f>SUM(I9:I47)</f>
        <v>0</v>
      </c>
      <c r="J8" s="203"/>
      <c r="K8" s="203">
        <f>SUM(K9:K47)</f>
        <v>0</v>
      </c>
      <c r="L8" s="203"/>
      <c r="M8" s="203">
        <f>SUM(M9:M47)</f>
        <v>32097.8999</v>
      </c>
      <c r="N8" s="203"/>
      <c r="O8" s="203">
        <f>SUM(O9:O47)</f>
        <v>0.05</v>
      </c>
      <c r="P8" s="203"/>
      <c r="Q8" s="203">
        <f>SUM(Q9:Q47)</f>
        <v>0</v>
      </c>
      <c r="R8" s="203"/>
      <c r="S8" s="203"/>
      <c r="T8" s="203"/>
      <c r="U8" s="203"/>
      <c r="V8" s="203">
        <f>SUM(V9:V47)</f>
        <v>80.29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16.2662</v>
      </c>
      <c r="F9" s="219">
        <v>39.6</v>
      </c>
      <c r="G9" s="220">
        <f>ROUND(E9*F9,2)</f>
        <v>644.14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779.4094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1.37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497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498</v>
      </c>
      <c r="D12" s="241"/>
      <c r="E12" s="242">
        <v>32.5325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499</v>
      </c>
      <c r="D14" s="238"/>
      <c r="E14" s="239">
        <v>16.26625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32.5325</v>
      </c>
      <c r="F15" s="219">
        <v>214.5</v>
      </c>
      <c r="G15" s="220">
        <f>ROUND(E15*F15,2)</f>
        <v>6978.22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8443.6462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7.22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497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500</v>
      </c>
      <c r="D17" s="238"/>
      <c r="E17" s="239">
        <v>32.53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278</v>
      </c>
      <c r="C18" s="216" t="s">
        <v>279</v>
      </c>
      <c r="D18" s="217" t="s">
        <v>224</v>
      </c>
      <c r="E18" s="218">
        <v>59.15</v>
      </c>
      <c r="F18" s="219">
        <v>69.5</v>
      </c>
      <c r="G18" s="220">
        <f>ROUND(E18*F18,2)</f>
        <v>4110.93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4974.2253</v>
      </c>
      <c r="N18" s="212">
        <v>8.6E-4</v>
      </c>
      <c r="O18" s="212">
        <f>ROUND(E18*N18,2)</f>
        <v>0.05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0.479</v>
      </c>
      <c r="V18" s="212">
        <f>ROUND(E18*U18,2)</f>
        <v>28.33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497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501</v>
      </c>
      <c r="D20" s="238"/>
      <c r="E20" s="239">
        <v>59.15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286</v>
      </c>
      <c r="C21" s="216" t="s">
        <v>287</v>
      </c>
      <c r="D21" s="217" t="s">
        <v>224</v>
      </c>
      <c r="E21" s="218">
        <v>59.15</v>
      </c>
      <c r="F21" s="219">
        <v>41.3</v>
      </c>
      <c r="G21" s="220">
        <f>ROUND(E21*F21,2)</f>
        <v>2442.9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2955.909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0.327</v>
      </c>
      <c r="V21" s="212">
        <f>ROUND(E21*U21,2)</f>
        <v>19.34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497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501</v>
      </c>
      <c r="D23" s="238"/>
      <c r="E23" s="239">
        <v>59.15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32.5325</v>
      </c>
      <c r="F24" s="219">
        <v>36.6</v>
      </c>
      <c r="G24" s="220">
        <f>ROUND(E24*F24,2)</f>
        <v>1190.69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1440.7349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1.27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497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500</v>
      </c>
      <c r="D26" s="238"/>
      <c r="E26" s="239">
        <v>32.53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32.5325</v>
      </c>
      <c r="F27" s="219">
        <v>64.0</v>
      </c>
      <c r="G27" s="220">
        <f>ROUND(E27*F27,2)</f>
        <v>2082.08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2519.3168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16.88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226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497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500</v>
      </c>
      <c r="D29" s="238"/>
      <c r="E29" s="239">
        <v>32.53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5.3911</v>
      </c>
      <c r="F30" s="219">
        <v>215.5</v>
      </c>
      <c r="G30" s="220">
        <f>ROUND(E30*F30,2)</f>
        <v>1161.78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1405.7538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0.06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502</v>
      </c>
      <c r="D32" s="238"/>
      <c r="E32" s="239">
        <v>5.39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297</v>
      </c>
      <c r="C33" s="216" t="s">
        <v>298</v>
      </c>
      <c r="D33" s="217" t="s">
        <v>234</v>
      </c>
      <c r="E33" s="218">
        <v>5.3911</v>
      </c>
      <c r="F33" s="219">
        <v>61.0</v>
      </c>
      <c r="G33" s="220">
        <f>ROUND(E33*F33,2)</f>
        <v>328.86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397.9206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0.053</v>
      </c>
      <c r="V33" s="212">
        <f>ROUND(E33*U33,2)</f>
        <v>0.29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502</v>
      </c>
      <c r="D35" s="238"/>
      <c r="E35" s="239">
        <v>5.39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5.3911</v>
      </c>
      <c r="F36" s="219">
        <v>15.1</v>
      </c>
      <c r="G36" s="220">
        <f>ROUND(E36*F36,2)</f>
        <v>81.41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98.5061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0.05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502</v>
      </c>
      <c r="D38" s="238"/>
      <c r="E38" s="239">
        <v>5.39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27.1414</v>
      </c>
      <c r="F39" s="219">
        <v>169.0</v>
      </c>
      <c r="G39" s="220">
        <f>ROUND(E39*F39,2)</f>
        <v>4586.9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5550.149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5.48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503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504</v>
      </c>
      <c r="D41" s="238"/>
      <c r="E41" s="239">
        <v>27.14</v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11.0</v>
      </c>
      <c r="B42" s="215" t="s">
        <v>314</v>
      </c>
      <c r="C42" s="216" t="s">
        <v>315</v>
      </c>
      <c r="D42" s="217" t="s">
        <v>316</v>
      </c>
      <c r="E42" s="218">
        <v>10.2431</v>
      </c>
      <c r="F42" s="219">
        <v>285.0</v>
      </c>
      <c r="G42" s="220">
        <f>ROUND(E42*F42,2)</f>
        <v>2919.28</v>
      </c>
      <c r="H42" s="211"/>
      <c r="I42" s="212">
        <f>ROUND(E42*H42,2)</f>
        <v>0</v>
      </c>
      <c r="J42" s="211"/>
      <c r="K42" s="212">
        <f>ROUND(E42*J42,2)</f>
        <v>0</v>
      </c>
      <c r="L42" s="212">
        <v>21.0</v>
      </c>
      <c r="M42" s="212">
        <f>G42*(1+L42/100)</f>
        <v>3532.3288</v>
      </c>
      <c r="N42" s="212">
        <v>0.0</v>
      </c>
      <c r="O42" s="212">
        <f>ROUND(E42*N42,2)</f>
        <v>0</v>
      </c>
      <c r="P42" s="212">
        <v>0.0</v>
      </c>
      <c r="Q42" s="212">
        <f>ROUND(E42*P42,2)</f>
        <v>0</v>
      </c>
      <c r="R42" s="212"/>
      <c r="S42" s="212" t="s">
        <v>184</v>
      </c>
      <c r="T42" s="212" t="s">
        <v>184</v>
      </c>
      <c r="U42" s="212">
        <v>0.0</v>
      </c>
      <c r="V42" s="212">
        <f>ROUND(E42*U42,2)</f>
        <v>0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295</v>
      </c>
      <c r="D43" s="238"/>
      <c r="E43" s="239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40" t="s">
        <v>236</v>
      </c>
      <c r="D44" s="241"/>
      <c r="E44" s="24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43" t="s">
        <v>505</v>
      </c>
      <c r="D45" s="241"/>
      <c r="E45" s="242">
        <v>5.39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2.0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40" t="s">
        <v>238</v>
      </c>
      <c r="D46" s="241"/>
      <c r="E46" s="24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506</v>
      </c>
      <c r="D47" s="238"/>
      <c r="E47" s="239">
        <v>10.24</v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>
      <c r="A48" s="196" t="s">
        <v>173</v>
      </c>
      <c r="B48" s="197" t="s">
        <v>98</v>
      </c>
      <c r="C48" s="198" t="s">
        <v>99</v>
      </c>
      <c r="D48" s="199"/>
      <c r="E48" s="200"/>
      <c r="F48" s="201"/>
      <c r="G48" s="202">
        <f>SUMIF(AG49:AG51,"&lt;&gt;NOR",G49:G51)</f>
        <v>410.2</v>
      </c>
      <c r="H48" s="203"/>
      <c r="I48" s="203">
        <f>SUM(I49:I51)</f>
        <v>0</v>
      </c>
      <c r="J48" s="203"/>
      <c r="K48" s="203">
        <f>SUM(K49:K51)</f>
        <v>0</v>
      </c>
      <c r="L48" s="203"/>
      <c r="M48" s="203">
        <f>SUM(M49:M51)</f>
        <v>496.342</v>
      </c>
      <c r="N48" s="203"/>
      <c r="O48" s="203">
        <f>SUM(O49:O51)</f>
        <v>0.6</v>
      </c>
      <c r="P48" s="203"/>
      <c r="Q48" s="203">
        <f>SUM(Q49:Q51)</f>
        <v>0</v>
      </c>
      <c r="R48" s="203"/>
      <c r="S48" s="203"/>
      <c r="T48" s="203"/>
      <c r="U48" s="203"/>
      <c r="V48" s="203">
        <f>SUM(V49:V51)</f>
        <v>0.37</v>
      </c>
      <c r="W48" s="203"/>
      <c r="X48" s="203"/>
      <c r="AG48" s="184" t="s">
        <v>174</v>
      </c>
    </row>
    <row r="49" ht="12.75" customHeight="1" outlineLevel="1">
      <c r="A49" s="214">
        <v>12.0</v>
      </c>
      <c r="B49" s="215" t="s">
        <v>507</v>
      </c>
      <c r="C49" s="216" t="s">
        <v>508</v>
      </c>
      <c r="D49" s="217" t="s">
        <v>234</v>
      </c>
      <c r="E49" s="218">
        <v>0.3375</v>
      </c>
      <c r="F49" s="219">
        <v>1215.4</v>
      </c>
      <c r="G49" s="220">
        <f>ROUND(E49*F49,2)</f>
        <v>410.2</v>
      </c>
      <c r="H49" s="211"/>
      <c r="I49" s="212">
        <f>ROUND(E49*H49,2)</f>
        <v>0</v>
      </c>
      <c r="J49" s="211"/>
      <c r="K49" s="212">
        <f>ROUND(E49*J49,2)</f>
        <v>0</v>
      </c>
      <c r="L49" s="212">
        <v>21.0</v>
      </c>
      <c r="M49" s="212">
        <f>G49*(1+L49/100)</f>
        <v>496.342</v>
      </c>
      <c r="N49" s="212">
        <v>1.78164</v>
      </c>
      <c r="O49" s="212">
        <f>ROUND(E49*N49,2)</f>
        <v>0.6</v>
      </c>
      <c r="P49" s="212">
        <v>0.0</v>
      </c>
      <c r="Q49" s="212">
        <f>ROUND(E49*P49,2)</f>
        <v>0</v>
      </c>
      <c r="R49" s="212"/>
      <c r="S49" s="212" t="s">
        <v>184</v>
      </c>
      <c r="T49" s="212" t="s">
        <v>184</v>
      </c>
      <c r="U49" s="212">
        <v>1.085</v>
      </c>
      <c r="V49" s="212">
        <f>ROUND(E49*U49,2)</f>
        <v>0.37</v>
      </c>
      <c r="W49" s="212"/>
      <c r="X49" s="212" t="s">
        <v>225</v>
      </c>
      <c r="Y49" s="213"/>
      <c r="Z49" s="213"/>
      <c r="AA49" s="213"/>
      <c r="AB49" s="213"/>
      <c r="AC49" s="213"/>
      <c r="AD49" s="213"/>
      <c r="AE49" s="213"/>
      <c r="AF49" s="213"/>
      <c r="AG49" s="213" t="s">
        <v>226</v>
      </c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509</v>
      </c>
      <c r="D50" s="238"/>
      <c r="E50" s="239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510</v>
      </c>
      <c r="D51" s="238"/>
      <c r="E51" s="239">
        <v>0.34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>
      <c r="A52" s="196" t="s">
        <v>173</v>
      </c>
      <c r="B52" s="197" t="s">
        <v>100</v>
      </c>
      <c r="C52" s="198" t="s">
        <v>101</v>
      </c>
      <c r="D52" s="199"/>
      <c r="E52" s="200"/>
      <c r="F52" s="201"/>
      <c r="G52" s="202">
        <f>SUMIF(AG53:AG64,"&lt;&gt;NOR",G53:G64)</f>
        <v>4381.96</v>
      </c>
      <c r="H52" s="203"/>
      <c r="I52" s="203">
        <f>SUM(I53:I64)</f>
        <v>0</v>
      </c>
      <c r="J52" s="203"/>
      <c r="K52" s="203">
        <f>SUM(K53:K64)</f>
        <v>0</v>
      </c>
      <c r="L52" s="203"/>
      <c r="M52" s="203">
        <f>SUM(M53:M64)</f>
        <v>5302.1716</v>
      </c>
      <c r="N52" s="203"/>
      <c r="O52" s="203">
        <f>SUM(O53:O64)</f>
        <v>3.23</v>
      </c>
      <c r="P52" s="203"/>
      <c r="Q52" s="203">
        <f>SUM(Q53:Q64)</f>
        <v>0</v>
      </c>
      <c r="R52" s="203"/>
      <c r="S52" s="203"/>
      <c r="T52" s="203"/>
      <c r="U52" s="203"/>
      <c r="V52" s="203">
        <f>SUM(V53:V64)</f>
        <v>3.78</v>
      </c>
      <c r="W52" s="203"/>
      <c r="X52" s="203"/>
      <c r="AG52" s="184" t="s">
        <v>174</v>
      </c>
    </row>
    <row r="53" ht="12.75" customHeight="1" outlineLevel="1">
      <c r="A53" s="214">
        <v>13.0</v>
      </c>
      <c r="B53" s="215" t="s">
        <v>347</v>
      </c>
      <c r="C53" s="216" t="s">
        <v>348</v>
      </c>
      <c r="D53" s="217" t="s">
        <v>234</v>
      </c>
      <c r="E53" s="218">
        <v>0.9295</v>
      </c>
      <c r="F53" s="219">
        <v>1010.69</v>
      </c>
      <c r="G53" s="220">
        <f>ROUND(E53*F53,2)</f>
        <v>939.44</v>
      </c>
      <c r="H53" s="211"/>
      <c r="I53" s="212">
        <f>ROUND(E53*H53,2)</f>
        <v>0</v>
      </c>
      <c r="J53" s="211"/>
      <c r="K53" s="212">
        <f>ROUND(E53*J53,2)</f>
        <v>0</v>
      </c>
      <c r="L53" s="212">
        <v>21.0</v>
      </c>
      <c r="M53" s="212">
        <f>G53*(1+L53/100)</f>
        <v>1136.7224</v>
      </c>
      <c r="N53" s="212">
        <v>1.1322</v>
      </c>
      <c r="O53" s="212">
        <f>ROUND(E53*N53,2)</f>
        <v>1.05</v>
      </c>
      <c r="P53" s="212">
        <v>0.0</v>
      </c>
      <c r="Q53" s="212">
        <f>ROUND(E53*P53,2)</f>
        <v>0</v>
      </c>
      <c r="R53" s="212"/>
      <c r="S53" s="212" t="s">
        <v>184</v>
      </c>
      <c r="T53" s="212" t="s">
        <v>184</v>
      </c>
      <c r="U53" s="212">
        <v>1.695</v>
      </c>
      <c r="V53" s="212">
        <f>ROUND(E53*U53,2)</f>
        <v>1.58</v>
      </c>
      <c r="W53" s="212"/>
      <c r="X53" s="212" t="s">
        <v>225</v>
      </c>
      <c r="Y53" s="213"/>
      <c r="Z53" s="213"/>
      <c r="AA53" s="213"/>
      <c r="AB53" s="213"/>
      <c r="AC53" s="213"/>
      <c r="AD53" s="213"/>
      <c r="AE53" s="213"/>
      <c r="AF53" s="213"/>
      <c r="AG53" s="213" t="s">
        <v>226</v>
      </c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37" t="s">
        <v>511</v>
      </c>
      <c r="D54" s="238"/>
      <c r="E54" s="239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0.0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37" t="s">
        <v>512</v>
      </c>
      <c r="D55" s="238"/>
      <c r="E55" s="239">
        <v>0.93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0.0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14">
        <v>14.0</v>
      </c>
      <c r="B56" s="215" t="s">
        <v>513</v>
      </c>
      <c r="C56" s="216" t="s">
        <v>514</v>
      </c>
      <c r="D56" s="217" t="s">
        <v>372</v>
      </c>
      <c r="E56" s="218">
        <v>8.0</v>
      </c>
      <c r="F56" s="219">
        <v>62.93</v>
      </c>
      <c r="G56" s="220">
        <f>ROUND(E56*F56,2)</f>
        <v>503.44</v>
      </c>
      <c r="H56" s="211"/>
      <c r="I56" s="212">
        <f>ROUND(E56*H56,2)</f>
        <v>0</v>
      </c>
      <c r="J56" s="211"/>
      <c r="K56" s="212">
        <f>ROUND(E56*J56,2)</f>
        <v>0</v>
      </c>
      <c r="L56" s="212">
        <v>21.0</v>
      </c>
      <c r="M56" s="212">
        <f>G56*(1+L56/100)</f>
        <v>609.1624</v>
      </c>
      <c r="N56" s="212">
        <v>0.00165</v>
      </c>
      <c r="O56" s="212">
        <f>ROUND(E56*N56,2)</f>
        <v>0.01</v>
      </c>
      <c r="P56" s="212">
        <v>0.0</v>
      </c>
      <c r="Q56" s="212">
        <f>ROUND(E56*P56,2)</f>
        <v>0</v>
      </c>
      <c r="R56" s="212"/>
      <c r="S56" s="212" t="s">
        <v>184</v>
      </c>
      <c r="T56" s="212" t="s">
        <v>184</v>
      </c>
      <c r="U56" s="212">
        <v>0.147</v>
      </c>
      <c r="V56" s="212">
        <f>ROUND(E56*U56,2)</f>
        <v>1.18</v>
      </c>
      <c r="W56" s="212"/>
      <c r="X56" s="212" t="s">
        <v>225</v>
      </c>
      <c r="Y56" s="213"/>
      <c r="Z56" s="213"/>
      <c r="AA56" s="213"/>
      <c r="AB56" s="213"/>
      <c r="AC56" s="213"/>
      <c r="AD56" s="213"/>
      <c r="AE56" s="213"/>
      <c r="AF56" s="213"/>
      <c r="AG56" s="213" t="s">
        <v>226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515</v>
      </c>
      <c r="D57" s="238"/>
      <c r="E57" s="239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35"/>
      <c r="B58" s="236"/>
      <c r="C58" s="237" t="s">
        <v>516</v>
      </c>
      <c r="D58" s="238"/>
      <c r="E58" s="239">
        <v>8.0</v>
      </c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3"/>
      <c r="Z58" s="213"/>
      <c r="AA58" s="213"/>
      <c r="AB58" s="213"/>
      <c r="AC58" s="213"/>
      <c r="AD58" s="213"/>
      <c r="AE58" s="213"/>
      <c r="AF58" s="213"/>
      <c r="AG58" s="213" t="s">
        <v>228</v>
      </c>
      <c r="AH58" s="213">
        <v>0.0</v>
      </c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14">
        <v>15.0</v>
      </c>
      <c r="B59" s="215" t="s">
        <v>517</v>
      </c>
      <c r="C59" s="216" t="s">
        <v>518</v>
      </c>
      <c r="D59" s="217" t="s">
        <v>234</v>
      </c>
      <c r="E59" s="218">
        <v>0.7436</v>
      </c>
      <c r="F59" s="219">
        <v>2805.0</v>
      </c>
      <c r="G59" s="220">
        <f>ROUND(E59*F59,2)</f>
        <v>2085.8</v>
      </c>
      <c r="H59" s="211"/>
      <c r="I59" s="212">
        <f>ROUND(E59*H59,2)</f>
        <v>0</v>
      </c>
      <c r="J59" s="211"/>
      <c r="K59" s="212">
        <f>ROUND(E59*J59,2)</f>
        <v>0</v>
      </c>
      <c r="L59" s="212">
        <v>21.0</v>
      </c>
      <c r="M59" s="212">
        <f>G59*(1+L59/100)</f>
        <v>2523.818</v>
      </c>
      <c r="N59" s="212">
        <v>2.5</v>
      </c>
      <c r="O59" s="212">
        <f>ROUND(E59*N59,2)</f>
        <v>1.86</v>
      </c>
      <c r="P59" s="212">
        <v>0.0</v>
      </c>
      <c r="Q59" s="212">
        <f>ROUND(E59*P59,2)</f>
        <v>0</v>
      </c>
      <c r="R59" s="212"/>
      <c r="S59" s="212" t="s">
        <v>184</v>
      </c>
      <c r="T59" s="212" t="s">
        <v>184</v>
      </c>
      <c r="U59" s="212">
        <v>1.365</v>
      </c>
      <c r="V59" s="212">
        <f>ROUND(E59*U59,2)</f>
        <v>1.02</v>
      </c>
      <c r="W59" s="212"/>
      <c r="X59" s="212" t="s">
        <v>225</v>
      </c>
      <c r="Y59" s="213"/>
      <c r="Z59" s="213"/>
      <c r="AA59" s="213"/>
      <c r="AB59" s="213"/>
      <c r="AC59" s="213"/>
      <c r="AD59" s="213"/>
      <c r="AE59" s="213"/>
      <c r="AF59" s="213"/>
      <c r="AG59" s="213" t="s">
        <v>226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519</v>
      </c>
      <c r="D60" s="238"/>
      <c r="E60" s="239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520</v>
      </c>
      <c r="D61" s="238"/>
      <c r="E61" s="239">
        <v>0.74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16.0</v>
      </c>
      <c r="B62" s="215" t="s">
        <v>521</v>
      </c>
      <c r="C62" s="216" t="s">
        <v>522</v>
      </c>
      <c r="D62" s="217" t="s">
        <v>372</v>
      </c>
      <c r="E62" s="218">
        <v>8.0</v>
      </c>
      <c r="F62" s="219">
        <v>106.66</v>
      </c>
      <c r="G62" s="220">
        <f>ROUND(E62*F62,2)</f>
        <v>853.28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1032.4688</v>
      </c>
      <c r="N62" s="212">
        <v>0.0387</v>
      </c>
      <c r="O62" s="212">
        <f>ROUND(E62*N62,2)</f>
        <v>0.31</v>
      </c>
      <c r="P62" s="212">
        <v>0.0</v>
      </c>
      <c r="Q62" s="212">
        <f>ROUND(E62*P62,2)</f>
        <v>0</v>
      </c>
      <c r="R62" s="212" t="s">
        <v>322</v>
      </c>
      <c r="S62" s="212" t="s">
        <v>184</v>
      </c>
      <c r="T62" s="212" t="s">
        <v>184</v>
      </c>
      <c r="U62" s="212">
        <v>0.0</v>
      </c>
      <c r="V62" s="212">
        <f>ROUND(E62*U62,2)</f>
        <v>0</v>
      </c>
      <c r="W62" s="212"/>
      <c r="X62" s="212" t="s">
        <v>323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324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515</v>
      </c>
      <c r="D63" s="238"/>
      <c r="E63" s="239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516</v>
      </c>
      <c r="D64" s="238"/>
      <c r="E64" s="239">
        <v>8.0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>
      <c r="A65" s="196" t="s">
        <v>173</v>
      </c>
      <c r="B65" s="197" t="s">
        <v>102</v>
      </c>
      <c r="C65" s="198" t="s">
        <v>103</v>
      </c>
      <c r="D65" s="199"/>
      <c r="E65" s="200"/>
      <c r="F65" s="201"/>
      <c r="G65" s="202">
        <f>SUMIF(AG66:AG74,"&lt;&gt;NOR",G66:G74)</f>
        <v>2396.94</v>
      </c>
      <c r="H65" s="203"/>
      <c r="I65" s="203">
        <f>SUM(I66:I74)</f>
        <v>0</v>
      </c>
      <c r="J65" s="203"/>
      <c r="K65" s="203">
        <f>SUM(K66:K74)</f>
        <v>0</v>
      </c>
      <c r="L65" s="203"/>
      <c r="M65" s="203">
        <f>SUM(M66:M74)</f>
        <v>2900.2974</v>
      </c>
      <c r="N65" s="203"/>
      <c r="O65" s="203">
        <f>SUM(O66:O74)</f>
        <v>0.72</v>
      </c>
      <c r="P65" s="203"/>
      <c r="Q65" s="203">
        <f>SUM(Q66:Q74)</f>
        <v>0</v>
      </c>
      <c r="R65" s="203"/>
      <c r="S65" s="203"/>
      <c r="T65" s="203"/>
      <c r="U65" s="203"/>
      <c r="V65" s="203">
        <f>SUM(V66:V74)</f>
        <v>1.07</v>
      </c>
      <c r="W65" s="203"/>
      <c r="X65" s="203"/>
      <c r="AG65" s="184" t="s">
        <v>174</v>
      </c>
    </row>
    <row r="66" ht="12.75" customHeight="1" outlineLevel="1">
      <c r="A66" s="214">
        <v>17.0</v>
      </c>
      <c r="B66" s="215" t="s">
        <v>523</v>
      </c>
      <c r="C66" s="216" t="s">
        <v>524</v>
      </c>
      <c r="D66" s="217" t="s">
        <v>224</v>
      </c>
      <c r="E66" s="218">
        <v>1.38</v>
      </c>
      <c r="F66" s="219">
        <v>735.83</v>
      </c>
      <c r="G66" s="220">
        <f>ROUND(E66*F66,2)</f>
        <v>1015.45</v>
      </c>
      <c r="H66" s="211"/>
      <c r="I66" s="212">
        <f>ROUND(E66*H66,2)</f>
        <v>0</v>
      </c>
      <c r="J66" s="211"/>
      <c r="K66" s="212">
        <f>ROUND(E66*J66,2)</f>
        <v>0</v>
      </c>
      <c r="L66" s="212">
        <v>21.0</v>
      </c>
      <c r="M66" s="212">
        <f>G66*(1+L66/100)</f>
        <v>1228.6945</v>
      </c>
      <c r="N66" s="212">
        <v>0.30132</v>
      </c>
      <c r="O66" s="212">
        <f>ROUND(E66*N66,2)</f>
        <v>0.42</v>
      </c>
      <c r="P66" s="212">
        <v>0.0</v>
      </c>
      <c r="Q66" s="212">
        <f>ROUND(E66*P66,2)</f>
        <v>0</v>
      </c>
      <c r="R66" s="212"/>
      <c r="S66" s="212" t="s">
        <v>184</v>
      </c>
      <c r="T66" s="212" t="s">
        <v>184</v>
      </c>
      <c r="U66" s="212">
        <v>0.774</v>
      </c>
      <c r="V66" s="212">
        <f>ROUND(E66*U66,2)</f>
        <v>1.07</v>
      </c>
      <c r="W66" s="212"/>
      <c r="X66" s="212" t="s">
        <v>225</v>
      </c>
      <c r="Y66" s="213"/>
      <c r="Z66" s="213"/>
      <c r="AA66" s="213"/>
      <c r="AB66" s="213"/>
      <c r="AC66" s="213"/>
      <c r="AD66" s="213"/>
      <c r="AE66" s="213"/>
      <c r="AF66" s="213"/>
      <c r="AG66" s="213" t="s">
        <v>226</v>
      </c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525</v>
      </c>
      <c r="D67" s="238"/>
      <c r="E67" s="239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526</v>
      </c>
      <c r="D68" s="238"/>
      <c r="E68" s="239">
        <v>1.38</v>
      </c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14">
        <v>18.0</v>
      </c>
      <c r="B69" s="215" t="s">
        <v>527</v>
      </c>
      <c r="C69" s="216" t="s">
        <v>528</v>
      </c>
      <c r="D69" s="217" t="s">
        <v>224</v>
      </c>
      <c r="E69" s="218">
        <v>1.518</v>
      </c>
      <c r="F69" s="219">
        <v>910.07</v>
      </c>
      <c r="G69" s="220">
        <f>ROUND(E69*F69,2)</f>
        <v>1381.49</v>
      </c>
      <c r="H69" s="211"/>
      <c r="I69" s="212">
        <f>ROUND(E69*H69,2)</f>
        <v>0</v>
      </c>
      <c r="J69" s="211"/>
      <c r="K69" s="212">
        <f>ROUND(E69*J69,2)</f>
        <v>0</v>
      </c>
      <c r="L69" s="212">
        <v>21.0</v>
      </c>
      <c r="M69" s="212">
        <f>G69*(1+L69/100)</f>
        <v>1671.6029</v>
      </c>
      <c r="N69" s="212">
        <v>0.2</v>
      </c>
      <c r="O69" s="212">
        <f>ROUND(E69*N69,2)</f>
        <v>0.3</v>
      </c>
      <c r="P69" s="212">
        <v>0.0</v>
      </c>
      <c r="Q69" s="212">
        <f>ROUND(E69*P69,2)</f>
        <v>0</v>
      </c>
      <c r="R69" s="212" t="s">
        <v>322</v>
      </c>
      <c r="S69" s="212" t="s">
        <v>184</v>
      </c>
      <c r="T69" s="212" t="s">
        <v>184</v>
      </c>
      <c r="U69" s="212">
        <v>0.0</v>
      </c>
      <c r="V69" s="212">
        <f>ROUND(E69*U69,2)</f>
        <v>0</v>
      </c>
      <c r="W69" s="212"/>
      <c r="X69" s="212" t="s">
        <v>323</v>
      </c>
      <c r="Y69" s="213"/>
      <c r="Z69" s="213"/>
      <c r="AA69" s="213"/>
      <c r="AB69" s="213"/>
      <c r="AC69" s="213"/>
      <c r="AD69" s="213"/>
      <c r="AE69" s="213"/>
      <c r="AF69" s="213"/>
      <c r="AG69" s="213" t="s">
        <v>324</v>
      </c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525</v>
      </c>
      <c r="D70" s="238"/>
      <c r="E70" s="239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40" t="s">
        <v>236</v>
      </c>
      <c r="D71" s="241"/>
      <c r="E71" s="24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35"/>
      <c r="B72" s="236"/>
      <c r="C72" s="243" t="s">
        <v>529</v>
      </c>
      <c r="D72" s="241"/>
      <c r="E72" s="242">
        <v>1.38</v>
      </c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3"/>
      <c r="Z72" s="213"/>
      <c r="AA72" s="213"/>
      <c r="AB72" s="213"/>
      <c r="AC72" s="213"/>
      <c r="AD72" s="213"/>
      <c r="AE72" s="213"/>
      <c r="AF72" s="213"/>
      <c r="AG72" s="213" t="s">
        <v>228</v>
      </c>
      <c r="AH72" s="213">
        <v>2.0</v>
      </c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40" t="s">
        <v>238</v>
      </c>
      <c r="D73" s="241"/>
      <c r="E73" s="24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530</v>
      </c>
      <c r="D74" s="238"/>
      <c r="E74" s="239">
        <v>1.52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>
      <c r="A75" s="196" t="s">
        <v>173</v>
      </c>
      <c r="B75" s="197" t="s">
        <v>104</v>
      </c>
      <c r="C75" s="198" t="s">
        <v>105</v>
      </c>
      <c r="D75" s="199"/>
      <c r="E75" s="200"/>
      <c r="F75" s="201"/>
      <c r="G75" s="202">
        <f>SUMIF(AG76:AG94,"&lt;&gt;NOR",G76:G94)</f>
        <v>4997.97</v>
      </c>
      <c r="H75" s="203"/>
      <c r="I75" s="203">
        <f>SUM(I76:I94)</f>
        <v>0</v>
      </c>
      <c r="J75" s="203"/>
      <c r="K75" s="203">
        <f>SUM(K76:K94)</f>
        <v>0</v>
      </c>
      <c r="L75" s="203"/>
      <c r="M75" s="203">
        <f>SUM(M76:M94)</f>
        <v>6047.5437</v>
      </c>
      <c r="N75" s="203"/>
      <c r="O75" s="203">
        <f>SUM(O76:O94)</f>
        <v>2.73</v>
      </c>
      <c r="P75" s="203"/>
      <c r="Q75" s="203">
        <f>SUM(Q76:Q94)</f>
        <v>0</v>
      </c>
      <c r="R75" s="203"/>
      <c r="S75" s="203"/>
      <c r="T75" s="203"/>
      <c r="U75" s="203"/>
      <c r="V75" s="203">
        <f>SUM(V76:V94)</f>
        <v>4.4</v>
      </c>
      <c r="W75" s="203"/>
      <c r="X75" s="203"/>
      <c r="AG75" s="184" t="s">
        <v>174</v>
      </c>
    </row>
    <row r="76" ht="12.75" customHeight="1" outlineLevel="1">
      <c r="A76" s="214">
        <v>19.0</v>
      </c>
      <c r="B76" s="215" t="s">
        <v>531</v>
      </c>
      <c r="C76" s="216" t="s">
        <v>532</v>
      </c>
      <c r="D76" s="217" t="s">
        <v>234</v>
      </c>
      <c r="E76" s="218">
        <v>0.9396</v>
      </c>
      <c r="F76" s="219">
        <v>4130.0</v>
      </c>
      <c r="G76" s="220">
        <f>ROUND(E76*F76,2)</f>
        <v>3880.55</v>
      </c>
      <c r="H76" s="211"/>
      <c r="I76" s="212">
        <f>ROUND(E76*H76,2)</f>
        <v>0</v>
      </c>
      <c r="J76" s="211"/>
      <c r="K76" s="212">
        <f>ROUND(E76*J76,2)</f>
        <v>0</v>
      </c>
      <c r="L76" s="212">
        <v>21.0</v>
      </c>
      <c r="M76" s="212">
        <f>G76*(1+L76/100)</f>
        <v>4695.4655</v>
      </c>
      <c r="N76" s="212">
        <v>2.525</v>
      </c>
      <c r="O76" s="212">
        <f>ROUND(E76*N76,2)</f>
        <v>2.37</v>
      </c>
      <c r="P76" s="212">
        <v>0.0</v>
      </c>
      <c r="Q76" s="212">
        <f>ROUND(E76*P76,2)</f>
        <v>0</v>
      </c>
      <c r="R76" s="212"/>
      <c r="S76" s="212" t="s">
        <v>184</v>
      </c>
      <c r="T76" s="212" t="s">
        <v>184</v>
      </c>
      <c r="U76" s="212">
        <v>2.58</v>
      </c>
      <c r="V76" s="212">
        <f>ROUND(E76*U76,2)</f>
        <v>2.42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533</v>
      </c>
      <c r="D77" s="238"/>
      <c r="E77" s="239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534</v>
      </c>
      <c r="D78" s="238"/>
      <c r="E78" s="239">
        <v>0.2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35"/>
      <c r="B79" s="236"/>
      <c r="C79" s="237" t="s">
        <v>535</v>
      </c>
      <c r="D79" s="238"/>
      <c r="E79" s="239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3"/>
      <c r="Z79" s="213"/>
      <c r="AA79" s="213"/>
      <c r="AB79" s="213"/>
      <c r="AC79" s="213"/>
      <c r="AD79" s="213"/>
      <c r="AE79" s="213"/>
      <c r="AF79" s="213"/>
      <c r="AG79" s="213" t="s">
        <v>228</v>
      </c>
      <c r="AH79" s="213">
        <v>0.0</v>
      </c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35"/>
      <c r="B80" s="236"/>
      <c r="C80" s="237" t="s">
        <v>520</v>
      </c>
      <c r="D80" s="238"/>
      <c r="E80" s="239">
        <v>0.74</v>
      </c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3"/>
      <c r="Z80" s="213"/>
      <c r="AA80" s="213"/>
      <c r="AB80" s="213"/>
      <c r="AC80" s="213"/>
      <c r="AD80" s="213"/>
      <c r="AE80" s="213"/>
      <c r="AF80" s="213"/>
      <c r="AG80" s="213" t="s">
        <v>228</v>
      </c>
      <c r="AH80" s="213">
        <v>0.0</v>
      </c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14">
        <v>20.0</v>
      </c>
      <c r="B81" s="215" t="s">
        <v>536</v>
      </c>
      <c r="C81" s="216" t="s">
        <v>537</v>
      </c>
      <c r="D81" s="217" t="s">
        <v>234</v>
      </c>
      <c r="E81" s="218">
        <v>0.138</v>
      </c>
      <c r="F81" s="219">
        <v>5180.0</v>
      </c>
      <c r="G81" s="220">
        <f>ROUND(E81*F81,2)</f>
        <v>714.84</v>
      </c>
      <c r="H81" s="211"/>
      <c r="I81" s="212">
        <f>ROUND(E81*H81,2)</f>
        <v>0</v>
      </c>
      <c r="J81" s="211"/>
      <c r="K81" s="212">
        <f>ROUND(E81*J81,2)</f>
        <v>0</v>
      </c>
      <c r="L81" s="212">
        <v>21.0</v>
      </c>
      <c r="M81" s="212">
        <f>G81*(1+L81/100)</f>
        <v>864.9564</v>
      </c>
      <c r="N81" s="212">
        <v>2.525</v>
      </c>
      <c r="O81" s="212">
        <f>ROUND(E81*N81,2)</f>
        <v>0.35</v>
      </c>
      <c r="P81" s="212">
        <v>0.0</v>
      </c>
      <c r="Q81" s="212">
        <f>ROUND(E81*P81,2)</f>
        <v>0</v>
      </c>
      <c r="R81" s="212"/>
      <c r="S81" s="212" t="s">
        <v>184</v>
      </c>
      <c r="T81" s="212" t="s">
        <v>184</v>
      </c>
      <c r="U81" s="212">
        <v>2.58</v>
      </c>
      <c r="V81" s="212">
        <f>ROUND(E81*U81,2)</f>
        <v>0.36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35"/>
      <c r="B82" s="236"/>
      <c r="C82" s="237" t="s">
        <v>538</v>
      </c>
      <c r="D82" s="238"/>
      <c r="E82" s="239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3"/>
      <c r="Z82" s="213"/>
      <c r="AA82" s="213"/>
      <c r="AB82" s="213"/>
      <c r="AC82" s="213"/>
      <c r="AD82" s="213"/>
      <c r="AE82" s="213"/>
      <c r="AF82" s="213"/>
      <c r="AG82" s="213" t="s">
        <v>228</v>
      </c>
      <c r="AH82" s="213">
        <v>0.0</v>
      </c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35"/>
      <c r="B83" s="236"/>
      <c r="C83" s="237" t="s">
        <v>539</v>
      </c>
      <c r="D83" s="238"/>
      <c r="E83" s="239">
        <v>0.14</v>
      </c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3"/>
      <c r="Z83" s="213"/>
      <c r="AA83" s="213"/>
      <c r="AB83" s="213"/>
      <c r="AC83" s="213"/>
      <c r="AD83" s="213"/>
      <c r="AE83" s="213"/>
      <c r="AF83" s="213"/>
      <c r="AG83" s="213" t="s">
        <v>228</v>
      </c>
      <c r="AH83" s="213">
        <v>0.0</v>
      </c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14">
        <v>21.0</v>
      </c>
      <c r="B84" s="215" t="s">
        <v>540</v>
      </c>
      <c r="C84" s="216" t="s">
        <v>541</v>
      </c>
      <c r="D84" s="217" t="s">
        <v>234</v>
      </c>
      <c r="E84" s="218">
        <v>0.9396</v>
      </c>
      <c r="F84" s="219">
        <v>5.0</v>
      </c>
      <c r="G84" s="220">
        <f>ROUND(E84*F84,2)</f>
        <v>4.7</v>
      </c>
      <c r="H84" s="211"/>
      <c r="I84" s="212">
        <f>ROUND(E84*H84,2)</f>
        <v>0</v>
      </c>
      <c r="J84" s="211"/>
      <c r="K84" s="212">
        <f>ROUND(E84*J84,2)</f>
        <v>0</v>
      </c>
      <c r="L84" s="212">
        <v>21.0</v>
      </c>
      <c r="M84" s="212">
        <f>G84*(1+L84/100)</f>
        <v>5.687</v>
      </c>
      <c r="N84" s="212">
        <v>0.0</v>
      </c>
      <c r="O84" s="212">
        <f>ROUND(E84*N84,2)</f>
        <v>0</v>
      </c>
      <c r="P84" s="212">
        <v>0.0</v>
      </c>
      <c r="Q84" s="212">
        <f>ROUND(E84*P84,2)</f>
        <v>0</v>
      </c>
      <c r="R84" s="212"/>
      <c r="S84" s="212" t="s">
        <v>184</v>
      </c>
      <c r="T84" s="212" t="s">
        <v>184</v>
      </c>
      <c r="U84" s="212">
        <v>1.35</v>
      </c>
      <c r="V84" s="212">
        <f>ROUND(E84*U84,2)</f>
        <v>1.27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35"/>
      <c r="B85" s="236"/>
      <c r="C85" s="237" t="s">
        <v>533</v>
      </c>
      <c r="D85" s="238"/>
      <c r="E85" s="239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3"/>
      <c r="Z85" s="213"/>
      <c r="AA85" s="213"/>
      <c r="AB85" s="213"/>
      <c r="AC85" s="213"/>
      <c r="AD85" s="213"/>
      <c r="AE85" s="213"/>
      <c r="AF85" s="213"/>
      <c r="AG85" s="213" t="s">
        <v>228</v>
      </c>
      <c r="AH85" s="213">
        <v>0.0</v>
      </c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35"/>
      <c r="B86" s="236"/>
      <c r="C86" s="237" t="s">
        <v>534</v>
      </c>
      <c r="D86" s="238"/>
      <c r="E86" s="239">
        <v>0.2</v>
      </c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3"/>
      <c r="Z86" s="213"/>
      <c r="AA86" s="213"/>
      <c r="AB86" s="213"/>
      <c r="AC86" s="213"/>
      <c r="AD86" s="213"/>
      <c r="AE86" s="213"/>
      <c r="AF86" s="213"/>
      <c r="AG86" s="213" t="s">
        <v>228</v>
      </c>
      <c r="AH86" s="213">
        <v>0.0</v>
      </c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35"/>
      <c r="B87" s="236"/>
      <c r="C87" s="237" t="s">
        <v>535</v>
      </c>
      <c r="D87" s="238"/>
      <c r="E87" s="239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3"/>
      <c r="Z87" s="213"/>
      <c r="AA87" s="213"/>
      <c r="AB87" s="213"/>
      <c r="AC87" s="213"/>
      <c r="AD87" s="213"/>
      <c r="AE87" s="213"/>
      <c r="AF87" s="213"/>
      <c r="AG87" s="213" t="s">
        <v>228</v>
      </c>
      <c r="AH87" s="213">
        <v>0.0</v>
      </c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35"/>
      <c r="B88" s="236"/>
      <c r="C88" s="237" t="s">
        <v>520</v>
      </c>
      <c r="D88" s="238"/>
      <c r="E88" s="239">
        <v>0.74</v>
      </c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3"/>
      <c r="Z88" s="213"/>
      <c r="AA88" s="213"/>
      <c r="AB88" s="213"/>
      <c r="AC88" s="213"/>
      <c r="AD88" s="213"/>
      <c r="AE88" s="213"/>
      <c r="AF88" s="213"/>
      <c r="AG88" s="213" t="s">
        <v>228</v>
      </c>
      <c r="AH88" s="213">
        <v>0.0</v>
      </c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14">
        <v>22.0</v>
      </c>
      <c r="B89" s="215" t="s">
        <v>542</v>
      </c>
      <c r="C89" s="216" t="s">
        <v>543</v>
      </c>
      <c r="D89" s="217" t="s">
        <v>224</v>
      </c>
      <c r="E89" s="218">
        <v>0.56</v>
      </c>
      <c r="F89" s="219">
        <v>532.5</v>
      </c>
      <c r="G89" s="220">
        <f>ROUND(E89*F89,2)</f>
        <v>298.2</v>
      </c>
      <c r="H89" s="211"/>
      <c r="I89" s="212">
        <f>ROUND(E89*H89,2)</f>
        <v>0</v>
      </c>
      <c r="J89" s="211"/>
      <c r="K89" s="212">
        <f>ROUND(E89*J89,2)</f>
        <v>0</v>
      </c>
      <c r="L89" s="212">
        <v>21.0</v>
      </c>
      <c r="M89" s="212">
        <f>G89*(1+L89/100)</f>
        <v>360.822</v>
      </c>
      <c r="N89" s="212">
        <v>0.01411</v>
      </c>
      <c r="O89" s="212">
        <f>ROUND(E89*N89,2)</f>
        <v>0.01</v>
      </c>
      <c r="P89" s="212">
        <v>0.0</v>
      </c>
      <c r="Q89" s="212">
        <f>ROUND(E89*P89,2)</f>
        <v>0</v>
      </c>
      <c r="R89" s="212"/>
      <c r="S89" s="212" t="s">
        <v>184</v>
      </c>
      <c r="T89" s="212" t="s">
        <v>184</v>
      </c>
      <c r="U89" s="212">
        <v>0.396</v>
      </c>
      <c r="V89" s="212">
        <f>ROUND(E89*U89,2)</f>
        <v>0.22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35"/>
      <c r="B90" s="236"/>
      <c r="C90" s="237" t="s">
        <v>533</v>
      </c>
      <c r="D90" s="238"/>
      <c r="E90" s="239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3"/>
      <c r="Z90" s="213"/>
      <c r="AA90" s="213"/>
      <c r="AB90" s="213"/>
      <c r="AC90" s="213"/>
      <c r="AD90" s="213"/>
      <c r="AE90" s="213"/>
      <c r="AF90" s="213"/>
      <c r="AG90" s="213" t="s">
        <v>228</v>
      </c>
      <c r="AH90" s="213">
        <v>0.0</v>
      </c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37" t="s">
        <v>544</v>
      </c>
      <c r="D91" s="238"/>
      <c r="E91" s="239">
        <v>0.56</v>
      </c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>
        <v>0.0</v>
      </c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14">
        <v>23.0</v>
      </c>
      <c r="B92" s="215" t="s">
        <v>545</v>
      </c>
      <c r="C92" s="216" t="s">
        <v>546</v>
      </c>
      <c r="D92" s="217" t="s">
        <v>224</v>
      </c>
      <c r="E92" s="218">
        <v>0.56</v>
      </c>
      <c r="F92" s="219">
        <v>178.0</v>
      </c>
      <c r="G92" s="220">
        <f>ROUND(E92*F92,2)</f>
        <v>99.68</v>
      </c>
      <c r="H92" s="211"/>
      <c r="I92" s="212">
        <f>ROUND(E92*H92,2)</f>
        <v>0</v>
      </c>
      <c r="J92" s="211"/>
      <c r="K92" s="212">
        <f>ROUND(E92*J92,2)</f>
        <v>0</v>
      </c>
      <c r="L92" s="212">
        <v>21.0</v>
      </c>
      <c r="M92" s="212">
        <f>G92*(1+L92/100)</f>
        <v>120.6128</v>
      </c>
      <c r="N92" s="212">
        <v>0.0</v>
      </c>
      <c r="O92" s="212">
        <f>ROUND(E92*N92,2)</f>
        <v>0</v>
      </c>
      <c r="P92" s="212">
        <v>0.0</v>
      </c>
      <c r="Q92" s="212">
        <f>ROUND(E92*P92,2)</f>
        <v>0</v>
      </c>
      <c r="R92" s="212"/>
      <c r="S92" s="212" t="s">
        <v>184</v>
      </c>
      <c r="T92" s="212" t="s">
        <v>184</v>
      </c>
      <c r="U92" s="212">
        <v>0.24</v>
      </c>
      <c r="V92" s="212">
        <f>ROUND(E92*U92,2)</f>
        <v>0.13</v>
      </c>
      <c r="W92" s="212"/>
      <c r="X92" s="212" t="s">
        <v>225</v>
      </c>
      <c r="Y92" s="213"/>
      <c r="Z92" s="213"/>
      <c r="AA92" s="213"/>
      <c r="AB92" s="213"/>
      <c r="AC92" s="213"/>
      <c r="AD92" s="213"/>
      <c r="AE92" s="213"/>
      <c r="AF92" s="213"/>
      <c r="AG92" s="213" t="s">
        <v>226</v>
      </c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533</v>
      </c>
      <c r="D93" s="238"/>
      <c r="E93" s="239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37" t="s">
        <v>544</v>
      </c>
      <c r="D94" s="238"/>
      <c r="E94" s="239">
        <v>0.56</v>
      </c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>
        <v>0.0</v>
      </c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>
      <c r="A95" s="196" t="s">
        <v>173</v>
      </c>
      <c r="B95" s="197" t="s">
        <v>106</v>
      </c>
      <c r="C95" s="198" t="s">
        <v>107</v>
      </c>
      <c r="D95" s="199"/>
      <c r="E95" s="200"/>
      <c r="F95" s="201"/>
      <c r="G95" s="202">
        <f>SUMIF(AG96:AG120,"&lt;&gt;NOR",G96:G120)</f>
        <v>39129.76</v>
      </c>
      <c r="H95" s="203"/>
      <c r="I95" s="203">
        <f>SUM(I96:I120)</f>
        <v>0</v>
      </c>
      <c r="J95" s="203"/>
      <c r="K95" s="203">
        <f>SUM(K96:K120)</f>
        <v>0</v>
      </c>
      <c r="L95" s="203"/>
      <c r="M95" s="203">
        <f>SUM(M96:M120)</f>
        <v>47347.0096</v>
      </c>
      <c r="N95" s="203"/>
      <c r="O95" s="203">
        <f>SUM(O96:O120)</f>
        <v>12.7</v>
      </c>
      <c r="P95" s="203"/>
      <c r="Q95" s="203">
        <f>SUM(Q96:Q120)</f>
        <v>0</v>
      </c>
      <c r="R95" s="203"/>
      <c r="S95" s="203"/>
      <c r="T95" s="203"/>
      <c r="U95" s="203"/>
      <c r="V95" s="203">
        <f>SUM(V96:V120)</f>
        <v>19.06</v>
      </c>
      <c r="W95" s="203"/>
      <c r="X95" s="203"/>
      <c r="AG95" s="184" t="s">
        <v>174</v>
      </c>
    </row>
    <row r="96" ht="12.75" customHeight="1" outlineLevel="1">
      <c r="A96" s="204">
        <v>24.0</v>
      </c>
      <c r="B96" s="205" t="s">
        <v>547</v>
      </c>
      <c r="C96" s="206" t="s">
        <v>548</v>
      </c>
      <c r="D96" s="207" t="s">
        <v>372</v>
      </c>
      <c r="E96" s="208">
        <v>1.0</v>
      </c>
      <c r="F96" s="209">
        <v>5810.0</v>
      </c>
      <c r="G96" s="210">
        <f t="shared" ref="G96:G97" si="1">ROUND(E96*F96,2)</f>
        <v>5810</v>
      </c>
      <c r="H96" s="211"/>
      <c r="I96" s="212">
        <f t="shared" ref="I96:I97" si="2">ROUND(E96*H96,2)</f>
        <v>0</v>
      </c>
      <c r="J96" s="211"/>
      <c r="K96" s="212">
        <f t="shared" ref="K96:K97" si="3">ROUND(E96*J96,2)</f>
        <v>0</v>
      </c>
      <c r="L96" s="212">
        <v>21.0</v>
      </c>
      <c r="M96" s="212">
        <f t="shared" ref="M96:M97" si="4">G96*(1+L96/100)</f>
        <v>7030.1</v>
      </c>
      <c r="N96" s="212">
        <v>0.0</v>
      </c>
      <c r="O96" s="212">
        <f t="shared" ref="O96:O97" si="5">ROUND(E96*N96,2)</f>
        <v>0</v>
      </c>
      <c r="P96" s="212">
        <v>0.0</v>
      </c>
      <c r="Q96" s="212">
        <f t="shared" ref="Q96:Q97" si="6">ROUND(E96*P96,2)</f>
        <v>0</v>
      </c>
      <c r="R96" s="212"/>
      <c r="S96" s="212" t="s">
        <v>178</v>
      </c>
      <c r="T96" s="212" t="s">
        <v>179</v>
      </c>
      <c r="U96" s="212">
        <v>0.0</v>
      </c>
      <c r="V96" s="212">
        <f t="shared" ref="V96:V97" si="7">ROUND(E96*U96,2)</f>
        <v>0</v>
      </c>
      <c r="W96" s="212"/>
      <c r="X96" s="212" t="s">
        <v>225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226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14">
        <v>25.0</v>
      </c>
      <c r="B97" s="215" t="s">
        <v>549</v>
      </c>
      <c r="C97" s="216" t="s">
        <v>550</v>
      </c>
      <c r="D97" s="217" t="s">
        <v>251</v>
      </c>
      <c r="E97" s="218">
        <v>8.45</v>
      </c>
      <c r="F97" s="219">
        <v>294.0</v>
      </c>
      <c r="G97" s="220">
        <f t="shared" si="1"/>
        <v>2484.3</v>
      </c>
      <c r="H97" s="211"/>
      <c r="I97" s="212">
        <f t="shared" si="2"/>
        <v>0</v>
      </c>
      <c r="J97" s="211"/>
      <c r="K97" s="212">
        <f t="shared" si="3"/>
        <v>0</v>
      </c>
      <c r="L97" s="212">
        <v>21.0</v>
      </c>
      <c r="M97" s="212">
        <f t="shared" si="4"/>
        <v>3006.003</v>
      </c>
      <c r="N97" s="212">
        <v>3.0E-5</v>
      </c>
      <c r="O97" s="212">
        <f t="shared" si="5"/>
        <v>0</v>
      </c>
      <c r="P97" s="212">
        <v>0.0</v>
      </c>
      <c r="Q97" s="212">
        <f t="shared" si="6"/>
        <v>0</v>
      </c>
      <c r="R97" s="212"/>
      <c r="S97" s="212" t="s">
        <v>184</v>
      </c>
      <c r="T97" s="212" t="s">
        <v>184</v>
      </c>
      <c r="U97" s="212">
        <v>0.417</v>
      </c>
      <c r="V97" s="212">
        <f t="shared" si="7"/>
        <v>3.52</v>
      </c>
      <c r="W97" s="212"/>
      <c r="X97" s="212" t="s">
        <v>225</v>
      </c>
      <c r="Y97" s="213"/>
      <c r="Z97" s="213"/>
      <c r="AA97" s="213"/>
      <c r="AB97" s="213"/>
      <c r="AC97" s="213"/>
      <c r="AD97" s="213"/>
      <c r="AE97" s="213"/>
      <c r="AF97" s="213"/>
      <c r="AG97" s="213" t="s">
        <v>226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35"/>
      <c r="B98" s="236"/>
      <c r="C98" s="237" t="s">
        <v>551</v>
      </c>
      <c r="D98" s="238"/>
      <c r="E98" s="239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3"/>
      <c r="Z98" s="213"/>
      <c r="AA98" s="213"/>
      <c r="AB98" s="213"/>
      <c r="AC98" s="213"/>
      <c r="AD98" s="213"/>
      <c r="AE98" s="213"/>
      <c r="AF98" s="213"/>
      <c r="AG98" s="213" t="s">
        <v>228</v>
      </c>
      <c r="AH98" s="213">
        <v>0.0</v>
      </c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552</v>
      </c>
      <c r="D99" s="238"/>
      <c r="E99" s="239">
        <v>8.45</v>
      </c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14">
        <v>26.0</v>
      </c>
      <c r="B100" s="215" t="s">
        <v>553</v>
      </c>
      <c r="C100" s="216" t="s">
        <v>554</v>
      </c>
      <c r="D100" s="217" t="s">
        <v>372</v>
      </c>
      <c r="E100" s="218">
        <v>1.0</v>
      </c>
      <c r="F100" s="219">
        <v>295.5</v>
      </c>
      <c r="G100" s="220">
        <f>ROUND(E100*F100,2)</f>
        <v>295.5</v>
      </c>
      <c r="H100" s="211"/>
      <c r="I100" s="212">
        <f>ROUND(E100*H100,2)</f>
        <v>0</v>
      </c>
      <c r="J100" s="211"/>
      <c r="K100" s="212">
        <f>ROUND(E100*J100,2)</f>
        <v>0</v>
      </c>
      <c r="L100" s="212">
        <v>21.0</v>
      </c>
      <c r="M100" s="212">
        <f>G100*(1+L100/100)</f>
        <v>357.555</v>
      </c>
      <c r="N100" s="212">
        <v>3.0E-5</v>
      </c>
      <c r="O100" s="212">
        <f>ROUND(E100*N100,2)</f>
        <v>0</v>
      </c>
      <c r="P100" s="212">
        <v>0.0</v>
      </c>
      <c r="Q100" s="212">
        <f>ROUND(E100*P100,2)</f>
        <v>0</v>
      </c>
      <c r="R100" s="212"/>
      <c r="S100" s="212" t="s">
        <v>184</v>
      </c>
      <c r="T100" s="212" t="s">
        <v>184</v>
      </c>
      <c r="U100" s="212">
        <v>0.249</v>
      </c>
      <c r="V100" s="212">
        <f>ROUND(E100*U100,2)</f>
        <v>0.25</v>
      </c>
      <c r="W100" s="212"/>
      <c r="X100" s="212" t="s">
        <v>225</v>
      </c>
      <c r="Y100" s="213"/>
      <c r="Z100" s="213"/>
      <c r="AA100" s="213"/>
      <c r="AB100" s="213"/>
      <c r="AC100" s="213"/>
      <c r="AD100" s="213"/>
      <c r="AE100" s="213"/>
      <c r="AF100" s="213"/>
      <c r="AG100" s="213" t="s">
        <v>226</v>
      </c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35"/>
      <c r="B101" s="236"/>
      <c r="C101" s="237" t="s">
        <v>555</v>
      </c>
      <c r="D101" s="238"/>
      <c r="E101" s="239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3"/>
      <c r="Z101" s="213"/>
      <c r="AA101" s="213"/>
      <c r="AB101" s="213"/>
      <c r="AC101" s="213"/>
      <c r="AD101" s="213"/>
      <c r="AE101" s="213"/>
      <c r="AF101" s="213"/>
      <c r="AG101" s="213" t="s">
        <v>228</v>
      </c>
      <c r="AH101" s="213">
        <v>0.0</v>
      </c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37" t="s">
        <v>374</v>
      </c>
      <c r="D102" s="238"/>
      <c r="E102" s="239">
        <v>1.0</v>
      </c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0.0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14">
        <v>27.0</v>
      </c>
      <c r="B103" s="215" t="s">
        <v>556</v>
      </c>
      <c r="C103" s="216" t="s">
        <v>557</v>
      </c>
      <c r="D103" s="217" t="s">
        <v>251</v>
      </c>
      <c r="E103" s="218">
        <v>8.45</v>
      </c>
      <c r="F103" s="219">
        <v>329.0</v>
      </c>
      <c r="G103" s="220">
        <f>ROUND(E103*F103,2)</f>
        <v>2780.05</v>
      </c>
      <c r="H103" s="211"/>
      <c r="I103" s="212">
        <f>ROUND(E103*H103,2)</f>
        <v>0</v>
      </c>
      <c r="J103" s="211"/>
      <c r="K103" s="212">
        <f>ROUND(E103*J103,2)</f>
        <v>0</v>
      </c>
      <c r="L103" s="212">
        <v>21.0</v>
      </c>
      <c r="M103" s="212">
        <f>G103*(1+L103/100)</f>
        <v>3363.8605</v>
      </c>
      <c r="N103" s="212">
        <v>0.0</v>
      </c>
      <c r="O103" s="212">
        <f>ROUND(E103*N103,2)</f>
        <v>0</v>
      </c>
      <c r="P103" s="212">
        <v>0.0</v>
      </c>
      <c r="Q103" s="212">
        <f>ROUND(E103*P103,2)</f>
        <v>0</v>
      </c>
      <c r="R103" s="212"/>
      <c r="S103" s="212" t="s">
        <v>184</v>
      </c>
      <c r="T103" s="212" t="s">
        <v>184</v>
      </c>
      <c r="U103" s="212">
        <v>0.059</v>
      </c>
      <c r="V103" s="212">
        <f>ROUND(E103*U103,2)</f>
        <v>0.5</v>
      </c>
      <c r="W103" s="212"/>
      <c r="X103" s="212" t="s">
        <v>225</v>
      </c>
      <c r="Y103" s="213"/>
      <c r="Z103" s="213"/>
      <c r="AA103" s="213"/>
      <c r="AB103" s="213"/>
      <c r="AC103" s="213"/>
      <c r="AD103" s="213"/>
      <c r="AE103" s="213"/>
      <c r="AF103" s="213"/>
      <c r="AG103" s="213" t="s">
        <v>226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35"/>
      <c r="B104" s="236"/>
      <c r="C104" s="237" t="s">
        <v>552</v>
      </c>
      <c r="D104" s="238"/>
      <c r="E104" s="239">
        <v>8.45</v>
      </c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3"/>
      <c r="Z104" s="213"/>
      <c r="AA104" s="213"/>
      <c r="AB104" s="213"/>
      <c r="AC104" s="213"/>
      <c r="AD104" s="213"/>
      <c r="AE104" s="213"/>
      <c r="AF104" s="213"/>
      <c r="AG104" s="213" t="s">
        <v>228</v>
      </c>
      <c r="AH104" s="213">
        <v>0.0</v>
      </c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14">
        <v>28.0</v>
      </c>
      <c r="B105" s="215" t="s">
        <v>558</v>
      </c>
      <c r="C105" s="216" t="s">
        <v>559</v>
      </c>
      <c r="D105" s="217" t="s">
        <v>234</v>
      </c>
      <c r="E105" s="218">
        <v>3.875</v>
      </c>
      <c r="F105" s="219">
        <v>3035.0</v>
      </c>
      <c r="G105" s="220">
        <f>ROUND(E105*F105,2)</f>
        <v>11760.63</v>
      </c>
      <c r="H105" s="211"/>
      <c r="I105" s="212">
        <f>ROUND(E105*H105,2)</f>
        <v>0</v>
      </c>
      <c r="J105" s="211"/>
      <c r="K105" s="212">
        <f>ROUND(E105*J105,2)</f>
        <v>0</v>
      </c>
      <c r="L105" s="212">
        <v>21.0</v>
      </c>
      <c r="M105" s="212">
        <f>G105*(1+L105/100)</f>
        <v>14230.3623</v>
      </c>
      <c r="N105" s="212">
        <v>2.525</v>
      </c>
      <c r="O105" s="212">
        <f>ROUND(E105*N105,2)</f>
        <v>9.78</v>
      </c>
      <c r="P105" s="212">
        <v>0.0</v>
      </c>
      <c r="Q105" s="212">
        <f>ROUND(E105*P105,2)</f>
        <v>0</v>
      </c>
      <c r="R105" s="212"/>
      <c r="S105" s="212" t="s">
        <v>184</v>
      </c>
      <c r="T105" s="212" t="s">
        <v>184</v>
      </c>
      <c r="U105" s="212">
        <v>1.303</v>
      </c>
      <c r="V105" s="212">
        <f>ROUND(E105*U105,2)</f>
        <v>5.05</v>
      </c>
      <c r="W105" s="212"/>
      <c r="X105" s="212" t="s">
        <v>225</v>
      </c>
      <c r="Y105" s="213"/>
      <c r="Z105" s="213"/>
      <c r="AA105" s="213"/>
      <c r="AB105" s="213"/>
      <c r="AC105" s="213"/>
      <c r="AD105" s="213"/>
      <c r="AE105" s="213"/>
      <c r="AF105" s="213"/>
      <c r="AG105" s="213" t="s">
        <v>226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35"/>
      <c r="B106" s="236"/>
      <c r="C106" s="237" t="s">
        <v>560</v>
      </c>
      <c r="D106" s="238"/>
      <c r="E106" s="239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3"/>
      <c r="Z106" s="213"/>
      <c r="AA106" s="213"/>
      <c r="AB106" s="213"/>
      <c r="AC106" s="213"/>
      <c r="AD106" s="213"/>
      <c r="AE106" s="213"/>
      <c r="AF106" s="213"/>
      <c r="AG106" s="213" t="s">
        <v>228</v>
      </c>
      <c r="AH106" s="213">
        <v>0.0</v>
      </c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35"/>
      <c r="B107" s="236"/>
      <c r="C107" s="237" t="s">
        <v>561</v>
      </c>
      <c r="D107" s="238"/>
      <c r="E107" s="239">
        <v>3.72</v>
      </c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3"/>
      <c r="Z107" s="213"/>
      <c r="AA107" s="213"/>
      <c r="AB107" s="213"/>
      <c r="AC107" s="213"/>
      <c r="AD107" s="213"/>
      <c r="AE107" s="213"/>
      <c r="AF107" s="213"/>
      <c r="AG107" s="213" t="s">
        <v>228</v>
      </c>
      <c r="AH107" s="213">
        <v>0.0</v>
      </c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562</v>
      </c>
      <c r="D108" s="238"/>
      <c r="E108" s="239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35"/>
      <c r="B109" s="236"/>
      <c r="C109" s="237" t="s">
        <v>563</v>
      </c>
      <c r="D109" s="238"/>
      <c r="E109" s="239">
        <v>0.16</v>
      </c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3"/>
      <c r="Z109" s="213"/>
      <c r="AA109" s="213"/>
      <c r="AB109" s="213"/>
      <c r="AC109" s="213"/>
      <c r="AD109" s="213"/>
      <c r="AE109" s="213"/>
      <c r="AF109" s="213"/>
      <c r="AG109" s="213" t="s">
        <v>228</v>
      </c>
      <c r="AH109" s="213">
        <v>0.0</v>
      </c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14">
        <v>29.0</v>
      </c>
      <c r="B110" s="215" t="s">
        <v>564</v>
      </c>
      <c r="C110" s="216" t="s">
        <v>565</v>
      </c>
      <c r="D110" s="217" t="s">
        <v>234</v>
      </c>
      <c r="E110" s="218">
        <v>1.0</v>
      </c>
      <c r="F110" s="219">
        <v>3305.0</v>
      </c>
      <c r="G110" s="220">
        <f>ROUND(E110*F110,2)</f>
        <v>3305</v>
      </c>
      <c r="H110" s="211"/>
      <c r="I110" s="212">
        <f>ROUND(E110*H110,2)</f>
        <v>0</v>
      </c>
      <c r="J110" s="211"/>
      <c r="K110" s="212">
        <f>ROUND(E110*J110,2)</f>
        <v>0</v>
      </c>
      <c r="L110" s="212">
        <v>21.0</v>
      </c>
      <c r="M110" s="212">
        <f>G110*(1+L110/100)</f>
        <v>3999.05</v>
      </c>
      <c r="N110" s="212">
        <v>2.525</v>
      </c>
      <c r="O110" s="212">
        <f>ROUND(E110*N110,2)</f>
        <v>2.53</v>
      </c>
      <c r="P110" s="212">
        <v>0.0</v>
      </c>
      <c r="Q110" s="212">
        <f>ROUND(E110*P110,2)</f>
        <v>0</v>
      </c>
      <c r="R110" s="212"/>
      <c r="S110" s="212" t="s">
        <v>184</v>
      </c>
      <c r="T110" s="212" t="s">
        <v>184</v>
      </c>
      <c r="U110" s="212">
        <v>1.303</v>
      </c>
      <c r="V110" s="212">
        <f>ROUND(E110*U110,2)</f>
        <v>1.3</v>
      </c>
      <c r="W110" s="212"/>
      <c r="X110" s="212" t="s">
        <v>225</v>
      </c>
      <c r="Y110" s="213"/>
      <c r="Z110" s="213"/>
      <c r="AA110" s="213"/>
      <c r="AB110" s="213"/>
      <c r="AC110" s="213"/>
      <c r="AD110" s="213"/>
      <c r="AE110" s="213"/>
      <c r="AF110" s="213"/>
      <c r="AG110" s="213" t="s">
        <v>226</v>
      </c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35"/>
      <c r="B111" s="236"/>
      <c r="C111" s="237" t="s">
        <v>566</v>
      </c>
      <c r="D111" s="238"/>
      <c r="E111" s="239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3"/>
      <c r="Z111" s="213"/>
      <c r="AA111" s="213"/>
      <c r="AB111" s="213"/>
      <c r="AC111" s="213"/>
      <c r="AD111" s="213"/>
      <c r="AE111" s="213"/>
      <c r="AF111" s="213"/>
      <c r="AG111" s="213" t="s">
        <v>228</v>
      </c>
      <c r="AH111" s="213">
        <v>0.0</v>
      </c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35"/>
      <c r="B112" s="236"/>
      <c r="C112" s="237" t="s">
        <v>567</v>
      </c>
      <c r="D112" s="238"/>
      <c r="E112" s="239">
        <v>1.0</v>
      </c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3"/>
      <c r="Z112" s="213"/>
      <c r="AA112" s="213"/>
      <c r="AB112" s="213"/>
      <c r="AC112" s="213"/>
      <c r="AD112" s="213"/>
      <c r="AE112" s="213"/>
      <c r="AF112" s="213"/>
      <c r="AG112" s="213" t="s">
        <v>228</v>
      </c>
      <c r="AH112" s="213">
        <v>0.0</v>
      </c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14">
        <v>30.0</v>
      </c>
      <c r="B113" s="215" t="s">
        <v>568</v>
      </c>
      <c r="C113" s="216" t="s">
        <v>569</v>
      </c>
      <c r="D113" s="217" t="s">
        <v>224</v>
      </c>
      <c r="E113" s="218">
        <v>8.76</v>
      </c>
      <c r="F113" s="219">
        <v>262.0</v>
      </c>
      <c r="G113" s="220">
        <f>ROUND(E113*F113,2)</f>
        <v>2295.12</v>
      </c>
      <c r="H113" s="211"/>
      <c r="I113" s="212">
        <f>ROUND(E113*H113,2)</f>
        <v>0</v>
      </c>
      <c r="J113" s="211"/>
      <c r="K113" s="212">
        <f>ROUND(E113*J113,2)</f>
        <v>0</v>
      </c>
      <c r="L113" s="212">
        <v>21.0</v>
      </c>
      <c r="M113" s="212">
        <f>G113*(1+L113/100)</f>
        <v>2777.0952</v>
      </c>
      <c r="N113" s="212">
        <v>0.00418</v>
      </c>
      <c r="O113" s="212">
        <f>ROUND(E113*N113,2)</f>
        <v>0.04</v>
      </c>
      <c r="P113" s="212">
        <v>0.0</v>
      </c>
      <c r="Q113" s="212">
        <f>ROUND(E113*P113,2)</f>
        <v>0</v>
      </c>
      <c r="R113" s="212"/>
      <c r="S113" s="212" t="s">
        <v>184</v>
      </c>
      <c r="T113" s="212" t="s">
        <v>184</v>
      </c>
      <c r="U113" s="212">
        <v>0.963</v>
      </c>
      <c r="V113" s="212">
        <f>ROUND(E113*U113,2)</f>
        <v>8.44</v>
      </c>
      <c r="W113" s="212"/>
      <c r="X113" s="212" t="s">
        <v>225</v>
      </c>
      <c r="Y113" s="213"/>
      <c r="Z113" s="213"/>
      <c r="AA113" s="213"/>
      <c r="AB113" s="213"/>
      <c r="AC113" s="213"/>
      <c r="AD113" s="213"/>
      <c r="AE113" s="213"/>
      <c r="AF113" s="213"/>
      <c r="AG113" s="213" t="s">
        <v>226</v>
      </c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570</v>
      </c>
      <c r="D114" s="238"/>
      <c r="E114" s="239">
        <v>6.76</v>
      </c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566</v>
      </c>
      <c r="D115" s="238"/>
      <c r="E115" s="239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35"/>
      <c r="B116" s="236"/>
      <c r="C116" s="237" t="s">
        <v>571</v>
      </c>
      <c r="D116" s="238"/>
      <c r="E116" s="239">
        <v>2.0</v>
      </c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3"/>
      <c r="Z116" s="213"/>
      <c r="AA116" s="213"/>
      <c r="AB116" s="213"/>
      <c r="AC116" s="213"/>
      <c r="AD116" s="213"/>
      <c r="AE116" s="213"/>
      <c r="AF116" s="213"/>
      <c r="AG116" s="213" t="s">
        <v>228</v>
      </c>
      <c r="AH116" s="213">
        <v>0.0</v>
      </c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04">
        <v>31.0</v>
      </c>
      <c r="B117" s="205" t="s">
        <v>572</v>
      </c>
      <c r="C117" s="206" t="s">
        <v>573</v>
      </c>
      <c r="D117" s="207" t="s">
        <v>372</v>
      </c>
      <c r="E117" s="208">
        <v>1.0</v>
      </c>
      <c r="F117" s="209">
        <v>772.5</v>
      </c>
      <c r="G117" s="210">
        <f t="shared" ref="G117:G118" si="8">ROUND(E117*F117,2)</f>
        <v>772.5</v>
      </c>
      <c r="H117" s="211"/>
      <c r="I117" s="212">
        <f t="shared" ref="I117:I118" si="9">ROUND(E117*H117,2)</f>
        <v>0</v>
      </c>
      <c r="J117" s="211"/>
      <c r="K117" s="212">
        <f t="shared" ref="K117:K118" si="10">ROUND(E117*J117,2)</f>
        <v>0</v>
      </c>
      <c r="L117" s="212">
        <v>21.0</v>
      </c>
      <c r="M117" s="212">
        <f t="shared" ref="M117:M118" si="11">G117*(1+L117/100)</f>
        <v>934.725</v>
      </c>
      <c r="N117" s="212">
        <v>0.015</v>
      </c>
      <c r="O117" s="212">
        <f t="shared" ref="O117:O118" si="12">ROUND(E117*N117,2)</f>
        <v>0.02</v>
      </c>
      <c r="P117" s="212">
        <v>0.0</v>
      </c>
      <c r="Q117" s="212">
        <f t="shared" ref="Q117:Q118" si="13">ROUND(E117*P117,2)</f>
        <v>0</v>
      </c>
      <c r="R117" s="212"/>
      <c r="S117" s="212" t="s">
        <v>178</v>
      </c>
      <c r="T117" s="212" t="s">
        <v>179</v>
      </c>
      <c r="U117" s="212">
        <v>0.0</v>
      </c>
      <c r="V117" s="212">
        <f t="shared" ref="V117:V118" si="14">ROUND(E117*U117,2)</f>
        <v>0</v>
      </c>
      <c r="W117" s="212"/>
      <c r="X117" s="212" t="s">
        <v>225</v>
      </c>
      <c r="Y117" s="213"/>
      <c r="Z117" s="213"/>
      <c r="AA117" s="213"/>
      <c r="AB117" s="213"/>
      <c r="AC117" s="213"/>
      <c r="AD117" s="213"/>
      <c r="AE117" s="213"/>
      <c r="AF117" s="213"/>
      <c r="AG117" s="213" t="s">
        <v>226</v>
      </c>
      <c r="AH117" s="213"/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14">
        <v>32.0</v>
      </c>
      <c r="B118" s="215" t="s">
        <v>574</v>
      </c>
      <c r="C118" s="216" t="s">
        <v>575</v>
      </c>
      <c r="D118" s="217" t="s">
        <v>251</v>
      </c>
      <c r="E118" s="218">
        <v>8.8725</v>
      </c>
      <c r="F118" s="219">
        <v>1085.0</v>
      </c>
      <c r="G118" s="220">
        <f t="shared" si="8"/>
        <v>9626.66</v>
      </c>
      <c r="H118" s="211"/>
      <c r="I118" s="212">
        <f t="shared" si="9"/>
        <v>0</v>
      </c>
      <c r="J118" s="211"/>
      <c r="K118" s="212">
        <f t="shared" si="10"/>
        <v>0</v>
      </c>
      <c r="L118" s="212">
        <v>21.0</v>
      </c>
      <c r="M118" s="212">
        <f t="shared" si="11"/>
        <v>11648.2586</v>
      </c>
      <c r="N118" s="212">
        <v>0.037</v>
      </c>
      <c r="O118" s="212">
        <f t="shared" si="12"/>
        <v>0.33</v>
      </c>
      <c r="P118" s="212">
        <v>0.0</v>
      </c>
      <c r="Q118" s="212">
        <f t="shared" si="13"/>
        <v>0</v>
      </c>
      <c r="R118" s="212" t="s">
        <v>322</v>
      </c>
      <c r="S118" s="212" t="s">
        <v>184</v>
      </c>
      <c r="T118" s="212" t="s">
        <v>184</v>
      </c>
      <c r="U118" s="212">
        <v>0.0</v>
      </c>
      <c r="V118" s="212">
        <f t="shared" si="14"/>
        <v>0</v>
      </c>
      <c r="W118" s="212"/>
      <c r="X118" s="212" t="s">
        <v>323</v>
      </c>
      <c r="Y118" s="213"/>
      <c r="Z118" s="213"/>
      <c r="AA118" s="213"/>
      <c r="AB118" s="213"/>
      <c r="AC118" s="213"/>
      <c r="AD118" s="213"/>
      <c r="AE118" s="213"/>
      <c r="AF118" s="213"/>
      <c r="AG118" s="213" t="s">
        <v>324</v>
      </c>
      <c r="AH118" s="213"/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 outlineLevel="1">
      <c r="A119" s="235"/>
      <c r="B119" s="236"/>
      <c r="C119" s="237" t="s">
        <v>551</v>
      </c>
      <c r="D119" s="238"/>
      <c r="E119" s="239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3"/>
      <c r="Z119" s="213"/>
      <c r="AA119" s="213"/>
      <c r="AB119" s="213"/>
      <c r="AC119" s="213"/>
      <c r="AD119" s="213"/>
      <c r="AE119" s="213"/>
      <c r="AF119" s="213"/>
      <c r="AG119" s="213" t="s">
        <v>228</v>
      </c>
      <c r="AH119" s="213">
        <v>0.0</v>
      </c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35"/>
      <c r="B120" s="236"/>
      <c r="C120" s="237" t="s">
        <v>576</v>
      </c>
      <c r="D120" s="238"/>
      <c r="E120" s="239">
        <v>8.87</v>
      </c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3"/>
      <c r="Z120" s="213"/>
      <c r="AA120" s="213"/>
      <c r="AB120" s="213"/>
      <c r="AC120" s="213"/>
      <c r="AD120" s="213"/>
      <c r="AE120" s="213"/>
      <c r="AF120" s="213"/>
      <c r="AG120" s="213" t="s">
        <v>228</v>
      </c>
      <c r="AH120" s="213">
        <v>0.0</v>
      </c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>
      <c r="A121" s="196" t="s">
        <v>173</v>
      </c>
      <c r="B121" s="197" t="s">
        <v>108</v>
      </c>
      <c r="C121" s="198" t="s">
        <v>109</v>
      </c>
      <c r="D121" s="199"/>
      <c r="E121" s="200"/>
      <c r="F121" s="201"/>
      <c r="G121" s="202">
        <f>SUMIF(AG122:AG142,"&lt;&gt;NOR",G122:G142)</f>
        <v>29832</v>
      </c>
      <c r="H121" s="203"/>
      <c r="I121" s="203">
        <f>SUM(I122:I142)</f>
        <v>0</v>
      </c>
      <c r="J121" s="203"/>
      <c r="K121" s="203">
        <f>SUM(K122:K142)</f>
        <v>0</v>
      </c>
      <c r="L121" s="203"/>
      <c r="M121" s="203">
        <f>SUM(M122:M142)</f>
        <v>36096.72</v>
      </c>
      <c r="N121" s="203"/>
      <c r="O121" s="203">
        <f>SUM(O122:O142)</f>
        <v>3.45</v>
      </c>
      <c r="P121" s="203"/>
      <c r="Q121" s="203">
        <f>SUM(Q122:Q142)</f>
        <v>0</v>
      </c>
      <c r="R121" s="203"/>
      <c r="S121" s="203"/>
      <c r="T121" s="203"/>
      <c r="U121" s="203"/>
      <c r="V121" s="203">
        <f>SUM(V122:V142)</f>
        <v>9.82</v>
      </c>
      <c r="W121" s="203"/>
      <c r="X121" s="203"/>
      <c r="AG121" s="184" t="s">
        <v>174</v>
      </c>
    </row>
    <row r="122" ht="12.75" customHeight="1" outlineLevel="1">
      <c r="A122" s="214">
        <v>33.0</v>
      </c>
      <c r="B122" s="215" t="s">
        <v>577</v>
      </c>
      <c r="C122" s="216" t="s">
        <v>578</v>
      </c>
      <c r="D122" s="217" t="s">
        <v>372</v>
      </c>
      <c r="E122" s="218">
        <v>2.0</v>
      </c>
      <c r="F122" s="219">
        <v>258.5</v>
      </c>
      <c r="G122" s="220">
        <f>ROUND(E122*F122,2)</f>
        <v>517</v>
      </c>
      <c r="H122" s="211"/>
      <c r="I122" s="212">
        <f>ROUND(E122*H122,2)</f>
        <v>0</v>
      </c>
      <c r="J122" s="211"/>
      <c r="K122" s="212">
        <f>ROUND(E122*J122,2)</f>
        <v>0</v>
      </c>
      <c r="L122" s="212">
        <v>21.0</v>
      </c>
      <c r="M122" s="212">
        <f>G122*(1+L122/100)</f>
        <v>625.57</v>
      </c>
      <c r="N122" s="212">
        <v>0.0066</v>
      </c>
      <c r="O122" s="212">
        <f>ROUND(E122*N122,2)</f>
        <v>0.01</v>
      </c>
      <c r="P122" s="212">
        <v>0.0</v>
      </c>
      <c r="Q122" s="212">
        <f>ROUND(E122*P122,2)</f>
        <v>0</v>
      </c>
      <c r="R122" s="212"/>
      <c r="S122" s="212" t="s">
        <v>184</v>
      </c>
      <c r="T122" s="212" t="s">
        <v>184</v>
      </c>
      <c r="U122" s="212">
        <v>0.56</v>
      </c>
      <c r="V122" s="212">
        <f>ROUND(E122*U122,2)</f>
        <v>1.12</v>
      </c>
      <c r="W122" s="212"/>
      <c r="X122" s="212" t="s">
        <v>225</v>
      </c>
      <c r="Y122" s="213"/>
      <c r="Z122" s="213"/>
      <c r="AA122" s="213"/>
      <c r="AB122" s="213"/>
      <c r="AC122" s="213"/>
      <c r="AD122" s="213"/>
      <c r="AE122" s="213"/>
      <c r="AF122" s="213"/>
      <c r="AG122" s="213" t="s">
        <v>226</v>
      </c>
      <c r="AH122" s="213"/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 outlineLevel="1">
      <c r="A123" s="235"/>
      <c r="B123" s="236"/>
      <c r="C123" s="237" t="s">
        <v>579</v>
      </c>
      <c r="D123" s="238"/>
      <c r="E123" s="239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3"/>
      <c r="Z123" s="213"/>
      <c r="AA123" s="213"/>
      <c r="AB123" s="213"/>
      <c r="AC123" s="213"/>
      <c r="AD123" s="213"/>
      <c r="AE123" s="213"/>
      <c r="AF123" s="213"/>
      <c r="AG123" s="213" t="s">
        <v>228</v>
      </c>
      <c r="AH123" s="213">
        <v>0.0</v>
      </c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</row>
    <row r="124" ht="12.75" customHeight="1" outlineLevel="1">
      <c r="A124" s="235"/>
      <c r="B124" s="236"/>
      <c r="C124" s="237" t="s">
        <v>456</v>
      </c>
      <c r="D124" s="238"/>
      <c r="E124" s="239">
        <v>2.0</v>
      </c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3"/>
      <c r="Z124" s="213"/>
      <c r="AA124" s="213"/>
      <c r="AB124" s="213"/>
      <c r="AC124" s="213"/>
      <c r="AD124" s="213"/>
      <c r="AE124" s="213"/>
      <c r="AF124" s="213"/>
      <c r="AG124" s="213" t="s">
        <v>228</v>
      </c>
      <c r="AH124" s="213">
        <v>0.0</v>
      </c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</row>
    <row r="125" ht="12.75" customHeight="1" outlineLevel="1">
      <c r="A125" s="214">
        <v>34.0</v>
      </c>
      <c r="B125" s="215" t="s">
        <v>370</v>
      </c>
      <c r="C125" s="216" t="s">
        <v>580</v>
      </c>
      <c r="D125" s="217" t="s">
        <v>224</v>
      </c>
      <c r="E125" s="218">
        <v>0.8</v>
      </c>
      <c r="F125" s="219">
        <v>4125.0</v>
      </c>
      <c r="G125" s="220">
        <f>ROUND(E125*F125,2)</f>
        <v>3300</v>
      </c>
      <c r="H125" s="211"/>
      <c r="I125" s="212">
        <f>ROUND(E125*H125,2)</f>
        <v>0</v>
      </c>
      <c r="J125" s="211"/>
      <c r="K125" s="212">
        <f>ROUND(E125*J125,2)</f>
        <v>0</v>
      </c>
      <c r="L125" s="212">
        <v>21.0</v>
      </c>
      <c r="M125" s="212">
        <f>G125*(1+L125/100)</f>
        <v>3993</v>
      </c>
      <c r="N125" s="212">
        <v>0.0</v>
      </c>
      <c r="O125" s="212">
        <f>ROUND(E125*N125,2)</f>
        <v>0</v>
      </c>
      <c r="P125" s="212">
        <v>0.0</v>
      </c>
      <c r="Q125" s="212">
        <f>ROUND(E125*P125,2)</f>
        <v>0</v>
      </c>
      <c r="R125" s="212"/>
      <c r="S125" s="212" t="s">
        <v>178</v>
      </c>
      <c r="T125" s="212" t="s">
        <v>179</v>
      </c>
      <c r="U125" s="212">
        <v>0.0</v>
      </c>
      <c r="V125" s="212">
        <f>ROUND(E125*U125,2)</f>
        <v>0</v>
      </c>
      <c r="W125" s="212"/>
      <c r="X125" s="212" t="s">
        <v>225</v>
      </c>
      <c r="Y125" s="213"/>
      <c r="Z125" s="213"/>
      <c r="AA125" s="213"/>
      <c r="AB125" s="213"/>
      <c r="AC125" s="213"/>
      <c r="AD125" s="213"/>
      <c r="AE125" s="213"/>
      <c r="AF125" s="213"/>
      <c r="AG125" s="213" t="s">
        <v>226</v>
      </c>
      <c r="AH125" s="213"/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</row>
    <row r="126" ht="12.75" customHeight="1" outlineLevel="1">
      <c r="A126" s="235"/>
      <c r="B126" s="236"/>
      <c r="C126" s="237" t="s">
        <v>562</v>
      </c>
      <c r="D126" s="238"/>
      <c r="E126" s="239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3"/>
      <c r="Z126" s="213"/>
      <c r="AA126" s="213"/>
      <c r="AB126" s="213"/>
      <c r="AC126" s="213"/>
      <c r="AD126" s="213"/>
      <c r="AE126" s="213"/>
      <c r="AF126" s="213"/>
      <c r="AG126" s="213" t="s">
        <v>228</v>
      </c>
      <c r="AH126" s="213">
        <v>0.0</v>
      </c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</row>
    <row r="127" ht="12.75" customHeight="1" outlineLevel="1">
      <c r="A127" s="235"/>
      <c r="B127" s="236"/>
      <c r="C127" s="237" t="s">
        <v>581</v>
      </c>
      <c r="D127" s="238"/>
      <c r="E127" s="239">
        <v>0.8</v>
      </c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3"/>
      <c r="Z127" s="213"/>
      <c r="AA127" s="213"/>
      <c r="AB127" s="213"/>
      <c r="AC127" s="213"/>
      <c r="AD127" s="213"/>
      <c r="AE127" s="213"/>
      <c r="AF127" s="213"/>
      <c r="AG127" s="213" t="s">
        <v>228</v>
      </c>
      <c r="AH127" s="213">
        <v>0.0</v>
      </c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</row>
    <row r="128" ht="12.75" customHeight="1" outlineLevel="1">
      <c r="A128" s="214">
        <v>35.0</v>
      </c>
      <c r="B128" s="215" t="s">
        <v>582</v>
      </c>
      <c r="C128" s="216" t="s">
        <v>583</v>
      </c>
      <c r="D128" s="217" t="s">
        <v>372</v>
      </c>
      <c r="E128" s="218">
        <v>4.0</v>
      </c>
      <c r="F128" s="219">
        <v>1090.5</v>
      </c>
      <c r="G128" s="220">
        <f>ROUND(E128*F128,2)</f>
        <v>4362</v>
      </c>
      <c r="H128" s="211"/>
      <c r="I128" s="212">
        <f>ROUND(E128*H128,2)</f>
        <v>0</v>
      </c>
      <c r="J128" s="211"/>
      <c r="K128" s="212">
        <f>ROUND(E128*J128,2)</f>
        <v>0</v>
      </c>
      <c r="L128" s="212">
        <v>21.0</v>
      </c>
      <c r="M128" s="212">
        <f>G128*(1+L128/100)</f>
        <v>5278.02</v>
      </c>
      <c r="N128" s="212">
        <v>0.0</v>
      </c>
      <c r="O128" s="212">
        <f>ROUND(E128*N128,2)</f>
        <v>0</v>
      </c>
      <c r="P128" s="212">
        <v>0.0</v>
      </c>
      <c r="Q128" s="212">
        <f>ROUND(E128*P128,2)</f>
        <v>0</v>
      </c>
      <c r="R128" s="212"/>
      <c r="S128" s="212" t="s">
        <v>184</v>
      </c>
      <c r="T128" s="212" t="s">
        <v>184</v>
      </c>
      <c r="U128" s="212">
        <v>1.752</v>
      </c>
      <c r="V128" s="212">
        <f>ROUND(E128*U128,2)</f>
        <v>7.01</v>
      </c>
      <c r="W128" s="212"/>
      <c r="X128" s="212" t="s">
        <v>225</v>
      </c>
      <c r="Y128" s="213"/>
      <c r="Z128" s="213"/>
      <c r="AA128" s="213"/>
      <c r="AB128" s="213"/>
      <c r="AC128" s="213"/>
      <c r="AD128" s="213"/>
      <c r="AE128" s="213"/>
      <c r="AF128" s="213"/>
      <c r="AG128" s="213" t="s">
        <v>226</v>
      </c>
      <c r="AH128" s="213"/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/>
      <c r="BB128" s="213"/>
    </row>
    <row r="129" ht="12.75" customHeight="1" outlineLevel="1">
      <c r="A129" s="235"/>
      <c r="B129" s="236"/>
      <c r="C129" s="237" t="s">
        <v>579</v>
      </c>
      <c r="D129" s="238"/>
      <c r="E129" s="239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 t="s">
        <v>228</v>
      </c>
      <c r="AH129" s="213">
        <v>0.0</v>
      </c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</row>
    <row r="130" ht="12.75" customHeight="1" outlineLevel="1">
      <c r="A130" s="235"/>
      <c r="B130" s="236"/>
      <c r="C130" s="237" t="s">
        <v>584</v>
      </c>
      <c r="D130" s="238"/>
      <c r="E130" s="239">
        <v>4.0</v>
      </c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3"/>
      <c r="Z130" s="213"/>
      <c r="AA130" s="213"/>
      <c r="AB130" s="213"/>
      <c r="AC130" s="213"/>
      <c r="AD130" s="213"/>
      <c r="AE130" s="213"/>
      <c r="AF130" s="213"/>
      <c r="AG130" s="213" t="s">
        <v>228</v>
      </c>
      <c r="AH130" s="213">
        <v>0.0</v>
      </c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/>
      <c r="AU130" s="213"/>
      <c r="AV130" s="213"/>
      <c r="AW130" s="213"/>
      <c r="AX130" s="213"/>
      <c r="AY130" s="213"/>
      <c r="AZ130" s="213"/>
      <c r="BA130" s="213"/>
      <c r="BB130" s="213"/>
    </row>
    <row r="131" ht="12.75" customHeight="1" outlineLevel="1">
      <c r="A131" s="214">
        <v>36.0</v>
      </c>
      <c r="B131" s="215" t="s">
        <v>585</v>
      </c>
      <c r="C131" s="216" t="s">
        <v>586</v>
      </c>
      <c r="D131" s="217" t="s">
        <v>372</v>
      </c>
      <c r="E131" s="218">
        <v>1.0</v>
      </c>
      <c r="F131" s="219">
        <v>1387.0</v>
      </c>
      <c r="G131" s="220">
        <f>ROUND(E131*F131,2)</f>
        <v>1387</v>
      </c>
      <c r="H131" s="211"/>
      <c r="I131" s="212">
        <f>ROUND(E131*H131,2)</f>
        <v>0</v>
      </c>
      <c r="J131" s="211"/>
      <c r="K131" s="212">
        <f>ROUND(E131*J131,2)</f>
        <v>0</v>
      </c>
      <c r="L131" s="212">
        <v>21.0</v>
      </c>
      <c r="M131" s="212">
        <f>G131*(1+L131/100)</f>
        <v>1678.27</v>
      </c>
      <c r="N131" s="212">
        <v>0.00702</v>
      </c>
      <c r="O131" s="212">
        <f>ROUND(E131*N131,2)</f>
        <v>0.01</v>
      </c>
      <c r="P131" s="212">
        <v>0.0</v>
      </c>
      <c r="Q131" s="212">
        <f>ROUND(E131*P131,2)</f>
        <v>0</v>
      </c>
      <c r="R131" s="212"/>
      <c r="S131" s="212" t="s">
        <v>184</v>
      </c>
      <c r="T131" s="212" t="s">
        <v>184</v>
      </c>
      <c r="U131" s="212">
        <v>1.694</v>
      </c>
      <c r="V131" s="212">
        <f>ROUND(E131*U131,2)</f>
        <v>1.69</v>
      </c>
      <c r="W131" s="212"/>
      <c r="X131" s="212" t="s">
        <v>225</v>
      </c>
      <c r="Y131" s="213"/>
      <c r="Z131" s="213"/>
      <c r="AA131" s="213"/>
      <c r="AB131" s="213"/>
      <c r="AC131" s="213"/>
      <c r="AD131" s="213"/>
      <c r="AE131" s="213"/>
      <c r="AF131" s="213"/>
      <c r="AG131" s="213" t="s">
        <v>226</v>
      </c>
      <c r="AH131" s="213"/>
      <c r="AI131" s="213"/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13"/>
      <c r="AX131" s="213"/>
      <c r="AY131" s="213"/>
      <c r="AZ131" s="213"/>
      <c r="BA131" s="213"/>
      <c r="BB131" s="213"/>
    </row>
    <row r="132" ht="12.75" customHeight="1" outlineLevel="1">
      <c r="A132" s="235"/>
      <c r="B132" s="236"/>
      <c r="C132" s="237" t="s">
        <v>579</v>
      </c>
      <c r="D132" s="238"/>
      <c r="E132" s="239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3"/>
      <c r="Z132" s="213"/>
      <c r="AA132" s="213"/>
      <c r="AB132" s="213"/>
      <c r="AC132" s="213"/>
      <c r="AD132" s="213"/>
      <c r="AE132" s="213"/>
      <c r="AF132" s="213"/>
      <c r="AG132" s="213" t="s">
        <v>228</v>
      </c>
      <c r="AH132" s="213">
        <v>0.0</v>
      </c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</row>
    <row r="133" ht="12.75" customHeight="1" outlineLevel="1">
      <c r="A133" s="235"/>
      <c r="B133" s="236"/>
      <c r="C133" s="237" t="s">
        <v>374</v>
      </c>
      <c r="D133" s="238"/>
      <c r="E133" s="239">
        <v>1.0</v>
      </c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3"/>
      <c r="Z133" s="213"/>
      <c r="AA133" s="213"/>
      <c r="AB133" s="213"/>
      <c r="AC133" s="213"/>
      <c r="AD133" s="213"/>
      <c r="AE133" s="213"/>
      <c r="AF133" s="213"/>
      <c r="AG133" s="213" t="s">
        <v>228</v>
      </c>
      <c r="AH133" s="213">
        <v>0.0</v>
      </c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</row>
    <row r="134" ht="12.75" customHeight="1" outlineLevel="1">
      <c r="A134" s="214">
        <v>37.0</v>
      </c>
      <c r="B134" s="215" t="s">
        <v>587</v>
      </c>
      <c r="C134" s="216" t="s">
        <v>588</v>
      </c>
      <c r="D134" s="217" t="s">
        <v>372</v>
      </c>
      <c r="E134" s="218">
        <v>1.0</v>
      </c>
      <c r="F134" s="219">
        <v>3620.0</v>
      </c>
      <c r="G134" s="220">
        <f>ROUND(E134*F134,2)</f>
        <v>3620</v>
      </c>
      <c r="H134" s="211"/>
      <c r="I134" s="212">
        <f>ROUND(E134*H134,2)</f>
        <v>0</v>
      </c>
      <c r="J134" s="211"/>
      <c r="K134" s="212">
        <f>ROUND(E134*J134,2)</f>
        <v>0</v>
      </c>
      <c r="L134" s="212">
        <v>21.0</v>
      </c>
      <c r="M134" s="212">
        <f>G134*(1+L134/100)</f>
        <v>4380.2</v>
      </c>
      <c r="N134" s="212">
        <v>0.162</v>
      </c>
      <c r="O134" s="212">
        <f>ROUND(E134*N134,2)</f>
        <v>0.16</v>
      </c>
      <c r="P134" s="212">
        <v>0.0</v>
      </c>
      <c r="Q134" s="212">
        <f>ROUND(E134*P134,2)</f>
        <v>0</v>
      </c>
      <c r="R134" s="212" t="s">
        <v>322</v>
      </c>
      <c r="S134" s="212" t="s">
        <v>184</v>
      </c>
      <c r="T134" s="212" t="s">
        <v>184</v>
      </c>
      <c r="U134" s="212">
        <v>0.0</v>
      </c>
      <c r="V134" s="212">
        <f>ROUND(E134*U134,2)</f>
        <v>0</v>
      </c>
      <c r="W134" s="212"/>
      <c r="X134" s="212" t="s">
        <v>323</v>
      </c>
      <c r="Y134" s="213"/>
      <c r="Z134" s="213"/>
      <c r="AA134" s="213"/>
      <c r="AB134" s="213"/>
      <c r="AC134" s="213"/>
      <c r="AD134" s="213"/>
      <c r="AE134" s="213"/>
      <c r="AF134" s="213"/>
      <c r="AG134" s="213" t="s">
        <v>324</v>
      </c>
      <c r="AH134" s="213"/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</row>
    <row r="135" ht="12.75" customHeight="1" outlineLevel="1">
      <c r="A135" s="235"/>
      <c r="B135" s="236"/>
      <c r="C135" s="237" t="s">
        <v>589</v>
      </c>
      <c r="D135" s="238"/>
      <c r="E135" s="239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3"/>
      <c r="Z135" s="213"/>
      <c r="AA135" s="213"/>
      <c r="AB135" s="213"/>
      <c r="AC135" s="213"/>
      <c r="AD135" s="213"/>
      <c r="AE135" s="213"/>
      <c r="AF135" s="213"/>
      <c r="AG135" s="213" t="s">
        <v>228</v>
      </c>
      <c r="AH135" s="213">
        <v>0.0</v>
      </c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</row>
    <row r="136" ht="12.75" customHeight="1" outlineLevel="1">
      <c r="A136" s="235"/>
      <c r="B136" s="236"/>
      <c r="C136" s="237" t="s">
        <v>374</v>
      </c>
      <c r="D136" s="238"/>
      <c r="E136" s="239">
        <v>1.0</v>
      </c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3"/>
      <c r="Z136" s="213"/>
      <c r="AA136" s="213"/>
      <c r="AB136" s="213"/>
      <c r="AC136" s="213"/>
      <c r="AD136" s="213"/>
      <c r="AE136" s="213"/>
      <c r="AF136" s="213"/>
      <c r="AG136" s="213" t="s">
        <v>228</v>
      </c>
      <c r="AH136" s="213">
        <v>0.0</v>
      </c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</row>
    <row r="137" ht="12.75" customHeight="1" outlineLevel="1">
      <c r="A137" s="204">
        <v>38.0</v>
      </c>
      <c r="B137" s="205" t="s">
        <v>590</v>
      </c>
      <c r="C137" s="206" t="s">
        <v>591</v>
      </c>
      <c r="D137" s="207" t="s">
        <v>372</v>
      </c>
      <c r="E137" s="208">
        <v>1.0</v>
      </c>
      <c r="F137" s="209">
        <v>1032.0</v>
      </c>
      <c r="G137" s="210">
        <f t="shared" ref="G137:G142" si="15">ROUND(E137*F137,2)</f>
        <v>1032</v>
      </c>
      <c r="H137" s="211"/>
      <c r="I137" s="212">
        <f t="shared" ref="I137:I142" si="16">ROUND(E137*H137,2)</f>
        <v>0</v>
      </c>
      <c r="J137" s="211"/>
      <c r="K137" s="212">
        <f t="shared" ref="K137:K142" si="17">ROUND(E137*J137,2)</f>
        <v>0</v>
      </c>
      <c r="L137" s="212">
        <v>21.0</v>
      </c>
      <c r="M137" s="212">
        <f t="shared" ref="M137:M142" si="18">G137*(1+L137/100)</f>
        <v>1248.72</v>
      </c>
      <c r="N137" s="212">
        <v>0.185</v>
      </c>
      <c r="O137" s="212">
        <f t="shared" ref="O137:O142" si="19">ROUND(E137*N137,2)</f>
        <v>0.19</v>
      </c>
      <c r="P137" s="212">
        <v>0.0</v>
      </c>
      <c r="Q137" s="212">
        <f t="shared" ref="Q137:Q142" si="20">ROUND(E137*P137,2)</f>
        <v>0</v>
      </c>
      <c r="R137" s="212" t="s">
        <v>322</v>
      </c>
      <c r="S137" s="212" t="s">
        <v>184</v>
      </c>
      <c r="T137" s="212" t="s">
        <v>184</v>
      </c>
      <c r="U137" s="212">
        <v>0.0</v>
      </c>
      <c r="V137" s="212">
        <f t="shared" ref="V137:V142" si="21">ROUND(E137*U137,2)</f>
        <v>0</v>
      </c>
      <c r="W137" s="212"/>
      <c r="X137" s="212" t="s">
        <v>323</v>
      </c>
      <c r="Y137" s="213"/>
      <c r="Z137" s="213"/>
      <c r="AA137" s="213"/>
      <c r="AB137" s="213"/>
      <c r="AC137" s="213"/>
      <c r="AD137" s="213"/>
      <c r="AE137" s="213"/>
      <c r="AF137" s="213"/>
      <c r="AG137" s="213" t="s">
        <v>324</v>
      </c>
      <c r="AH137" s="213"/>
      <c r="AI137" s="213"/>
      <c r="AJ137" s="213"/>
      <c r="AK137" s="213"/>
      <c r="AL137" s="213"/>
      <c r="AM137" s="213"/>
      <c r="AN137" s="213"/>
      <c r="AO137" s="213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</row>
    <row r="138" ht="12.75" customHeight="1" outlineLevel="1">
      <c r="A138" s="204">
        <v>39.0</v>
      </c>
      <c r="B138" s="205" t="s">
        <v>592</v>
      </c>
      <c r="C138" s="206" t="s">
        <v>593</v>
      </c>
      <c r="D138" s="207" t="s">
        <v>372</v>
      </c>
      <c r="E138" s="208">
        <v>1.0</v>
      </c>
      <c r="F138" s="209">
        <v>2115.0</v>
      </c>
      <c r="G138" s="210">
        <f t="shared" si="15"/>
        <v>2115</v>
      </c>
      <c r="H138" s="211"/>
      <c r="I138" s="212">
        <f t="shared" si="16"/>
        <v>0</v>
      </c>
      <c r="J138" s="211"/>
      <c r="K138" s="212">
        <f t="shared" si="17"/>
        <v>0</v>
      </c>
      <c r="L138" s="212">
        <v>21.0</v>
      </c>
      <c r="M138" s="212">
        <f t="shared" si="18"/>
        <v>2559.15</v>
      </c>
      <c r="N138" s="212">
        <v>0.74</v>
      </c>
      <c r="O138" s="212">
        <f t="shared" si="19"/>
        <v>0.74</v>
      </c>
      <c r="P138" s="212">
        <v>0.0</v>
      </c>
      <c r="Q138" s="212">
        <f t="shared" si="20"/>
        <v>0</v>
      </c>
      <c r="R138" s="212" t="s">
        <v>322</v>
      </c>
      <c r="S138" s="212" t="s">
        <v>184</v>
      </c>
      <c r="T138" s="212" t="s">
        <v>184</v>
      </c>
      <c r="U138" s="212">
        <v>0.0</v>
      </c>
      <c r="V138" s="212">
        <f t="shared" si="21"/>
        <v>0</v>
      </c>
      <c r="W138" s="212"/>
      <c r="X138" s="212" t="s">
        <v>323</v>
      </c>
      <c r="Y138" s="213"/>
      <c r="Z138" s="213"/>
      <c r="AA138" s="213"/>
      <c r="AB138" s="213"/>
      <c r="AC138" s="213"/>
      <c r="AD138" s="213"/>
      <c r="AE138" s="213"/>
      <c r="AF138" s="213"/>
      <c r="AG138" s="213" t="s">
        <v>324</v>
      </c>
      <c r="AH138" s="213"/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</row>
    <row r="139" ht="12.75" customHeight="1" outlineLevel="1">
      <c r="A139" s="204">
        <v>40.0</v>
      </c>
      <c r="B139" s="205" t="s">
        <v>594</v>
      </c>
      <c r="C139" s="206" t="s">
        <v>595</v>
      </c>
      <c r="D139" s="207" t="s">
        <v>372</v>
      </c>
      <c r="E139" s="208">
        <v>2.0</v>
      </c>
      <c r="F139" s="209">
        <v>304.5</v>
      </c>
      <c r="G139" s="210">
        <f t="shared" si="15"/>
        <v>609</v>
      </c>
      <c r="H139" s="211"/>
      <c r="I139" s="212">
        <f t="shared" si="16"/>
        <v>0</v>
      </c>
      <c r="J139" s="211"/>
      <c r="K139" s="212">
        <f t="shared" si="17"/>
        <v>0</v>
      </c>
      <c r="L139" s="212">
        <v>21.0</v>
      </c>
      <c r="M139" s="212">
        <f t="shared" si="18"/>
        <v>736.89</v>
      </c>
      <c r="N139" s="212">
        <v>0.068</v>
      </c>
      <c r="O139" s="212">
        <f t="shared" si="19"/>
        <v>0.14</v>
      </c>
      <c r="P139" s="212">
        <v>0.0</v>
      </c>
      <c r="Q139" s="212">
        <f t="shared" si="20"/>
        <v>0</v>
      </c>
      <c r="R139" s="212" t="s">
        <v>322</v>
      </c>
      <c r="S139" s="212" t="s">
        <v>184</v>
      </c>
      <c r="T139" s="212" t="s">
        <v>184</v>
      </c>
      <c r="U139" s="212">
        <v>0.0</v>
      </c>
      <c r="V139" s="212">
        <f t="shared" si="21"/>
        <v>0</v>
      </c>
      <c r="W139" s="212"/>
      <c r="X139" s="212" t="s">
        <v>323</v>
      </c>
      <c r="Y139" s="213"/>
      <c r="Z139" s="213"/>
      <c r="AA139" s="213"/>
      <c r="AB139" s="213"/>
      <c r="AC139" s="213"/>
      <c r="AD139" s="213"/>
      <c r="AE139" s="213"/>
      <c r="AF139" s="213"/>
      <c r="AG139" s="213" t="s">
        <v>324</v>
      </c>
      <c r="AH139" s="213"/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</row>
    <row r="140" ht="12.75" customHeight="1" outlineLevel="1">
      <c r="A140" s="204">
        <v>41.0</v>
      </c>
      <c r="B140" s="205" t="s">
        <v>596</v>
      </c>
      <c r="C140" s="206" t="s">
        <v>597</v>
      </c>
      <c r="D140" s="207" t="s">
        <v>372</v>
      </c>
      <c r="E140" s="208">
        <v>1.0</v>
      </c>
      <c r="F140" s="209">
        <v>1727.0</v>
      </c>
      <c r="G140" s="210">
        <f t="shared" si="15"/>
        <v>1727</v>
      </c>
      <c r="H140" s="211"/>
      <c r="I140" s="212">
        <f t="shared" si="16"/>
        <v>0</v>
      </c>
      <c r="J140" s="211"/>
      <c r="K140" s="212">
        <f t="shared" si="17"/>
        <v>0</v>
      </c>
      <c r="L140" s="212">
        <v>21.0</v>
      </c>
      <c r="M140" s="212">
        <f t="shared" si="18"/>
        <v>2089.67</v>
      </c>
      <c r="N140" s="212">
        <v>0.585</v>
      </c>
      <c r="O140" s="212">
        <f t="shared" si="19"/>
        <v>0.59</v>
      </c>
      <c r="P140" s="212">
        <v>0.0</v>
      </c>
      <c r="Q140" s="212">
        <f t="shared" si="20"/>
        <v>0</v>
      </c>
      <c r="R140" s="212" t="s">
        <v>322</v>
      </c>
      <c r="S140" s="212" t="s">
        <v>184</v>
      </c>
      <c r="T140" s="212" t="s">
        <v>184</v>
      </c>
      <c r="U140" s="212">
        <v>0.0</v>
      </c>
      <c r="V140" s="212">
        <f t="shared" si="21"/>
        <v>0</v>
      </c>
      <c r="W140" s="212"/>
      <c r="X140" s="212" t="s">
        <v>323</v>
      </c>
      <c r="Y140" s="213"/>
      <c r="Z140" s="213"/>
      <c r="AA140" s="213"/>
      <c r="AB140" s="213"/>
      <c r="AC140" s="213"/>
      <c r="AD140" s="213"/>
      <c r="AE140" s="213"/>
      <c r="AF140" s="213"/>
      <c r="AG140" s="213" t="s">
        <v>324</v>
      </c>
      <c r="AH140" s="213"/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</row>
    <row r="141" ht="12.75" customHeight="1" outlineLevel="1">
      <c r="A141" s="204">
        <v>42.0</v>
      </c>
      <c r="B141" s="205" t="s">
        <v>598</v>
      </c>
      <c r="C141" s="206" t="s">
        <v>599</v>
      </c>
      <c r="D141" s="207" t="s">
        <v>372</v>
      </c>
      <c r="E141" s="208">
        <v>1.0</v>
      </c>
      <c r="F141" s="209">
        <v>9915.0</v>
      </c>
      <c r="G141" s="210">
        <f t="shared" si="15"/>
        <v>9915</v>
      </c>
      <c r="H141" s="211"/>
      <c r="I141" s="212">
        <f t="shared" si="16"/>
        <v>0</v>
      </c>
      <c r="J141" s="211"/>
      <c r="K141" s="212">
        <f t="shared" si="17"/>
        <v>0</v>
      </c>
      <c r="L141" s="212">
        <v>21.0</v>
      </c>
      <c r="M141" s="212">
        <f t="shared" si="18"/>
        <v>11997.15</v>
      </c>
      <c r="N141" s="212">
        <v>1.6</v>
      </c>
      <c r="O141" s="212">
        <f t="shared" si="19"/>
        <v>1.6</v>
      </c>
      <c r="P141" s="212">
        <v>0.0</v>
      </c>
      <c r="Q141" s="212">
        <f t="shared" si="20"/>
        <v>0</v>
      </c>
      <c r="R141" s="212" t="s">
        <v>322</v>
      </c>
      <c r="S141" s="212" t="s">
        <v>184</v>
      </c>
      <c r="T141" s="212" t="s">
        <v>184</v>
      </c>
      <c r="U141" s="212">
        <v>0.0</v>
      </c>
      <c r="V141" s="212">
        <f t="shared" si="21"/>
        <v>0</v>
      </c>
      <c r="W141" s="212"/>
      <c r="X141" s="212" t="s">
        <v>323</v>
      </c>
      <c r="Y141" s="213"/>
      <c r="Z141" s="213"/>
      <c r="AA141" s="213"/>
      <c r="AB141" s="213"/>
      <c r="AC141" s="213"/>
      <c r="AD141" s="213"/>
      <c r="AE141" s="213"/>
      <c r="AF141" s="213"/>
      <c r="AG141" s="213" t="s">
        <v>324</v>
      </c>
      <c r="AH141" s="213"/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</row>
    <row r="142" ht="12.75" customHeight="1" outlineLevel="1">
      <c r="A142" s="204">
        <v>43.0</v>
      </c>
      <c r="B142" s="205" t="s">
        <v>600</v>
      </c>
      <c r="C142" s="206" t="s">
        <v>601</v>
      </c>
      <c r="D142" s="207" t="s">
        <v>372</v>
      </c>
      <c r="E142" s="208">
        <v>6.0</v>
      </c>
      <c r="F142" s="209">
        <v>208.0</v>
      </c>
      <c r="G142" s="210">
        <f t="shared" si="15"/>
        <v>1248</v>
      </c>
      <c r="H142" s="211"/>
      <c r="I142" s="212">
        <f t="shared" si="16"/>
        <v>0</v>
      </c>
      <c r="J142" s="211"/>
      <c r="K142" s="212">
        <f t="shared" si="17"/>
        <v>0</v>
      </c>
      <c r="L142" s="212">
        <v>21.0</v>
      </c>
      <c r="M142" s="212">
        <f t="shared" si="18"/>
        <v>1510.08</v>
      </c>
      <c r="N142" s="212">
        <v>0.002</v>
      </c>
      <c r="O142" s="212">
        <f t="shared" si="19"/>
        <v>0.01</v>
      </c>
      <c r="P142" s="212">
        <v>0.0</v>
      </c>
      <c r="Q142" s="212">
        <f t="shared" si="20"/>
        <v>0</v>
      </c>
      <c r="R142" s="212" t="s">
        <v>322</v>
      </c>
      <c r="S142" s="212" t="s">
        <v>184</v>
      </c>
      <c r="T142" s="212" t="s">
        <v>184</v>
      </c>
      <c r="U142" s="212">
        <v>0.0</v>
      </c>
      <c r="V142" s="212">
        <f t="shared" si="21"/>
        <v>0</v>
      </c>
      <c r="W142" s="212"/>
      <c r="X142" s="212" t="s">
        <v>323</v>
      </c>
      <c r="Y142" s="213"/>
      <c r="Z142" s="213"/>
      <c r="AA142" s="213"/>
      <c r="AB142" s="213"/>
      <c r="AC142" s="213"/>
      <c r="AD142" s="213"/>
      <c r="AE142" s="213"/>
      <c r="AF142" s="213"/>
      <c r="AG142" s="213" t="s">
        <v>324</v>
      </c>
      <c r="AH142" s="213"/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</row>
    <row r="143" ht="12.75" customHeight="1">
      <c r="A143" s="196" t="s">
        <v>173</v>
      </c>
      <c r="B143" s="197" t="s">
        <v>122</v>
      </c>
      <c r="C143" s="198" t="s">
        <v>123</v>
      </c>
      <c r="D143" s="199"/>
      <c r="E143" s="200"/>
      <c r="F143" s="201"/>
      <c r="G143" s="202">
        <f>SUMIF(AG144:AG147,"&lt;&gt;NOR",G144:G147)</f>
        <v>2890.58</v>
      </c>
      <c r="H143" s="203"/>
      <c r="I143" s="203">
        <f>SUM(I144:I147)</f>
        <v>0</v>
      </c>
      <c r="J143" s="203"/>
      <c r="K143" s="203">
        <f>SUM(K144:K147)</f>
        <v>0</v>
      </c>
      <c r="L143" s="203"/>
      <c r="M143" s="203">
        <f>SUM(M144:M147)</f>
        <v>3497.6018</v>
      </c>
      <c r="N143" s="203"/>
      <c r="O143" s="203">
        <f>SUM(O144:O147)</f>
        <v>0</v>
      </c>
      <c r="P143" s="203"/>
      <c r="Q143" s="203">
        <f>SUM(Q144:Q147)</f>
        <v>0</v>
      </c>
      <c r="R143" s="203"/>
      <c r="S143" s="203"/>
      <c r="T143" s="203"/>
      <c r="U143" s="203"/>
      <c r="V143" s="203">
        <f>SUM(V144:V147)</f>
        <v>10.6</v>
      </c>
      <c r="W143" s="203"/>
      <c r="X143" s="203"/>
      <c r="AG143" s="184" t="s">
        <v>174</v>
      </c>
    </row>
    <row r="144" ht="12.75" customHeight="1" outlineLevel="1">
      <c r="A144" s="214">
        <v>44.0</v>
      </c>
      <c r="B144" s="215" t="s">
        <v>395</v>
      </c>
      <c r="C144" s="216" t="s">
        <v>396</v>
      </c>
      <c r="D144" s="217" t="s">
        <v>316</v>
      </c>
      <c r="E144" s="218">
        <v>23.46439</v>
      </c>
      <c r="F144" s="219">
        <v>123.19</v>
      </c>
      <c r="G144" s="220">
        <f>ROUND(E144*F144,2)</f>
        <v>2890.58</v>
      </c>
      <c r="H144" s="211"/>
      <c r="I144" s="212">
        <f>ROUND(E144*H144,2)</f>
        <v>0</v>
      </c>
      <c r="J144" s="211"/>
      <c r="K144" s="212">
        <f>ROUND(E144*J144,2)</f>
        <v>0</v>
      </c>
      <c r="L144" s="212">
        <v>21.0</v>
      </c>
      <c r="M144" s="212">
        <f>G144*(1+L144/100)</f>
        <v>3497.6018</v>
      </c>
      <c r="N144" s="212">
        <v>0.0</v>
      </c>
      <c r="O144" s="212">
        <f>ROUND(E144*N144,2)</f>
        <v>0</v>
      </c>
      <c r="P144" s="212">
        <v>0.0</v>
      </c>
      <c r="Q144" s="212">
        <f>ROUND(E144*P144,2)</f>
        <v>0</v>
      </c>
      <c r="R144" s="212"/>
      <c r="S144" s="212" t="s">
        <v>184</v>
      </c>
      <c r="T144" s="212" t="s">
        <v>184</v>
      </c>
      <c r="U144" s="212">
        <v>0.4518</v>
      </c>
      <c r="V144" s="212">
        <f>ROUND(E144*U144,2)</f>
        <v>10.6</v>
      </c>
      <c r="W144" s="212"/>
      <c r="X144" s="212" t="s">
        <v>397</v>
      </c>
      <c r="Y144" s="213"/>
      <c r="Z144" s="213"/>
      <c r="AA144" s="213"/>
      <c r="AB144" s="213"/>
      <c r="AC144" s="213"/>
      <c r="AD144" s="213"/>
      <c r="AE144" s="213"/>
      <c r="AF144" s="213"/>
      <c r="AG144" s="213" t="s">
        <v>398</v>
      </c>
      <c r="AH144" s="213"/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</row>
    <row r="145" ht="12.75" customHeight="1" outlineLevel="1">
      <c r="A145" s="235"/>
      <c r="B145" s="236"/>
      <c r="C145" s="237" t="s">
        <v>399</v>
      </c>
      <c r="D145" s="238"/>
      <c r="E145" s="239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3"/>
      <c r="Z145" s="213"/>
      <c r="AA145" s="213"/>
      <c r="AB145" s="213"/>
      <c r="AC145" s="213"/>
      <c r="AD145" s="213"/>
      <c r="AE145" s="213"/>
      <c r="AF145" s="213"/>
      <c r="AG145" s="213" t="s">
        <v>228</v>
      </c>
      <c r="AH145" s="213">
        <v>0.0</v>
      </c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</row>
    <row r="146" ht="12.75" customHeight="1" outlineLevel="1">
      <c r="A146" s="235"/>
      <c r="B146" s="236"/>
      <c r="C146" s="237" t="s">
        <v>602</v>
      </c>
      <c r="D146" s="238"/>
      <c r="E146" s="239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3"/>
      <c r="Z146" s="213"/>
      <c r="AA146" s="213"/>
      <c r="AB146" s="213"/>
      <c r="AC146" s="213"/>
      <c r="AD146" s="213"/>
      <c r="AE146" s="213"/>
      <c r="AF146" s="213"/>
      <c r="AG146" s="213" t="s">
        <v>228</v>
      </c>
      <c r="AH146" s="213">
        <v>0.0</v>
      </c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</row>
    <row r="147" ht="12.75" customHeight="1" outlineLevel="1">
      <c r="A147" s="235"/>
      <c r="B147" s="236"/>
      <c r="C147" s="237" t="s">
        <v>603</v>
      </c>
      <c r="D147" s="238"/>
      <c r="E147" s="239">
        <v>23.46439</v>
      </c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3"/>
      <c r="Z147" s="213"/>
      <c r="AA147" s="213"/>
      <c r="AB147" s="213"/>
      <c r="AC147" s="213"/>
      <c r="AD147" s="213"/>
      <c r="AE147" s="213"/>
      <c r="AF147" s="213"/>
      <c r="AG147" s="213" t="s">
        <v>228</v>
      </c>
      <c r="AH147" s="213">
        <v>0.0</v>
      </c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</row>
    <row r="148" ht="12.75" customHeight="1">
      <c r="A148" s="175"/>
      <c r="B148" s="179"/>
      <c r="C148" s="221"/>
      <c r="D148" s="181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AE148" s="184">
        <v>15.0</v>
      </c>
      <c r="AF148" s="184">
        <v>21.0</v>
      </c>
      <c r="AG148" s="184" t="s">
        <v>160</v>
      </c>
    </row>
    <row r="149" ht="12.75" customHeight="1">
      <c r="A149" s="222"/>
      <c r="B149" s="223" t="s">
        <v>24</v>
      </c>
      <c r="C149" s="224"/>
      <c r="D149" s="225"/>
      <c r="E149" s="226"/>
      <c r="F149" s="226"/>
      <c r="G149" s="227">
        <f>G8+G48+G52+G65+G75+G95+G121+G143</f>
        <v>110566.6</v>
      </c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AE149" s="184">
        <f>SUMIF(L7:L147,AE148,G7:G147)</f>
        <v>0</v>
      </c>
      <c r="AF149" s="184">
        <f>SUMIF(L7:L147,AF148,G7:G147)</f>
        <v>110566.6</v>
      </c>
      <c r="AG149" s="184" t="s">
        <v>218</v>
      </c>
    </row>
    <row r="150" ht="12.75" customHeight="1">
      <c r="A150" s="175"/>
      <c r="B150" s="179"/>
      <c r="C150" s="221"/>
      <c r="D150" s="181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</row>
    <row r="151" ht="12.75" customHeight="1">
      <c r="A151" s="175"/>
      <c r="B151" s="179"/>
      <c r="C151" s="221"/>
      <c r="D151" s="181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</row>
    <row r="152" ht="12.75" customHeight="1">
      <c r="A152" s="175" t="s">
        <v>219</v>
      </c>
      <c r="D152" s="181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</row>
    <row r="153" ht="12.75" customHeight="1">
      <c r="A153" s="228"/>
      <c r="B153" s="27"/>
      <c r="C153" s="27"/>
      <c r="D153" s="27"/>
      <c r="E153" s="27"/>
      <c r="F153" s="27"/>
      <c r="G153" s="229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AG153" s="184" t="s">
        <v>220</v>
      </c>
    </row>
    <row r="154" ht="12.75" customHeight="1">
      <c r="A154" s="230"/>
      <c r="G154" s="231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</row>
    <row r="155" ht="12.75" customHeight="1">
      <c r="A155" s="230"/>
      <c r="G155" s="231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</row>
    <row r="156" ht="12.75" customHeight="1">
      <c r="A156" s="230"/>
      <c r="G156" s="231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</row>
    <row r="157" ht="12.75" customHeight="1">
      <c r="A157" s="232"/>
      <c r="B157" s="38"/>
      <c r="C157" s="38"/>
      <c r="D157" s="38"/>
      <c r="E157" s="38"/>
      <c r="F157" s="38"/>
      <c r="G157" s="233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</row>
    <row r="158" ht="12.75" customHeight="1">
      <c r="A158" s="175"/>
      <c r="B158" s="179"/>
      <c r="C158" s="221"/>
      <c r="D158" s="181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</row>
    <row r="159" ht="12.75" customHeight="1">
      <c r="B159" s="185"/>
      <c r="C159" s="234"/>
      <c r="D159" s="126"/>
      <c r="AG159" s="184" t="s">
        <v>221</v>
      </c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  <c r="D331" s="126"/>
    </row>
    <row r="332" ht="12.75" customHeight="1">
      <c r="B332" s="185"/>
      <c r="C332" s="185"/>
      <c r="D332" s="126"/>
    </row>
    <row r="333" ht="12.75" customHeight="1">
      <c r="B333" s="185"/>
      <c r="C333" s="185"/>
      <c r="D333" s="126"/>
    </row>
    <row r="334" ht="12.75" customHeight="1">
      <c r="B334" s="185"/>
      <c r="C334" s="185"/>
      <c r="D334" s="126"/>
    </row>
    <row r="335" ht="12.75" customHeight="1">
      <c r="B335" s="185"/>
      <c r="C335" s="185"/>
      <c r="D335" s="126"/>
    </row>
    <row r="336" ht="12.75" customHeight="1">
      <c r="B336" s="185"/>
      <c r="C336" s="185"/>
      <c r="D336" s="126"/>
    </row>
    <row r="337" ht="12.75" customHeight="1">
      <c r="B337" s="185"/>
      <c r="C337" s="185"/>
      <c r="D337" s="126"/>
    </row>
    <row r="338" ht="12.75" customHeight="1">
      <c r="B338" s="185"/>
      <c r="C338" s="185"/>
      <c r="D338" s="126"/>
    </row>
    <row r="339" ht="12.75" customHeight="1">
      <c r="B339" s="185"/>
      <c r="C339" s="185"/>
      <c r="D339" s="126"/>
    </row>
    <row r="340" ht="12.75" customHeight="1">
      <c r="B340" s="185"/>
      <c r="C340" s="185"/>
      <c r="D340" s="126"/>
    </row>
    <row r="341" ht="12.75" customHeight="1">
      <c r="B341" s="185"/>
      <c r="C341" s="185"/>
      <c r="D341" s="126"/>
    </row>
    <row r="342" ht="12.75" customHeight="1">
      <c r="B342" s="185"/>
      <c r="C342" s="185"/>
      <c r="D342" s="126"/>
    </row>
    <row r="343" ht="12.75" customHeight="1">
      <c r="B343" s="185"/>
      <c r="C343" s="185"/>
      <c r="D343" s="126"/>
    </row>
    <row r="344" ht="12.75" customHeight="1">
      <c r="B344" s="185"/>
      <c r="C344" s="185"/>
      <c r="D344" s="126"/>
    </row>
    <row r="345" ht="12.75" customHeight="1">
      <c r="B345" s="185"/>
      <c r="C345" s="185"/>
      <c r="D345" s="126"/>
    </row>
    <row r="346" ht="12.75" customHeight="1">
      <c r="B346" s="185"/>
      <c r="C346" s="185"/>
      <c r="D346" s="126"/>
    </row>
    <row r="347" ht="12.75" customHeight="1">
      <c r="B347" s="185"/>
      <c r="C347" s="185"/>
      <c r="D347" s="126"/>
    </row>
    <row r="348" ht="12.75" customHeight="1">
      <c r="B348" s="185"/>
      <c r="C348" s="185"/>
      <c r="D348" s="126"/>
    </row>
    <row r="349" ht="12.75" customHeight="1">
      <c r="B349" s="185"/>
      <c r="C349" s="185"/>
      <c r="D349" s="126"/>
    </row>
    <row r="350" ht="12.75" customHeight="1">
      <c r="B350" s="185"/>
      <c r="C350" s="185"/>
      <c r="D350" s="126"/>
    </row>
    <row r="351" ht="12.75" customHeight="1">
      <c r="B351" s="185"/>
      <c r="C351" s="185"/>
      <c r="D351" s="126"/>
    </row>
    <row r="352" ht="12.75" customHeight="1">
      <c r="B352" s="185"/>
      <c r="C352" s="185"/>
      <c r="D352" s="126"/>
    </row>
    <row r="353" ht="12.75" customHeight="1">
      <c r="B353" s="185"/>
      <c r="C353" s="185"/>
      <c r="D353" s="126"/>
    </row>
    <row r="354" ht="12.75" customHeight="1">
      <c r="B354" s="185"/>
      <c r="C354" s="185"/>
      <c r="D354" s="126"/>
    </row>
    <row r="355" ht="12.75" customHeight="1">
      <c r="B355" s="185"/>
      <c r="C355" s="185"/>
      <c r="D355" s="126"/>
    </row>
    <row r="356" ht="12.75" customHeight="1">
      <c r="B356" s="185"/>
      <c r="C356" s="185"/>
      <c r="D356" s="126"/>
    </row>
    <row r="357" ht="12.75" customHeight="1">
      <c r="B357" s="185"/>
      <c r="C357" s="185"/>
      <c r="D357" s="126"/>
    </row>
    <row r="358" ht="12.75" customHeight="1">
      <c r="B358" s="185"/>
      <c r="C358" s="185"/>
      <c r="D358" s="126"/>
    </row>
    <row r="359" ht="12.75" customHeight="1">
      <c r="B359" s="185"/>
      <c r="C359" s="185"/>
      <c r="D359" s="126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52:C152"/>
    <mergeCell ref="A153:G157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60</v>
      </c>
      <c r="C3" s="177" t="s">
        <v>61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60</v>
      </c>
      <c r="C4" s="188" t="s">
        <v>61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SUMIF(AG9:AG57,"&lt;&gt;NOR",G9:G57)</f>
        <v>178881.35</v>
      </c>
      <c r="H8" s="203"/>
      <c r="I8" s="203">
        <f>SUM(I9:I57)</f>
        <v>0</v>
      </c>
      <c r="J8" s="203"/>
      <c r="K8" s="203">
        <f>SUM(K9:K57)</f>
        <v>0</v>
      </c>
      <c r="L8" s="203"/>
      <c r="M8" s="203">
        <f>SUM(M9:M57)</f>
        <v>216446.4335</v>
      </c>
      <c r="N8" s="203"/>
      <c r="O8" s="203">
        <f>SUM(O9:O57)</f>
        <v>60.59</v>
      </c>
      <c r="P8" s="203"/>
      <c r="Q8" s="203">
        <f>SUM(Q9:Q57)</f>
        <v>0</v>
      </c>
      <c r="R8" s="203"/>
      <c r="S8" s="203"/>
      <c r="T8" s="203"/>
      <c r="U8" s="203"/>
      <c r="V8" s="203">
        <f>SUM(V9:V57)</f>
        <v>337.75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85.0476</v>
      </c>
      <c r="F9" s="219">
        <v>39.6</v>
      </c>
      <c r="G9" s="220">
        <f>ROUND(E9*F9,2)</f>
        <v>3367.88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4075.1348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7.14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604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605</v>
      </c>
      <c r="D12" s="241"/>
      <c r="E12" s="242">
        <v>170.0952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606</v>
      </c>
      <c r="D14" s="238"/>
      <c r="E14" s="239">
        <v>85.0476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170.0952</v>
      </c>
      <c r="F15" s="219">
        <v>214.5</v>
      </c>
      <c r="G15" s="220">
        <f>ROUND(E15*F15,2)</f>
        <v>36485.42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44147.3582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37.76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604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607</v>
      </c>
      <c r="D17" s="238"/>
      <c r="E17" s="239">
        <v>170.1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608</v>
      </c>
      <c r="C18" s="216" t="s">
        <v>609</v>
      </c>
      <c r="D18" s="217" t="s">
        <v>224</v>
      </c>
      <c r="E18" s="218">
        <v>309.264</v>
      </c>
      <c r="F18" s="219">
        <v>77.25</v>
      </c>
      <c r="G18" s="220">
        <f>ROUND(E18*F18,2)</f>
        <v>23890.64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28907.6744</v>
      </c>
      <c r="N18" s="212">
        <v>9.9E-4</v>
      </c>
      <c r="O18" s="212">
        <f>ROUND(E18*N18,2)</f>
        <v>0.31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0.236</v>
      </c>
      <c r="V18" s="212">
        <f>ROUND(E18*U18,2)</f>
        <v>72.99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604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610</v>
      </c>
      <c r="D20" s="238"/>
      <c r="E20" s="239">
        <v>309.26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611</v>
      </c>
      <c r="C21" s="216" t="s">
        <v>612</v>
      </c>
      <c r="D21" s="217" t="s">
        <v>224</v>
      </c>
      <c r="E21" s="218">
        <v>309.264</v>
      </c>
      <c r="F21" s="219">
        <v>38.63</v>
      </c>
      <c r="G21" s="220">
        <f>ROUND(E21*F21,2)</f>
        <v>11946.87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14455.7127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0.07</v>
      </c>
      <c r="V21" s="212">
        <f>ROUND(E21*U21,2)</f>
        <v>21.65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604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610</v>
      </c>
      <c r="D23" s="238"/>
      <c r="E23" s="239">
        <v>309.26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170.0952</v>
      </c>
      <c r="F24" s="219">
        <v>36.6</v>
      </c>
      <c r="G24" s="220">
        <f>ROUND(E24*F24,2)</f>
        <v>6225.48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7532.8308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6.63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604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607</v>
      </c>
      <c r="D26" s="238"/>
      <c r="E26" s="239">
        <v>170.1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170.0952</v>
      </c>
      <c r="F27" s="219">
        <v>64.0</v>
      </c>
      <c r="G27" s="220">
        <f>ROUND(E27*F27,2)</f>
        <v>10886.09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13172.1689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88.28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604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607</v>
      </c>
      <c r="D29" s="238"/>
      <c r="E29" s="239">
        <v>170.1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38.9802</v>
      </c>
      <c r="F30" s="219">
        <v>215.5</v>
      </c>
      <c r="G30" s="220">
        <f>ROUND(E30*F30,2)</f>
        <v>8400.23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10164.2783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0.43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613</v>
      </c>
      <c r="D32" s="238"/>
      <c r="E32" s="239">
        <v>38.98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614</v>
      </c>
      <c r="C33" s="216" t="s">
        <v>615</v>
      </c>
      <c r="D33" s="217" t="s">
        <v>234</v>
      </c>
      <c r="E33" s="218">
        <v>38.9802</v>
      </c>
      <c r="F33" s="219">
        <v>68.96</v>
      </c>
      <c r="G33" s="220">
        <f>ROUND(E33*F33,2)</f>
        <v>2688.07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3252.5647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0.652</v>
      </c>
      <c r="V33" s="212">
        <f>ROUND(E33*U33,2)</f>
        <v>25.42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613</v>
      </c>
      <c r="D35" s="238"/>
      <c r="E35" s="239">
        <v>38.98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38.9802</v>
      </c>
      <c r="F36" s="219">
        <v>15.1</v>
      </c>
      <c r="G36" s="220">
        <f>ROUND(E36*F36,2)</f>
        <v>588.6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712.206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0.35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613</v>
      </c>
      <c r="D38" s="238"/>
      <c r="E38" s="239">
        <v>38.98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131.1151</v>
      </c>
      <c r="F39" s="219">
        <v>169.0</v>
      </c>
      <c r="G39" s="220">
        <f>ROUND(E39*F39,2)</f>
        <v>22158.45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26811.7245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26.49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604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503</v>
      </c>
      <c r="D41" s="238"/>
      <c r="E41" s="239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616</v>
      </c>
      <c r="D42" s="238"/>
      <c r="E42" s="239">
        <v>131.12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14">
        <v>11.0</v>
      </c>
      <c r="B43" s="215" t="s">
        <v>311</v>
      </c>
      <c r="C43" s="216" t="s">
        <v>312</v>
      </c>
      <c r="D43" s="217" t="s">
        <v>234</v>
      </c>
      <c r="E43" s="218">
        <v>31.8929</v>
      </c>
      <c r="F43" s="219">
        <v>477.51</v>
      </c>
      <c r="G43" s="220">
        <f>ROUND(E43*F43,2)</f>
        <v>15229.18</v>
      </c>
      <c r="H43" s="211"/>
      <c r="I43" s="212">
        <f>ROUND(E43*H43,2)</f>
        <v>0</v>
      </c>
      <c r="J43" s="211"/>
      <c r="K43" s="212">
        <f>ROUND(E43*J43,2)</f>
        <v>0</v>
      </c>
      <c r="L43" s="212">
        <v>21.0</v>
      </c>
      <c r="M43" s="212">
        <f>G43*(1+L43/100)</f>
        <v>18427.3078</v>
      </c>
      <c r="N43" s="212">
        <v>0.0</v>
      </c>
      <c r="O43" s="212">
        <f>ROUND(E43*N43,2)</f>
        <v>0</v>
      </c>
      <c r="P43" s="212">
        <v>0.0</v>
      </c>
      <c r="Q43" s="212">
        <f>ROUND(E43*P43,2)</f>
        <v>0</v>
      </c>
      <c r="R43" s="212"/>
      <c r="S43" s="212" t="s">
        <v>184</v>
      </c>
      <c r="T43" s="212" t="s">
        <v>184</v>
      </c>
      <c r="U43" s="212">
        <v>1.587</v>
      </c>
      <c r="V43" s="212">
        <f>ROUND(E43*U43,2)</f>
        <v>50.61</v>
      </c>
      <c r="W43" s="212"/>
      <c r="X43" s="212" t="s">
        <v>225</v>
      </c>
      <c r="Y43" s="213"/>
      <c r="Z43" s="213"/>
      <c r="AA43" s="213"/>
      <c r="AB43" s="213"/>
      <c r="AC43" s="213"/>
      <c r="AD43" s="213"/>
      <c r="AE43" s="213"/>
      <c r="AF43" s="213"/>
      <c r="AG43" s="213" t="s">
        <v>226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604</v>
      </c>
      <c r="D44" s="238"/>
      <c r="E44" s="239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617</v>
      </c>
      <c r="D45" s="238"/>
      <c r="E45" s="239">
        <v>31.89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12.0</v>
      </c>
      <c r="B46" s="215" t="s">
        <v>314</v>
      </c>
      <c r="C46" s="216" t="s">
        <v>315</v>
      </c>
      <c r="D46" s="217" t="s">
        <v>316</v>
      </c>
      <c r="E46" s="218">
        <v>74.0624</v>
      </c>
      <c r="F46" s="219">
        <v>285.0</v>
      </c>
      <c r="G46" s="220">
        <f>ROUND(E46*F46,2)</f>
        <v>21107.78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25540.4138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184</v>
      </c>
      <c r="T46" s="212" t="s">
        <v>184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295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0" t="s">
        <v>236</v>
      </c>
      <c r="D48" s="241"/>
      <c r="E48" s="24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3" t="s">
        <v>618</v>
      </c>
      <c r="D49" s="241"/>
      <c r="E49" s="242">
        <v>38.98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2.0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40" t="s">
        <v>238</v>
      </c>
      <c r="D50" s="241"/>
      <c r="E50" s="24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619</v>
      </c>
      <c r="D51" s="238"/>
      <c r="E51" s="239">
        <v>74.06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13.0</v>
      </c>
      <c r="B52" s="215" t="s">
        <v>620</v>
      </c>
      <c r="C52" s="216" t="s">
        <v>621</v>
      </c>
      <c r="D52" s="217" t="s">
        <v>321</v>
      </c>
      <c r="E52" s="218">
        <v>60.2776</v>
      </c>
      <c r="F52" s="219">
        <v>263.89</v>
      </c>
      <c r="G52" s="220">
        <f>ROUND(E52*F52,2)</f>
        <v>15906.66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19247.0586</v>
      </c>
      <c r="N52" s="212">
        <v>1.0</v>
      </c>
      <c r="O52" s="212">
        <f>ROUND(E52*N52,2)</f>
        <v>60.28</v>
      </c>
      <c r="P52" s="212">
        <v>0.0</v>
      </c>
      <c r="Q52" s="212">
        <f>ROUND(E52*P52,2)</f>
        <v>0</v>
      </c>
      <c r="R52" s="212" t="s">
        <v>322</v>
      </c>
      <c r="S52" s="212" t="s">
        <v>184</v>
      </c>
      <c r="T52" s="212" t="s">
        <v>184</v>
      </c>
      <c r="U52" s="212">
        <v>0.0</v>
      </c>
      <c r="V52" s="212">
        <f>ROUND(E52*U52,2)</f>
        <v>0</v>
      </c>
      <c r="W52" s="212"/>
      <c r="X52" s="212" t="s">
        <v>323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324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604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0" t="s">
        <v>236</v>
      </c>
      <c r="D54" s="241"/>
      <c r="E54" s="24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3" t="s">
        <v>622</v>
      </c>
      <c r="D55" s="241"/>
      <c r="E55" s="242">
        <v>31.89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2.0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40" t="s">
        <v>238</v>
      </c>
      <c r="D56" s="241"/>
      <c r="E56" s="24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623</v>
      </c>
      <c r="D57" s="238"/>
      <c r="E57" s="239">
        <v>60.28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>
      <c r="A58" s="196" t="s">
        <v>173</v>
      </c>
      <c r="B58" s="197" t="s">
        <v>100</v>
      </c>
      <c r="C58" s="198" t="s">
        <v>101</v>
      </c>
      <c r="D58" s="199"/>
      <c r="E58" s="200"/>
      <c r="F58" s="201"/>
      <c r="G58" s="202">
        <f>SUMIF(AG59:AG67,"&lt;&gt;NOR",G59:G67)</f>
        <v>13691.41</v>
      </c>
      <c r="H58" s="203"/>
      <c r="I58" s="203">
        <f>SUM(I59:I67)</f>
        <v>0</v>
      </c>
      <c r="J58" s="203"/>
      <c r="K58" s="203">
        <f>SUM(K59:K67)</f>
        <v>0</v>
      </c>
      <c r="L58" s="203"/>
      <c r="M58" s="203">
        <f>SUM(M59:M67)</f>
        <v>16566.6061</v>
      </c>
      <c r="N58" s="203"/>
      <c r="O58" s="203">
        <f>SUM(O59:O67)</f>
        <v>10.84</v>
      </c>
      <c r="P58" s="203"/>
      <c r="Q58" s="203">
        <f>SUM(Q59:Q67)</f>
        <v>0</v>
      </c>
      <c r="R58" s="203"/>
      <c r="S58" s="203"/>
      <c r="T58" s="203"/>
      <c r="U58" s="203"/>
      <c r="V58" s="203">
        <f>SUM(V59:V67)</f>
        <v>17.46</v>
      </c>
      <c r="W58" s="203"/>
      <c r="X58" s="203"/>
      <c r="AG58" s="184" t="s">
        <v>174</v>
      </c>
    </row>
    <row r="59" ht="12.75" customHeight="1" outlineLevel="1">
      <c r="A59" s="214">
        <v>14.0</v>
      </c>
      <c r="B59" s="215" t="s">
        <v>347</v>
      </c>
      <c r="C59" s="216" t="s">
        <v>348</v>
      </c>
      <c r="D59" s="217" t="s">
        <v>234</v>
      </c>
      <c r="E59" s="218">
        <v>7.0873</v>
      </c>
      <c r="F59" s="219">
        <v>1010.69</v>
      </c>
      <c r="G59" s="220">
        <f>ROUND(E59*F59,2)</f>
        <v>7163.06</v>
      </c>
      <c r="H59" s="211"/>
      <c r="I59" s="212">
        <f>ROUND(E59*H59,2)</f>
        <v>0</v>
      </c>
      <c r="J59" s="211"/>
      <c r="K59" s="212">
        <f>ROUND(E59*J59,2)</f>
        <v>0</v>
      </c>
      <c r="L59" s="212">
        <v>21.0</v>
      </c>
      <c r="M59" s="212">
        <f>G59*(1+L59/100)</f>
        <v>8667.3026</v>
      </c>
      <c r="N59" s="212">
        <v>1.1322</v>
      </c>
      <c r="O59" s="212">
        <f>ROUND(E59*N59,2)</f>
        <v>8.02</v>
      </c>
      <c r="P59" s="212">
        <v>0.0</v>
      </c>
      <c r="Q59" s="212">
        <f>ROUND(E59*P59,2)</f>
        <v>0</v>
      </c>
      <c r="R59" s="212"/>
      <c r="S59" s="212" t="s">
        <v>184</v>
      </c>
      <c r="T59" s="212" t="s">
        <v>184</v>
      </c>
      <c r="U59" s="212">
        <v>1.695</v>
      </c>
      <c r="V59" s="212">
        <f>ROUND(E59*U59,2)</f>
        <v>12.01</v>
      </c>
      <c r="W59" s="212"/>
      <c r="X59" s="212" t="s">
        <v>225</v>
      </c>
      <c r="Y59" s="213"/>
      <c r="Z59" s="213"/>
      <c r="AA59" s="213"/>
      <c r="AB59" s="213"/>
      <c r="AC59" s="213"/>
      <c r="AD59" s="213"/>
      <c r="AE59" s="213"/>
      <c r="AF59" s="213"/>
      <c r="AG59" s="213" t="s">
        <v>226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604</v>
      </c>
      <c r="D60" s="238"/>
      <c r="E60" s="239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624</v>
      </c>
      <c r="D61" s="238"/>
      <c r="E61" s="239">
        <v>7.09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15.0</v>
      </c>
      <c r="B62" s="215" t="s">
        <v>625</v>
      </c>
      <c r="C62" s="216" t="s">
        <v>626</v>
      </c>
      <c r="D62" s="217" t="s">
        <v>234</v>
      </c>
      <c r="E62" s="218">
        <v>1.12</v>
      </c>
      <c r="F62" s="219">
        <v>3460.8</v>
      </c>
      <c r="G62" s="220">
        <f>ROUND(E62*F62,2)</f>
        <v>3876.1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4690.081</v>
      </c>
      <c r="N62" s="212">
        <v>2.5</v>
      </c>
      <c r="O62" s="212">
        <f>ROUND(E62*N62,2)</f>
        <v>2.8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1.192</v>
      </c>
      <c r="V62" s="212">
        <f>ROUND(E62*U62,2)</f>
        <v>1.34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226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627</v>
      </c>
      <c r="D63" s="238"/>
      <c r="E63" s="239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628</v>
      </c>
      <c r="D64" s="238"/>
      <c r="E64" s="239">
        <v>1.12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14">
        <v>16.0</v>
      </c>
      <c r="B65" s="215" t="s">
        <v>629</v>
      </c>
      <c r="C65" s="216" t="s">
        <v>630</v>
      </c>
      <c r="D65" s="217" t="s">
        <v>224</v>
      </c>
      <c r="E65" s="218">
        <v>5.0</v>
      </c>
      <c r="F65" s="219">
        <v>530.45</v>
      </c>
      <c r="G65" s="220">
        <f>ROUND(E65*F65,2)</f>
        <v>2652.25</v>
      </c>
      <c r="H65" s="211"/>
      <c r="I65" s="212">
        <f>ROUND(E65*H65,2)</f>
        <v>0</v>
      </c>
      <c r="J65" s="211"/>
      <c r="K65" s="212">
        <f>ROUND(E65*J65,2)</f>
        <v>0</v>
      </c>
      <c r="L65" s="212">
        <v>21.0</v>
      </c>
      <c r="M65" s="212">
        <f>G65*(1+L65/100)</f>
        <v>3209.2225</v>
      </c>
      <c r="N65" s="212">
        <v>0.00442</v>
      </c>
      <c r="O65" s="212">
        <f>ROUND(E65*N65,2)</f>
        <v>0.02</v>
      </c>
      <c r="P65" s="212">
        <v>0.0</v>
      </c>
      <c r="Q65" s="212">
        <f>ROUND(E65*P65,2)</f>
        <v>0</v>
      </c>
      <c r="R65" s="212"/>
      <c r="S65" s="212" t="s">
        <v>184</v>
      </c>
      <c r="T65" s="212" t="s">
        <v>184</v>
      </c>
      <c r="U65" s="212">
        <v>0.821</v>
      </c>
      <c r="V65" s="212">
        <f>ROUND(E65*U65,2)</f>
        <v>4.11</v>
      </c>
      <c r="W65" s="212"/>
      <c r="X65" s="212" t="s">
        <v>225</v>
      </c>
      <c r="Y65" s="213"/>
      <c r="Z65" s="213"/>
      <c r="AA65" s="213"/>
      <c r="AB65" s="213"/>
      <c r="AC65" s="213"/>
      <c r="AD65" s="213"/>
      <c r="AE65" s="213"/>
      <c r="AF65" s="213"/>
      <c r="AG65" s="213" t="s">
        <v>226</v>
      </c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627</v>
      </c>
      <c r="D66" s="238"/>
      <c r="E66" s="239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631</v>
      </c>
      <c r="D67" s="238"/>
      <c r="E67" s="239">
        <v>5.0</v>
      </c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>
      <c r="A68" s="196" t="s">
        <v>173</v>
      </c>
      <c r="B68" s="197" t="s">
        <v>106</v>
      </c>
      <c r="C68" s="198" t="s">
        <v>107</v>
      </c>
      <c r="D68" s="199"/>
      <c r="E68" s="200"/>
      <c r="F68" s="201"/>
      <c r="G68" s="202">
        <f>SUMIF(AG69:AG102,"&lt;&gt;NOR",G69:G102)</f>
        <v>280412.02</v>
      </c>
      <c r="H68" s="203"/>
      <c r="I68" s="203">
        <f>SUM(I69:I102)</f>
        <v>0</v>
      </c>
      <c r="J68" s="203"/>
      <c r="K68" s="203">
        <f>SUM(K69:K102)</f>
        <v>0</v>
      </c>
      <c r="L68" s="203"/>
      <c r="M68" s="203">
        <f>SUM(M69:M102)</f>
        <v>339298.5442</v>
      </c>
      <c r="N68" s="203"/>
      <c r="O68" s="203">
        <f>SUM(O69:O102)</f>
        <v>1.91</v>
      </c>
      <c r="P68" s="203"/>
      <c r="Q68" s="203">
        <f>SUM(Q69:Q102)</f>
        <v>0</v>
      </c>
      <c r="R68" s="203"/>
      <c r="S68" s="203"/>
      <c r="T68" s="203"/>
      <c r="U68" s="203"/>
      <c r="V68" s="203">
        <f>SUM(V69:V102)</f>
        <v>90.95</v>
      </c>
      <c r="W68" s="203"/>
      <c r="X68" s="203"/>
      <c r="AG68" s="184" t="s">
        <v>174</v>
      </c>
    </row>
    <row r="69" ht="12.75" customHeight="1" outlineLevel="1">
      <c r="A69" s="214">
        <v>17.0</v>
      </c>
      <c r="B69" s="215" t="s">
        <v>632</v>
      </c>
      <c r="C69" s="216" t="s">
        <v>633</v>
      </c>
      <c r="D69" s="217" t="s">
        <v>251</v>
      </c>
      <c r="E69" s="218">
        <v>64.43</v>
      </c>
      <c r="F69" s="219">
        <v>180.5</v>
      </c>
      <c r="G69" s="220">
        <f>ROUND(E69*F69,2)</f>
        <v>11629.62</v>
      </c>
      <c r="H69" s="211"/>
      <c r="I69" s="212">
        <f>ROUND(E69*H69,2)</f>
        <v>0</v>
      </c>
      <c r="J69" s="211"/>
      <c r="K69" s="212">
        <f>ROUND(E69*J69,2)</f>
        <v>0</v>
      </c>
      <c r="L69" s="212">
        <v>21.0</v>
      </c>
      <c r="M69" s="212">
        <f>G69*(1+L69/100)</f>
        <v>14071.8402</v>
      </c>
      <c r="N69" s="212">
        <v>0.0</v>
      </c>
      <c r="O69" s="212">
        <f>ROUND(E69*N69,2)</f>
        <v>0</v>
      </c>
      <c r="P69" s="212">
        <v>0.0</v>
      </c>
      <c r="Q69" s="212">
        <f>ROUND(E69*P69,2)</f>
        <v>0</v>
      </c>
      <c r="R69" s="212"/>
      <c r="S69" s="212" t="s">
        <v>184</v>
      </c>
      <c r="T69" s="212" t="s">
        <v>184</v>
      </c>
      <c r="U69" s="212">
        <v>0.536</v>
      </c>
      <c r="V69" s="212">
        <f>ROUND(E69*U69,2)</f>
        <v>34.53</v>
      </c>
      <c r="W69" s="212"/>
      <c r="X69" s="212" t="s">
        <v>225</v>
      </c>
      <c r="Y69" s="213"/>
      <c r="Z69" s="213"/>
      <c r="AA69" s="213"/>
      <c r="AB69" s="213"/>
      <c r="AC69" s="213"/>
      <c r="AD69" s="213"/>
      <c r="AE69" s="213"/>
      <c r="AF69" s="213"/>
      <c r="AG69" s="213" t="s">
        <v>226</v>
      </c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634</v>
      </c>
      <c r="D70" s="238"/>
      <c r="E70" s="239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635</v>
      </c>
      <c r="D71" s="238"/>
      <c r="E71" s="239">
        <v>64.43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14">
        <v>18.0</v>
      </c>
      <c r="B72" s="215" t="s">
        <v>636</v>
      </c>
      <c r="C72" s="216" t="s">
        <v>637</v>
      </c>
      <c r="D72" s="217" t="s">
        <v>372</v>
      </c>
      <c r="E72" s="218">
        <v>12.0</v>
      </c>
      <c r="F72" s="219">
        <v>1351.5</v>
      </c>
      <c r="G72" s="220">
        <f>ROUND(E72*F72,2)</f>
        <v>16218</v>
      </c>
      <c r="H72" s="211"/>
      <c r="I72" s="212">
        <f>ROUND(E72*H72,2)</f>
        <v>0</v>
      </c>
      <c r="J72" s="211"/>
      <c r="K72" s="212">
        <f>ROUND(E72*J72,2)</f>
        <v>0</v>
      </c>
      <c r="L72" s="212">
        <v>21.0</v>
      </c>
      <c r="M72" s="212">
        <f>G72*(1+L72/100)</f>
        <v>19623.78</v>
      </c>
      <c r="N72" s="212">
        <v>0.00139</v>
      </c>
      <c r="O72" s="212">
        <f>ROUND(E72*N72,2)</f>
        <v>0.02</v>
      </c>
      <c r="P72" s="212">
        <v>0.0</v>
      </c>
      <c r="Q72" s="212">
        <f>ROUND(E72*P72,2)</f>
        <v>0</v>
      </c>
      <c r="R72" s="212"/>
      <c r="S72" s="212" t="s">
        <v>184</v>
      </c>
      <c r="T72" s="212" t="s">
        <v>184</v>
      </c>
      <c r="U72" s="212">
        <v>2.1188</v>
      </c>
      <c r="V72" s="212">
        <f>ROUND(E72*U72,2)</f>
        <v>25.43</v>
      </c>
      <c r="W72" s="212"/>
      <c r="X72" s="212" t="s">
        <v>225</v>
      </c>
      <c r="Y72" s="213"/>
      <c r="Z72" s="213"/>
      <c r="AA72" s="213"/>
      <c r="AB72" s="213"/>
      <c r="AC72" s="213"/>
      <c r="AD72" s="213"/>
      <c r="AE72" s="213"/>
      <c r="AF72" s="213"/>
      <c r="AG72" s="213" t="s">
        <v>226</v>
      </c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638</v>
      </c>
      <c r="D73" s="238"/>
      <c r="E73" s="239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639</v>
      </c>
      <c r="D74" s="238"/>
      <c r="E74" s="239">
        <v>12.0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04">
        <v>19.0</v>
      </c>
      <c r="B75" s="205" t="s">
        <v>370</v>
      </c>
      <c r="C75" s="206" t="s">
        <v>640</v>
      </c>
      <c r="D75" s="207" t="s">
        <v>372</v>
      </c>
      <c r="E75" s="208">
        <v>1.0</v>
      </c>
      <c r="F75" s="209">
        <v>4770.0</v>
      </c>
      <c r="G75" s="210">
        <f t="shared" ref="G75:G89" si="1">ROUND(E75*F75,2)</f>
        <v>4770</v>
      </c>
      <c r="H75" s="211"/>
      <c r="I75" s="212">
        <f t="shared" ref="I75:I89" si="2">ROUND(E75*H75,2)</f>
        <v>0</v>
      </c>
      <c r="J75" s="211"/>
      <c r="K75" s="212">
        <f t="shared" ref="K75:K89" si="3">ROUND(E75*J75,2)</f>
        <v>0</v>
      </c>
      <c r="L75" s="212">
        <v>21.0</v>
      </c>
      <c r="M75" s="212">
        <f t="shared" ref="M75:M89" si="4">G75*(1+L75/100)</f>
        <v>5771.7</v>
      </c>
      <c r="N75" s="212">
        <v>0.0</v>
      </c>
      <c r="O75" s="212">
        <f t="shared" ref="O75:O89" si="5">ROUND(E75*N75,2)</f>
        <v>0</v>
      </c>
      <c r="P75" s="212">
        <v>0.0</v>
      </c>
      <c r="Q75" s="212">
        <f t="shared" ref="Q75:Q89" si="6">ROUND(E75*P75,2)</f>
        <v>0</v>
      </c>
      <c r="R75" s="212"/>
      <c r="S75" s="212" t="s">
        <v>178</v>
      </c>
      <c r="T75" s="212" t="s">
        <v>179</v>
      </c>
      <c r="U75" s="212">
        <v>0.0</v>
      </c>
      <c r="V75" s="212">
        <f t="shared" ref="V75:V89" si="7">ROUND(E75*U75,2)</f>
        <v>0</v>
      </c>
      <c r="W75" s="212"/>
      <c r="X75" s="212" t="s">
        <v>225</v>
      </c>
      <c r="Y75" s="213"/>
      <c r="Z75" s="213"/>
      <c r="AA75" s="213"/>
      <c r="AB75" s="213"/>
      <c r="AC75" s="213"/>
      <c r="AD75" s="213"/>
      <c r="AE75" s="213"/>
      <c r="AF75" s="213"/>
      <c r="AG75" s="213" t="s">
        <v>226</v>
      </c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04">
        <v>20.0</v>
      </c>
      <c r="B76" s="205" t="s">
        <v>375</v>
      </c>
      <c r="C76" s="206" t="s">
        <v>641</v>
      </c>
      <c r="D76" s="207" t="s">
        <v>372</v>
      </c>
      <c r="E76" s="208">
        <v>1.0</v>
      </c>
      <c r="F76" s="209">
        <v>8700.0</v>
      </c>
      <c r="G76" s="210">
        <f t="shared" si="1"/>
        <v>8700</v>
      </c>
      <c r="H76" s="211"/>
      <c r="I76" s="212">
        <f t="shared" si="2"/>
        <v>0</v>
      </c>
      <c r="J76" s="211"/>
      <c r="K76" s="212">
        <f t="shared" si="3"/>
        <v>0</v>
      </c>
      <c r="L76" s="212">
        <v>21.0</v>
      </c>
      <c r="M76" s="212">
        <f t="shared" si="4"/>
        <v>10527</v>
      </c>
      <c r="N76" s="212">
        <v>0.0</v>
      </c>
      <c r="O76" s="212">
        <f t="shared" si="5"/>
        <v>0</v>
      </c>
      <c r="P76" s="212">
        <v>0.0</v>
      </c>
      <c r="Q76" s="212">
        <f t="shared" si="6"/>
        <v>0</v>
      </c>
      <c r="R76" s="212"/>
      <c r="S76" s="212" t="s">
        <v>178</v>
      </c>
      <c r="T76" s="212" t="s">
        <v>179</v>
      </c>
      <c r="U76" s="212">
        <v>0.0</v>
      </c>
      <c r="V76" s="212">
        <f t="shared" si="7"/>
        <v>0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04">
        <v>21.0</v>
      </c>
      <c r="B77" s="205" t="s">
        <v>642</v>
      </c>
      <c r="C77" s="206" t="s">
        <v>643</v>
      </c>
      <c r="D77" s="207" t="s">
        <v>372</v>
      </c>
      <c r="E77" s="208">
        <v>1.0</v>
      </c>
      <c r="F77" s="209">
        <v>11200.0</v>
      </c>
      <c r="G77" s="210">
        <f t="shared" si="1"/>
        <v>11200</v>
      </c>
      <c r="H77" s="211"/>
      <c r="I77" s="212">
        <f t="shared" si="2"/>
        <v>0</v>
      </c>
      <c r="J77" s="211"/>
      <c r="K77" s="212">
        <f t="shared" si="3"/>
        <v>0</v>
      </c>
      <c r="L77" s="212">
        <v>21.0</v>
      </c>
      <c r="M77" s="212">
        <f t="shared" si="4"/>
        <v>13552</v>
      </c>
      <c r="N77" s="212">
        <v>0.0</v>
      </c>
      <c r="O77" s="212">
        <f t="shared" si="5"/>
        <v>0</v>
      </c>
      <c r="P77" s="212">
        <v>0.0</v>
      </c>
      <c r="Q77" s="212">
        <f t="shared" si="6"/>
        <v>0</v>
      </c>
      <c r="R77" s="212"/>
      <c r="S77" s="212" t="s">
        <v>178</v>
      </c>
      <c r="T77" s="212" t="s">
        <v>179</v>
      </c>
      <c r="U77" s="212">
        <v>0.0</v>
      </c>
      <c r="V77" s="212">
        <f t="shared" si="7"/>
        <v>0</v>
      </c>
      <c r="W77" s="212"/>
      <c r="X77" s="212" t="s">
        <v>225</v>
      </c>
      <c r="Y77" s="213"/>
      <c r="Z77" s="213"/>
      <c r="AA77" s="213"/>
      <c r="AB77" s="213"/>
      <c r="AC77" s="213"/>
      <c r="AD77" s="213"/>
      <c r="AE77" s="213"/>
      <c r="AF77" s="213"/>
      <c r="AG77" s="213" t="s">
        <v>226</v>
      </c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04">
        <v>22.0</v>
      </c>
      <c r="B78" s="205" t="s">
        <v>644</v>
      </c>
      <c r="C78" s="206" t="s">
        <v>645</v>
      </c>
      <c r="D78" s="207" t="s">
        <v>372</v>
      </c>
      <c r="E78" s="208">
        <v>1.0</v>
      </c>
      <c r="F78" s="209">
        <v>1730.5</v>
      </c>
      <c r="G78" s="210">
        <f t="shared" si="1"/>
        <v>1730.5</v>
      </c>
      <c r="H78" s="211"/>
      <c r="I78" s="212">
        <f t="shared" si="2"/>
        <v>0</v>
      </c>
      <c r="J78" s="211"/>
      <c r="K78" s="212">
        <f t="shared" si="3"/>
        <v>0</v>
      </c>
      <c r="L78" s="212">
        <v>21.0</v>
      </c>
      <c r="M78" s="212">
        <f t="shared" si="4"/>
        <v>2093.905</v>
      </c>
      <c r="N78" s="212">
        <v>0.0</v>
      </c>
      <c r="O78" s="212">
        <f t="shared" si="5"/>
        <v>0</v>
      </c>
      <c r="P78" s="212">
        <v>0.0</v>
      </c>
      <c r="Q78" s="212">
        <f t="shared" si="6"/>
        <v>0</v>
      </c>
      <c r="R78" s="212"/>
      <c r="S78" s="212" t="s">
        <v>178</v>
      </c>
      <c r="T78" s="212" t="s">
        <v>179</v>
      </c>
      <c r="U78" s="212">
        <v>0.0</v>
      </c>
      <c r="V78" s="212">
        <f t="shared" si="7"/>
        <v>0</v>
      </c>
      <c r="W78" s="212"/>
      <c r="X78" s="212" t="s">
        <v>225</v>
      </c>
      <c r="Y78" s="213"/>
      <c r="Z78" s="213"/>
      <c r="AA78" s="213"/>
      <c r="AB78" s="213"/>
      <c r="AC78" s="213"/>
      <c r="AD78" s="213"/>
      <c r="AE78" s="213"/>
      <c r="AF78" s="213"/>
      <c r="AG78" s="213" t="s">
        <v>226</v>
      </c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23.0</v>
      </c>
      <c r="B79" s="205" t="s">
        <v>646</v>
      </c>
      <c r="C79" s="206" t="s">
        <v>647</v>
      </c>
      <c r="D79" s="207" t="s">
        <v>372</v>
      </c>
      <c r="E79" s="208">
        <v>1.0</v>
      </c>
      <c r="F79" s="209">
        <v>2030.0</v>
      </c>
      <c r="G79" s="210">
        <f t="shared" si="1"/>
        <v>2030</v>
      </c>
      <c r="H79" s="211"/>
      <c r="I79" s="212">
        <f t="shared" si="2"/>
        <v>0</v>
      </c>
      <c r="J79" s="211"/>
      <c r="K79" s="212">
        <f t="shared" si="3"/>
        <v>0</v>
      </c>
      <c r="L79" s="212">
        <v>21.0</v>
      </c>
      <c r="M79" s="212">
        <f t="shared" si="4"/>
        <v>2456.3</v>
      </c>
      <c r="N79" s="212">
        <v>0.0</v>
      </c>
      <c r="O79" s="212">
        <f t="shared" si="5"/>
        <v>0</v>
      </c>
      <c r="P79" s="212">
        <v>0.0</v>
      </c>
      <c r="Q79" s="212">
        <f t="shared" si="6"/>
        <v>0</v>
      </c>
      <c r="R79" s="212"/>
      <c r="S79" s="212" t="s">
        <v>178</v>
      </c>
      <c r="T79" s="212" t="s">
        <v>179</v>
      </c>
      <c r="U79" s="212">
        <v>0.0</v>
      </c>
      <c r="V79" s="212">
        <f t="shared" si="7"/>
        <v>0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04">
        <v>24.0</v>
      </c>
      <c r="B80" s="205" t="s">
        <v>648</v>
      </c>
      <c r="C80" s="206" t="s">
        <v>649</v>
      </c>
      <c r="D80" s="207" t="s">
        <v>372</v>
      </c>
      <c r="E80" s="208">
        <v>1.0</v>
      </c>
      <c r="F80" s="209">
        <v>3905.0</v>
      </c>
      <c r="G80" s="210">
        <f t="shared" si="1"/>
        <v>3905</v>
      </c>
      <c r="H80" s="211"/>
      <c r="I80" s="212">
        <f t="shared" si="2"/>
        <v>0</v>
      </c>
      <c r="J80" s="211"/>
      <c r="K80" s="212">
        <f t="shared" si="3"/>
        <v>0</v>
      </c>
      <c r="L80" s="212">
        <v>21.0</v>
      </c>
      <c r="M80" s="212">
        <f t="shared" si="4"/>
        <v>4725.05</v>
      </c>
      <c r="N80" s="212">
        <v>0.0</v>
      </c>
      <c r="O80" s="212">
        <f t="shared" si="5"/>
        <v>0</v>
      </c>
      <c r="P80" s="212">
        <v>0.0</v>
      </c>
      <c r="Q80" s="212">
        <f t="shared" si="6"/>
        <v>0</v>
      </c>
      <c r="R80" s="212"/>
      <c r="S80" s="212" t="s">
        <v>178</v>
      </c>
      <c r="T80" s="212" t="s">
        <v>179</v>
      </c>
      <c r="U80" s="212">
        <v>0.0</v>
      </c>
      <c r="V80" s="212">
        <f t="shared" si="7"/>
        <v>0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04">
        <v>25.0</v>
      </c>
      <c r="B81" s="205" t="s">
        <v>650</v>
      </c>
      <c r="C81" s="206" t="s">
        <v>651</v>
      </c>
      <c r="D81" s="207" t="s">
        <v>372</v>
      </c>
      <c r="E81" s="208">
        <v>2.0</v>
      </c>
      <c r="F81" s="209">
        <v>1704.5</v>
      </c>
      <c r="G81" s="210">
        <f t="shared" si="1"/>
        <v>3409</v>
      </c>
      <c r="H81" s="211"/>
      <c r="I81" s="212">
        <f t="shared" si="2"/>
        <v>0</v>
      </c>
      <c r="J81" s="211"/>
      <c r="K81" s="212">
        <f t="shared" si="3"/>
        <v>0</v>
      </c>
      <c r="L81" s="212">
        <v>21.0</v>
      </c>
      <c r="M81" s="212">
        <f t="shared" si="4"/>
        <v>4124.89</v>
      </c>
      <c r="N81" s="212">
        <v>0.0</v>
      </c>
      <c r="O81" s="212">
        <f t="shared" si="5"/>
        <v>0</v>
      </c>
      <c r="P81" s="212">
        <v>0.0</v>
      </c>
      <c r="Q81" s="212">
        <f t="shared" si="6"/>
        <v>0</v>
      </c>
      <c r="R81" s="212"/>
      <c r="S81" s="212" t="s">
        <v>178</v>
      </c>
      <c r="T81" s="212" t="s">
        <v>179</v>
      </c>
      <c r="U81" s="212">
        <v>0.0</v>
      </c>
      <c r="V81" s="212">
        <f t="shared" si="7"/>
        <v>0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04">
        <v>26.0</v>
      </c>
      <c r="B82" s="205" t="s">
        <v>652</v>
      </c>
      <c r="C82" s="206" t="s">
        <v>653</v>
      </c>
      <c r="D82" s="207" t="s">
        <v>372</v>
      </c>
      <c r="E82" s="208">
        <v>1.0</v>
      </c>
      <c r="F82" s="209">
        <v>766.0</v>
      </c>
      <c r="G82" s="210">
        <f t="shared" si="1"/>
        <v>766</v>
      </c>
      <c r="H82" s="211"/>
      <c r="I82" s="212">
        <f t="shared" si="2"/>
        <v>0</v>
      </c>
      <c r="J82" s="211"/>
      <c r="K82" s="212">
        <f t="shared" si="3"/>
        <v>0</v>
      </c>
      <c r="L82" s="212">
        <v>21.0</v>
      </c>
      <c r="M82" s="212">
        <f t="shared" si="4"/>
        <v>926.86</v>
      </c>
      <c r="N82" s="212">
        <v>0.0</v>
      </c>
      <c r="O82" s="212">
        <f t="shared" si="5"/>
        <v>0</v>
      </c>
      <c r="P82" s="212">
        <v>0.0</v>
      </c>
      <c r="Q82" s="212">
        <f t="shared" si="6"/>
        <v>0</v>
      </c>
      <c r="R82" s="212"/>
      <c r="S82" s="212" t="s">
        <v>178</v>
      </c>
      <c r="T82" s="212" t="s">
        <v>179</v>
      </c>
      <c r="U82" s="212">
        <v>0.0</v>
      </c>
      <c r="V82" s="212">
        <f t="shared" si="7"/>
        <v>0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04">
        <v>27.0</v>
      </c>
      <c r="B83" s="205" t="s">
        <v>654</v>
      </c>
      <c r="C83" s="206" t="s">
        <v>655</v>
      </c>
      <c r="D83" s="207" t="s">
        <v>372</v>
      </c>
      <c r="E83" s="208">
        <v>2.0</v>
      </c>
      <c r="F83" s="209">
        <v>631.0</v>
      </c>
      <c r="G83" s="210">
        <f t="shared" si="1"/>
        <v>1262</v>
      </c>
      <c r="H83" s="211"/>
      <c r="I83" s="212">
        <f t="shared" si="2"/>
        <v>0</v>
      </c>
      <c r="J83" s="211"/>
      <c r="K83" s="212">
        <f t="shared" si="3"/>
        <v>0</v>
      </c>
      <c r="L83" s="212">
        <v>21.0</v>
      </c>
      <c r="M83" s="212">
        <f t="shared" si="4"/>
        <v>1527.02</v>
      </c>
      <c r="N83" s="212">
        <v>0.0</v>
      </c>
      <c r="O83" s="212">
        <f t="shared" si="5"/>
        <v>0</v>
      </c>
      <c r="P83" s="212">
        <v>0.0</v>
      </c>
      <c r="Q83" s="212">
        <f t="shared" si="6"/>
        <v>0</v>
      </c>
      <c r="R83" s="212"/>
      <c r="S83" s="212" t="s">
        <v>178</v>
      </c>
      <c r="T83" s="212" t="s">
        <v>179</v>
      </c>
      <c r="U83" s="212">
        <v>0.0</v>
      </c>
      <c r="V83" s="212">
        <f t="shared" si="7"/>
        <v>0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04">
        <v>28.0</v>
      </c>
      <c r="B84" s="205" t="s">
        <v>656</v>
      </c>
      <c r="C84" s="206" t="s">
        <v>657</v>
      </c>
      <c r="D84" s="207" t="s">
        <v>372</v>
      </c>
      <c r="E84" s="208">
        <v>1.0</v>
      </c>
      <c r="F84" s="209">
        <v>697.5</v>
      </c>
      <c r="G84" s="210">
        <f t="shared" si="1"/>
        <v>697.5</v>
      </c>
      <c r="H84" s="211"/>
      <c r="I84" s="212">
        <f t="shared" si="2"/>
        <v>0</v>
      </c>
      <c r="J84" s="211"/>
      <c r="K84" s="212">
        <f t="shared" si="3"/>
        <v>0</v>
      </c>
      <c r="L84" s="212">
        <v>21.0</v>
      </c>
      <c r="M84" s="212">
        <f t="shared" si="4"/>
        <v>843.975</v>
      </c>
      <c r="N84" s="212">
        <v>0.0</v>
      </c>
      <c r="O84" s="212">
        <f t="shared" si="5"/>
        <v>0</v>
      </c>
      <c r="P84" s="212">
        <v>0.0</v>
      </c>
      <c r="Q84" s="212">
        <f t="shared" si="6"/>
        <v>0</v>
      </c>
      <c r="R84" s="212"/>
      <c r="S84" s="212" t="s">
        <v>178</v>
      </c>
      <c r="T84" s="212" t="s">
        <v>179</v>
      </c>
      <c r="U84" s="212">
        <v>0.0</v>
      </c>
      <c r="V84" s="212">
        <f t="shared" si="7"/>
        <v>0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04">
        <v>29.0</v>
      </c>
      <c r="B85" s="205" t="s">
        <v>658</v>
      </c>
      <c r="C85" s="206" t="s">
        <v>659</v>
      </c>
      <c r="D85" s="207" t="s">
        <v>372</v>
      </c>
      <c r="E85" s="208">
        <v>20.0</v>
      </c>
      <c r="F85" s="209">
        <v>591.0</v>
      </c>
      <c r="G85" s="210">
        <f t="shared" si="1"/>
        <v>11820</v>
      </c>
      <c r="H85" s="211"/>
      <c r="I85" s="212">
        <f t="shared" si="2"/>
        <v>0</v>
      </c>
      <c r="J85" s="211"/>
      <c r="K85" s="212">
        <f t="shared" si="3"/>
        <v>0</v>
      </c>
      <c r="L85" s="212">
        <v>21.0</v>
      </c>
      <c r="M85" s="212">
        <f t="shared" si="4"/>
        <v>14302.2</v>
      </c>
      <c r="N85" s="212">
        <v>0.0</v>
      </c>
      <c r="O85" s="212">
        <f t="shared" si="5"/>
        <v>0</v>
      </c>
      <c r="P85" s="212">
        <v>0.0</v>
      </c>
      <c r="Q85" s="212">
        <f t="shared" si="6"/>
        <v>0</v>
      </c>
      <c r="R85" s="212"/>
      <c r="S85" s="212" t="s">
        <v>178</v>
      </c>
      <c r="T85" s="212" t="s">
        <v>179</v>
      </c>
      <c r="U85" s="212">
        <v>0.0</v>
      </c>
      <c r="V85" s="212">
        <f t="shared" si="7"/>
        <v>0</v>
      </c>
      <c r="W85" s="212"/>
      <c r="X85" s="212" t="s">
        <v>225</v>
      </c>
      <c r="Y85" s="213"/>
      <c r="Z85" s="213"/>
      <c r="AA85" s="213"/>
      <c r="AB85" s="213"/>
      <c r="AC85" s="213"/>
      <c r="AD85" s="213"/>
      <c r="AE85" s="213"/>
      <c r="AF85" s="213"/>
      <c r="AG85" s="213" t="s">
        <v>226</v>
      </c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04">
        <v>30.0</v>
      </c>
      <c r="B86" s="205" t="s">
        <v>660</v>
      </c>
      <c r="C86" s="206" t="s">
        <v>661</v>
      </c>
      <c r="D86" s="207" t="s">
        <v>372</v>
      </c>
      <c r="E86" s="208">
        <v>22.0</v>
      </c>
      <c r="F86" s="209">
        <v>533.5</v>
      </c>
      <c r="G86" s="210">
        <f t="shared" si="1"/>
        <v>11737</v>
      </c>
      <c r="H86" s="211"/>
      <c r="I86" s="212">
        <f t="shared" si="2"/>
        <v>0</v>
      </c>
      <c r="J86" s="211"/>
      <c r="K86" s="212">
        <f t="shared" si="3"/>
        <v>0</v>
      </c>
      <c r="L86" s="212">
        <v>21.0</v>
      </c>
      <c r="M86" s="212">
        <f t="shared" si="4"/>
        <v>14201.77</v>
      </c>
      <c r="N86" s="212">
        <v>0.0</v>
      </c>
      <c r="O86" s="212">
        <f t="shared" si="5"/>
        <v>0</v>
      </c>
      <c r="P86" s="212">
        <v>0.0</v>
      </c>
      <c r="Q86" s="212">
        <f t="shared" si="6"/>
        <v>0</v>
      </c>
      <c r="R86" s="212"/>
      <c r="S86" s="212" t="s">
        <v>178</v>
      </c>
      <c r="T86" s="212" t="s">
        <v>179</v>
      </c>
      <c r="U86" s="212">
        <v>0.0</v>
      </c>
      <c r="V86" s="212">
        <f t="shared" si="7"/>
        <v>0</v>
      </c>
      <c r="W86" s="212"/>
      <c r="X86" s="212" t="s">
        <v>225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226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04">
        <v>31.0</v>
      </c>
      <c r="B87" s="205" t="s">
        <v>662</v>
      </c>
      <c r="C87" s="206" t="s">
        <v>663</v>
      </c>
      <c r="D87" s="207" t="s">
        <v>251</v>
      </c>
      <c r="E87" s="208">
        <v>64.43</v>
      </c>
      <c r="F87" s="209">
        <v>61.0</v>
      </c>
      <c r="G87" s="210">
        <f t="shared" si="1"/>
        <v>3930.23</v>
      </c>
      <c r="H87" s="211"/>
      <c r="I87" s="212">
        <f t="shared" si="2"/>
        <v>0</v>
      </c>
      <c r="J87" s="211"/>
      <c r="K87" s="212">
        <f t="shared" si="3"/>
        <v>0</v>
      </c>
      <c r="L87" s="212">
        <v>21.0</v>
      </c>
      <c r="M87" s="212">
        <f t="shared" si="4"/>
        <v>4755.5783</v>
      </c>
      <c r="N87" s="212">
        <v>0.0</v>
      </c>
      <c r="O87" s="212">
        <f t="shared" si="5"/>
        <v>0</v>
      </c>
      <c r="P87" s="212">
        <v>0.0</v>
      </c>
      <c r="Q87" s="212">
        <f t="shared" si="6"/>
        <v>0</v>
      </c>
      <c r="R87" s="212"/>
      <c r="S87" s="212" t="s">
        <v>184</v>
      </c>
      <c r="T87" s="212" t="s">
        <v>184</v>
      </c>
      <c r="U87" s="212">
        <v>0.055</v>
      </c>
      <c r="V87" s="212">
        <f t="shared" si="7"/>
        <v>3.54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04">
        <v>32.0</v>
      </c>
      <c r="B88" s="205" t="s">
        <v>664</v>
      </c>
      <c r="C88" s="206" t="s">
        <v>665</v>
      </c>
      <c r="D88" s="207" t="s">
        <v>251</v>
      </c>
      <c r="E88" s="208">
        <v>64.43</v>
      </c>
      <c r="F88" s="209">
        <v>61.5</v>
      </c>
      <c r="G88" s="210">
        <f t="shared" si="1"/>
        <v>3962.45</v>
      </c>
      <c r="H88" s="211"/>
      <c r="I88" s="212">
        <f t="shared" si="2"/>
        <v>0</v>
      </c>
      <c r="J88" s="211"/>
      <c r="K88" s="212">
        <f t="shared" si="3"/>
        <v>0</v>
      </c>
      <c r="L88" s="212">
        <v>21.0</v>
      </c>
      <c r="M88" s="212">
        <f t="shared" si="4"/>
        <v>4794.5645</v>
      </c>
      <c r="N88" s="212">
        <v>0.0</v>
      </c>
      <c r="O88" s="212">
        <f t="shared" si="5"/>
        <v>0</v>
      </c>
      <c r="P88" s="212">
        <v>0.0</v>
      </c>
      <c r="Q88" s="212">
        <f t="shared" si="6"/>
        <v>0</v>
      </c>
      <c r="R88" s="212"/>
      <c r="S88" s="212" t="s">
        <v>184</v>
      </c>
      <c r="T88" s="212" t="s">
        <v>184</v>
      </c>
      <c r="U88" s="212">
        <v>0.4</v>
      </c>
      <c r="V88" s="212">
        <f t="shared" si="7"/>
        <v>25.77</v>
      </c>
      <c r="W88" s="212"/>
      <c r="X88" s="212" t="s">
        <v>225</v>
      </c>
      <c r="Y88" s="213"/>
      <c r="Z88" s="213"/>
      <c r="AA88" s="213"/>
      <c r="AB88" s="213"/>
      <c r="AC88" s="213"/>
      <c r="AD88" s="213"/>
      <c r="AE88" s="213"/>
      <c r="AF88" s="213"/>
      <c r="AG88" s="213" t="s">
        <v>226</v>
      </c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14">
        <v>33.0</v>
      </c>
      <c r="B89" s="215" t="s">
        <v>666</v>
      </c>
      <c r="C89" s="216" t="s">
        <v>667</v>
      </c>
      <c r="D89" s="217" t="s">
        <v>251</v>
      </c>
      <c r="E89" s="218">
        <v>64.43</v>
      </c>
      <c r="F89" s="219">
        <v>26.6</v>
      </c>
      <c r="G89" s="220">
        <f t="shared" si="1"/>
        <v>1713.84</v>
      </c>
      <c r="H89" s="211"/>
      <c r="I89" s="212">
        <f t="shared" si="2"/>
        <v>0</v>
      </c>
      <c r="J89" s="211"/>
      <c r="K89" s="212">
        <f t="shared" si="3"/>
        <v>0</v>
      </c>
      <c r="L89" s="212">
        <v>21.0</v>
      </c>
      <c r="M89" s="212">
        <f t="shared" si="4"/>
        <v>2073.7464</v>
      </c>
      <c r="N89" s="212">
        <v>0.0</v>
      </c>
      <c r="O89" s="212">
        <f t="shared" si="5"/>
        <v>0</v>
      </c>
      <c r="P89" s="212">
        <v>0.0</v>
      </c>
      <c r="Q89" s="212">
        <f t="shared" si="6"/>
        <v>0</v>
      </c>
      <c r="R89" s="212"/>
      <c r="S89" s="212" t="s">
        <v>184</v>
      </c>
      <c r="T89" s="212" t="s">
        <v>184</v>
      </c>
      <c r="U89" s="212">
        <v>0.026</v>
      </c>
      <c r="V89" s="212">
        <f t="shared" si="7"/>
        <v>1.68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35"/>
      <c r="B90" s="236"/>
      <c r="C90" s="237" t="s">
        <v>635</v>
      </c>
      <c r="D90" s="238"/>
      <c r="E90" s="239">
        <v>64.43</v>
      </c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3"/>
      <c r="Z90" s="213"/>
      <c r="AA90" s="213"/>
      <c r="AB90" s="213"/>
      <c r="AC90" s="213"/>
      <c r="AD90" s="213"/>
      <c r="AE90" s="213"/>
      <c r="AF90" s="213"/>
      <c r="AG90" s="213" t="s">
        <v>228</v>
      </c>
      <c r="AH90" s="213">
        <v>0.0</v>
      </c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14">
        <v>34.0</v>
      </c>
      <c r="B91" s="215" t="s">
        <v>572</v>
      </c>
      <c r="C91" s="216" t="s">
        <v>668</v>
      </c>
      <c r="D91" s="217" t="s">
        <v>251</v>
      </c>
      <c r="E91" s="218">
        <v>67.6515</v>
      </c>
      <c r="F91" s="219">
        <v>2250.0</v>
      </c>
      <c r="G91" s="220">
        <f>ROUND(E91*F91,2)</f>
        <v>152215.88</v>
      </c>
      <c r="H91" s="211"/>
      <c r="I91" s="212">
        <f>ROUND(E91*H91,2)</f>
        <v>0</v>
      </c>
      <c r="J91" s="211"/>
      <c r="K91" s="212">
        <f>ROUND(E91*J91,2)</f>
        <v>0</v>
      </c>
      <c r="L91" s="212">
        <v>21.0</v>
      </c>
      <c r="M91" s="212">
        <f>G91*(1+L91/100)</f>
        <v>184181.2148</v>
      </c>
      <c r="N91" s="212">
        <v>0.028</v>
      </c>
      <c r="O91" s="212">
        <f>ROUND(E91*N91,2)</f>
        <v>1.89</v>
      </c>
      <c r="P91" s="212">
        <v>0.0</v>
      </c>
      <c r="Q91" s="212">
        <f>ROUND(E91*P91,2)</f>
        <v>0</v>
      </c>
      <c r="R91" s="212"/>
      <c r="S91" s="212" t="s">
        <v>178</v>
      </c>
      <c r="T91" s="212" t="s">
        <v>179</v>
      </c>
      <c r="U91" s="212">
        <v>0.0</v>
      </c>
      <c r="V91" s="212">
        <f>ROUND(E91*U91,2)</f>
        <v>0</v>
      </c>
      <c r="W91" s="212"/>
      <c r="X91" s="212" t="s">
        <v>225</v>
      </c>
      <c r="Y91" s="213"/>
      <c r="Z91" s="213"/>
      <c r="AA91" s="213"/>
      <c r="AB91" s="213"/>
      <c r="AC91" s="213"/>
      <c r="AD91" s="213"/>
      <c r="AE91" s="213"/>
      <c r="AF91" s="213"/>
      <c r="AG91" s="213" t="s">
        <v>226</v>
      </c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634</v>
      </c>
      <c r="D92" s="238"/>
      <c r="E92" s="239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669</v>
      </c>
      <c r="D93" s="238"/>
      <c r="E93" s="239">
        <v>67.65</v>
      </c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04">
        <v>35.0</v>
      </c>
      <c r="B94" s="205" t="s">
        <v>670</v>
      </c>
      <c r="C94" s="206" t="s">
        <v>671</v>
      </c>
      <c r="D94" s="207" t="s">
        <v>372</v>
      </c>
      <c r="E94" s="208">
        <v>1.0</v>
      </c>
      <c r="F94" s="209">
        <v>1881.5</v>
      </c>
      <c r="G94" s="210">
        <f t="shared" ref="G94:G102" si="8">ROUND(E94*F94,2)</f>
        <v>1881.5</v>
      </c>
      <c r="H94" s="211"/>
      <c r="I94" s="212">
        <f t="shared" ref="I94:I102" si="9">ROUND(E94*H94,2)</f>
        <v>0</v>
      </c>
      <c r="J94" s="211"/>
      <c r="K94" s="212">
        <f t="shared" ref="K94:K102" si="10">ROUND(E94*J94,2)</f>
        <v>0</v>
      </c>
      <c r="L94" s="212">
        <v>21.0</v>
      </c>
      <c r="M94" s="212">
        <f t="shared" ref="M94:M102" si="11">G94*(1+L94/100)</f>
        <v>2276.615</v>
      </c>
      <c r="N94" s="212">
        <v>0.0</v>
      </c>
      <c r="O94" s="212">
        <f t="shared" ref="O94:O102" si="12">ROUND(E94*N94,2)</f>
        <v>0</v>
      </c>
      <c r="P94" s="212">
        <v>0.0</v>
      </c>
      <c r="Q94" s="212">
        <f t="shared" ref="Q94:Q102" si="13">ROUND(E94*P94,2)</f>
        <v>0</v>
      </c>
      <c r="R94" s="212"/>
      <c r="S94" s="212" t="s">
        <v>178</v>
      </c>
      <c r="T94" s="212" t="s">
        <v>179</v>
      </c>
      <c r="U94" s="212">
        <v>0.0</v>
      </c>
      <c r="V94" s="212">
        <f t="shared" ref="V94:V102" si="14">ROUND(E94*U94,2)</f>
        <v>0</v>
      </c>
      <c r="W94" s="212"/>
      <c r="X94" s="212" t="s">
        <v>225</v>
      </c>
      <c r="Y94" s="213"/>
      <c r="Z94" s="213"/>
      <c r="AA94" s="213"/>
      <c r="AB94" s="213"/>
      <c r="AC94" s="213"/>
      <c r="AD94" s="213"/>
      <c r="AE94" s="213"/>
      <c r="AF94" s="213"/>
      <c r="AG94" s="213" t="s">
        <v>226</v>
      </c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04">
        <v>36.0</v>
      </c>
      <c r="B95" s="205" t="s">
        <v>672</v>
      </c>
      <c r="C95" s="206" t="s">
        <v>673</v>
      </c>
      <c r="D95" s="207" t="s">
        <v>372</v>
      </c>
      <c r="E95" s="208">
        <v>1.0</v>
      </c>
      <c r="F95" s="209">
        <v>2095.0</v>
      </c>
      <c r="G95" s="210">
        <f t="shared" si="8"/>
        <v>2095</v>
      </c>
      <c r="H95" s="211"/>
      <c r="I95" s="212">
        <f t="shared" si="9"/>
        <v>0</v>
      </c>
      <c r="J95" s="211"/>
      <c r="K95" s="212">
        <f t="shared" si="10"/>
        <v>0</v>
      </c>
      <c r="L95" s="212">
        <v>21.0</v>
      </c>
      <c r="M95" s="212">
        <f t="shared" si="11"/>
        <v>2534.95</v>
      </c>
      <c r="N95" s="212">
        <v>0.0</v>
      </c>
      <c r="O95" s="212">
        <f t="shared" si="12"/>
        <v>0</v>
      </c>
      <c r="P95" s="212">
        <v>0.0</v>
      </c>
      <c r="Q95" s="212">
        <f t="shared" si="13"/>
        <v>0</v>
      </c>
      <c r="R95" s="212"/>
      <c r="S95" s="212" t="s">
        <v>178</v>
      </c>
      <c r="T95" s="212" t="s">
        <v>179</v>
      </c>
      <c r="U95" s="212">
        <v>0.0</v>
      </c>
      <c r="V95" s="212">
        <f t="shared" si="14"/>
        <v>0</v>
      </c>
      <c r="W95" s="212"/>
      <c r="X95" s="212" t="s">
        <v>225</v>
      </c>
      <c r="Y95" s="213"/>
      <c r="Z95" s="213"/>
      <c r="AA95" s="213"/>
      <c r="AB95" s="213"/>
      <c r="AC95" s="213"/>
      <c r="AD95" s="213"/>
      <c r="AE95" s="213"/>
      <c r="AF95" s="213"/>
      <c r="AG95" s="213" t="s">
        <v>226</v>
      </c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04">
        <v>37.0</v>
      </c>
      <c r="B96" s="205" t="s">
        <v>674</v>
      </c>
      <c r="C96" s="206" t="s">
        <v>675</v>
      </c>
      <c r="D96" s="207" t="s">
        <v>372</v>
      </c>
      <c r="E96" s="208">
        <v>1.0</v>
      </c>
      <c r="F96" s="209">
        <v>1098.5</v>
      </c>
      <c r="G96" s="210">
        <f t="shared" si="8"/>
        <v>1098.5</v>
      </c>
      <c r="H96" s="211"/>
      <c r="I96" s="212">
        <f t="shared" si="9"/>
        <v>0</v>
      </c>
      <c r="J96" s="211"/>
      <c r="K96" s="212">
        <f t="shared" si="10"/>
        <v>0</v>
      </c>
      <c r="L96" s="212">
        <v>21.0</v>
      </c>
      <c r="M96" s="212">
        <f t="shared" si="11"/>
        <v>1329.185</v>
      </c>
      <c r="N96" s="212">
        <v>0.0</v>
      </c>
      <c r="O96" s="212">
        <f t="shared" si="12"/>
        <v>0</v>
      </c>
      <c r="P96" s="212">
        <v>0.0</v>
      </c>
      <c r="Q96" s="212">
        <f t="shared" si="13"/>
        <v>0</v>
      </c>
      <c r="R96" s="212"/>
      <c r="S96" s="212" t="s">
        <v>178</v>
      </c>
      <c r="T96" s="212" t="s">
        <v>179</v>
      </c>
      <c r="U96" s="212">
        <v>0.0</v>
      </c>
      <c r="V96" s="212">
        <f t="shared" si="14"/>
        <v>0</v>
      </c>
      <c r="W96" s="212"/>
      <c r="X96" s="212" t="s">
        <v>225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226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04">
        <v>38.0</v>
      </c>
      <c r="B97" s="205" t="s">
        <v>676</v>
      </c>
      <c r="C97" s="206" t="s">
        <v>677</v>
      </c>
      <c r="D97" s="207" t="s">
        <v>372</v>
      </c>
      <c r="E97" s="208">
        <v>1.0</v>
      </c>
      <c r="F97" s="209">
        <v>1336.0</v>
      </c>
      <c r="G97" s="210">
        <f t="shared" si="8"/>
        <v>1336</v>
      </c>
      <c r="H97" s="211"/>
      <c r="I97" s="212">
        <f t="shared" si="9"/>
        <v>0</v>
      </c>
      <c r="J97" s="211"/>
      <c r="K97" s="212">
        <f t="shared" si="10"/>
        <v>0</v>
      </c>
      <c r="L97" s="212">
        <v>21.0</v>
      </c>
      <c r="M97" s="212">
        <f t="shared" si="11"/>
        <v>1616.56</v>
      </c>
      <c r="N97" s="212">
        <v>0.0</v>
      </c>
      <c r="O97" s="212">
        <f t="shared" si="12"/>
        <v>0</v>
      </c>
      <c r="P97" s="212">
        <v>0.0</v>
      </c>
      <c r="Q97" s="212">
        <f t="shared" si="13"/>
        <v>0</v>
      </c>
      <c r="R97" s="212"/>
      <c r="S97" s="212" t="s">
        <v>178</v>
      </c>
      <c r="T97" s="212" t="s">
        <v>179</v>
      </c>
      <c r="U97" s="212">
        <v>0.0</v>
      </c>
      <c r="V97" s="212">
        <f t="shared" si="14"/>
        <v>0</v>
      </c>
      <c r="W97" s="212"/>
      <c r="X97" s="212" t="s">
        <v>225</v>
      </c>
      <c r="Y97" s="213"/>
      <c r="Z97" s="213"/>
      <c r="AA97" s="213"/>
      <c r="AB97" s="213"/>
      <c r="AC97" s="213"/>
      <c r="AD97" s="213"/>
      <c r="AE97" s="213"/>
      <c r="AF97" s="213"/>
      <c r="AG97" s="213" t="s">
        <v>226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04">
        <v>39.0</v>
      </c>
      <c r="B98" s="205" t="s">
        <v>678</v>
      </c>
      <c r="C98" s="206" t="s">
        <v>679</v>
      </c>
      <c r="D98" s="207" t="s">
        <v>372</v>
      </c>
      <c r="E98" s="208">
        <v>1.0</v>
      </c>
      <c r="F98" s="209">
        <v>3540.0</v>
      </c>
      <c r="G98" s="210">
        <f t="shared" si="8"/>
        <v>3540</v>
      </c>
      <c r="H98" s="211"/>
      <c r="I98" s="212">
        <f t="shared" si="9"/>
        <v>0</v>
      </c>
      <c r="J98" s="211"/>
      <c r="K98" s="212">
        <f t="shared" si="10"/>
        <v>0</v>
      </c>
      <c r="L98" s="212">
        <v>21.0</v>
      </c>
      <c r="M98" s="212">
        <f t="shared" si="11"/>
        <v>4283.4</v>
      </c>
      <c r="N98" s="212">
        <v>0.0</v>
      </c>
      <c r="O98" s="212">
        <f t="shared" si="12"/>
        <v>0</v>
      </c>
      <c r="P98" s="212">
        <v>0.0</v>
      </c>
      <c r="Q98" s="212">
        <f t="shared" si="13"/>
        <v>0</v>
      </c>
      <c r="R98" s="212"/>
      <c r="S98" s="212" t="s">
        <v>178</v>
      </c>
      <c r="T98" s="212" t="s">
        <v>179</v>
      </c>
      <c r="U98" s="212">
        <v>0.0</v>
      </c>
      <c r="V98" s="212">
        <f t="shared" si="14"/>
        <v>0</v>
      </c>
      <c r="W98" s="212"/>
      <c r="X98" s="212" t="s">
        <v>225</v>
      </c>
      <c r="Y98" s="213"/>
      <c r="Z98" s="213"/>
      <c r="AA98" s="213"/>
      <c r="AB98" s="213"/>
      <c r="AC98" s="213"/>
      <c r="AD98" s="213"/>
      <c r="AE98" s="213"/>
      <c r="AF98" s="213"/>
      <c r="AG98" s="213" t="s">
        <v>226</v>
      </c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04">
        <v>40.0</v>
      </c>
      <c r="B99" s="205" t="s">
        <v>680</v>
      </c>
      <c r="C99" s="206" t="s">
        <v>681</v>
      </c>
      <c r="D99" s="207" t="s">
        <v>372</v>
      </c>
      <c r="E99" s="208">
        <v>1.0</v>
      </c>
      <c r="F99" s="209">
        <v>3055.0</v>
      </c>
      <c r="G99" s="210">
        <f t="shared" si="8"/>
        <v>3055</v>
      </c>
      <c r="H99" s="211"/>
      <c r="I99" s="212">
        <f t="shared" si="9"/>
        <v>0</v>
      </c>
      <c r="J99" s="211"/>
      <c r="K99" s="212">
        <f t="shared" si="10"/>
        <v>0</v>
      </c>
      <c r="L99" s="212">
        <v>21.0</v>
      </c>
      <c r="M99" s="212">
        <f t="shared" si="11"/>
        <v>3696.55</v>
      </c>
      <c r="N99" s="212">
        <v>0.0</v>
      </c>
      <c r="O99" s="212">
        <f t="shared" si="12"/>
        <v>0</v>
      </c>
      <c r="P99" s="212">
        <v>0.0</v>
      </c>
      <c r="Q99" s="212">
        <f t="shared" si="13"/>
        <v>0</v>
      </c>
      <c r="R99" s="212"/>
      <c r="S99" s="212" t="s">
        <v>178</v>
      </c>
      <c r="T99" s="212" t="s">
        <v>179</v>
      </c>
      <c r="U99" s="212">
        <v>0.0</v>
      </c>
      <c r="V99" s="212">
        <f t="shared" si="14"/>
        <v>0</v>
      </c>
      <c r="W99" s="212"/>
      <c r="X99" s="212" t="s">
        <v>225</v>
      </c>
      <c r="Y99" s="213"/>
      <c r="Z99" s="213"/>
      <c r="AA99" s="213"/>
      <c r="AB99" s="213"/>
      <c r="AC99" s="213"/>
      <c r="AD99" s="213"/>
      <c r="AE99" s="213"/>
      <c r="AF99" s="213"/>
      <c r="AG99" s="213" t="s">
        <v>226</v>
      </c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04">
        <v>41.0</v>
      </c>
      <c r="B100" s="205" t="s">
        <v>682</v>
      </c>
      <c r="C100" s="206" t="s">
        <v>683</v>
      </c>
      <c r="D100" s="207" t="s">
        <v>372</v>
      </c>
      <c r="E100" s="208">
        <v>2.0</v>
      </c>
      <c r="F100" s="209">
        <v>3840.0</v>
      </c>
      <c r="G100" s="210">
        <f t="shared" si="8"/>
        <v>7680</v>
      </c>
      <c r="H100" s="211"/>
      <c r="I100" s="212">
        <f t="shared" si="9"/>
        <v>0</v>
      </c>
      <c r="J100" s="211"/>
      <c r="K100" s="212">
        <f t="shared" si="10"/>
        <v>0</v>
      </c>
      <c r="L100" s="212">
        <v>21.0</v>
      </c>
      <c r="M100" s="212">
        <f t="shared" si="11"/>
        <v>9292.8</v>
      </c>
      <c r="N100" s="212">
        <v>0.0</v>
      </c>
      <c r="O100" s="212">
        <f t="shared" si="12"/>
        <v>0</v>
      </c>
      <c r="P100" s="212">
        <v>0.0</v>
      </c>
      <c r="Q100" s="212">
        <f t="shared" si="13"/>
        <v>0</v>
      </c>
      <c r="R100" s="212"/>
      <c r="S100" s="212" t="s">
        <v>178</v>
      </c>
      <c r="T100" s="212" t="s">
        <v>179</v>
      </c>
      <c r="U100" s="212">
        <v>0.0</v>
      </c>
      <c r="V100" s="212">
        <f t="shared" si="14"/>
        <v>0</v>
      </c>
      <c r="W100" s="212"/>
      <c r="X100" s="212" t="s">
        <v>225</v>
      </c>
      <c r="Y100" s="213"/>
      <c r="Z100" s="213"/>
      <c r="AA100" s="213"/>
      <c r="AB100" s="213"/>
      <c r="AC100" s="213"/>
      <c r="AD100" s="213"/>
      <c r="AE100" s="213"/>
      <c r="AF100" s="213"/>
      <c r="AG100" s="213" t="s">
        <v>226</v>
      </c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04">
        <v>42.0</v>
      </c>
      <c r="B101" s="205" t="s">
        <v>684</v>
      </c>
      <c r="C101" s="206" t="s">
        <v>685</v>
      </c>
      <c r="D101" s="207" t="s">
        <v>372</v>
      </c>
      <c r="E101" s="208">
        <v>3.0</v>
      </c>
      <c r="F101" s="209">
        <v>2130.0</v>
      </c>
      <c r="G101" s="210">
        <f t="shared" si="8"/>
        <v>6390</v>
      </c>
      <c r="H101" s="211"/>
      <c r="I101" s="212">
        <f t="shared" si="9"/>
        <v>0</v>
      </c>
      <c r="J101" s="211"/>
      <c r="K101" s="212">
        <f t="shared" si="10"/>
        <v>0</v>
      </c>
      <c r="L101" s="212">
        <v>21.0</v>
      </c>
      <c r="M101" s="212">
        <f t="shared" si="11"/>
        <v>7731.9</v>
      </c>
      <c r="N101" s="212">
        <v>0.0</v>
      </c>
      <c r="O101" s="212">
        <f t="shared" si="12"/>
        <v>0</v>
      </c>
      <c r="P101" s="212">
        <v>0.0</v>
      </c>
      <c r="Q101" s="212">
        <f t="shared" si="13"/>
        <v>0</v>
      </c>
      <c r="R101" s="212"/>
      <c r="S101" s="212" t="s">
        <v>178</v>
      </c>
      <c r="T101" s="212" t="s">
        <v>179</v>
      </c>
      <c r="U101" s="212">
        <v>0.0</v>
      </c>
      <c r="V101" s="212">
        <f t="shared" si="14"/>
        <v>0</v>
      </c>
      <c r="W101" s="212"/>
      <c r="X101" s="212" t="s">
        <v>225</v>
      </c>
      <c r="Y101" s="213"/>
      <c r="Z101" s="213"/>
      <c r="AA101" s="213"/>
      <c r="AB101" s="213"/>
      <c r="AC101" s="213"/>
      <c r="AD101" s="213"/>
      <c r="AE101" s="213"/>
      <c r="AF101" s="213"/>
      <c r="AG101" s="213" t="s">
        <v>226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04">
        <v>43.0</v>
      </c>
      <c r="B102" s="205" t="s">
        <v>686</v>
      </c>
      <c r="C102" s="206" t="s">
        <v>687</v>
      </c>
      <c r="D102" s="207" t="s">
        <v>372</v>
      </c>
      <c r="E102" s="208">
        <v>1.0</v>
      </c>
      <c r="F102" s="209">
        <v>1639.0</v>
      </c>
      <c r="G102" s="210">
        <f t="shared" si="8"/>
        <v>1639</v>
      </c>
      <c r="H102" s="211"/>
      <c r="I102" s="212">
        <f t="shared" si="9"/>
        <v>0</v>
      </c>
      <c r="J102" s="211"/>
      <c r="K102" s="212">
        <f t="shared" si="10"/>
        <v>0</v>
      </c>
      <c r="L102" s="212">
        <v>21.0</v>
      </c>
      <c r="M102" s="212">
        <f t="shared" si="11"/>
        <v>1983.19</v>
      </c>
      <c r="N102" s="212">
        <v>0.0</v>
      </c>
      <c r="O102" s="212">
        <f t="shared" si="12"/>
        <v>0</v>
      </c>
      <c r="P102" s="212">
        <v>0.0</v>
      </c>
      <c r="Q102" s="212">
        <f t="shared" si="13"/>
        <v>0</v>
      </c>
      <c r="R102" s="212"/>
      <c r="S102" s="212" t="s">
        <v>178</v>
      </c>
      <c r="T102" s="212" t="s">
        <v>179</v>
      </c>
      <c r="U102" s="212">
        <v>0.0</v>
      </c>
      <c r="V102" s="212">
        <f t="shared" si="14"/>
        <v>0</v>
      </c>
      <c r="W102" s="212"/>
      <c r="X102" s="212" t="s">
        <v>225</v>
      </c>
      <c r="Y102" s="213"/>
      <c r="Z102" s="213"/>
      <c r="AA102" s="213"/>
      <c r="AB102" s="213"/>
      <c r="AC102" s="213"/>
      <c r="AD102" s="213"/>
      <c r="AE102" s="213"/>
      <c r="AF102" s="213"/>
      <c r="AG102" s="213" t="s">
        <v>226</v>
      </c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>
      <c r="A103" s="196" t="s">
        <v>173</v>
      </c>
      <c r="B103" s="197" t="s">
        <v>122</v>
      </c>
      <c r="C103" s="198" t="s">
        <v>123</v>
      </c>
      <c r="D103" s="199"/>
      <c r="E103" s="200"/>
      <c r="F103" s="201"/>
      <c r="G103" s="202">
        <f>SUMIF(AG104:AG107,"&lt;&gt;NOR",G104:G107)</f>
        <v>9034.88</v>
      </c>
      <c r="H103" s="203"/>
      <c r="I103" s="203">
        <f>SUM(I104:I107)</f>
        <v>0</v>
      </c>
      <c r="J103" s="203"/>
      <c r="K103" s="203">
        <f>SUM(K104:K107)</f>
        <v>0</v>
      </c>
      <c r="L103" s="203"/>
      <c r="M103" s="203">
        <f>SUM(M104:M107)</f>
        <v>10932.2048</v>
      </c>
      <c r="N103" s="203"/>
      <c r="O103" s="203">
        <f>SUM(O104:O107)</f>
        <v>0</v>
      </c>
      <c r="P103" s="203"/>
      <c r="Q103" s="203">
        <f>SUM(Q104:Q107)</f>
        <v>0</v>
      </c>
      <c r="R103" s="203"/>
      <c r="S103" s="203"/>
      <c r="T103" s="203"/>
      <c r="U103" s="203"/>
      <c r="V103" s="203">
        <f>SUM(V104:V107)</f>
        <v>33.14</v>
      </c>
      <c r="W103" s="203"/>
      <c r="X103" s="203"/>
      <c r="AG103" s="184" t="s">
        <v>174</v>
      </c>
    </row>
    <row r="104" ht="12.75" customHeight="1" outlineLevel="1">
      <c r="A104" s="214">
        <v>44.0</v>
      </c>
      <c r="B104" s="215" t="s">
        <v>395</v>
      </c>
      <c r="C104" s="216" t="s">
        <v>396</v>
      </c>
      <c r="D104" s="217" t="s">
        <v>316</v>
      </c>
      <c r="E104" s="218">
        <v>73.34103</v>
      </c>
      <c r="F104" s="219">
        <v>123.19</v>
      </c>
      <c r="G104" s="220">
        <f>ROUND(E104*F104,2)</f>
        <v>9034.88</v>
      </c>
      <c r="H104" s="211"/>
      <c r="I104" s="212">
        <f>ROUND(E104*H104,2)</f>
        <v>0</v>
      </c>
      <c r="J104" s="211"/>
      <c r="K104" s="212">
        <f>ROUND(E104*J104,2)</f>
        <v>0</v>
      </c>
      <c r="L104" s="212">
        <v>21.0</v>
      </c>
      <c r="M104" s="212">
        <f>G104*(1+L104/100)</f>
        <v>10932.2048</v>
      </c>
      <c r="N104" s="212">
        <v>0.0</v>
      </c>
      <c r="O104" s="212">
        <f>ROUND(E104*N104,2)</f>
        <v>0</v>
      </c>
      <c r="P104" s="212">
        <v>0.0</v>
      </c>
      <c r="Q104" s="212">
        <f>ROUND(E104*P104,2)</f>
        <v>0</v>
      </c>
      <c r="R104" s="212"/>
      <c r="S104" s="212" t="s">
        <v>184</v>
      </c>
      <c r="T104" s="212" t="s">
        <v>184</v>
      </c>
      <c r="U104" s="212">
        <v>0.4518</v>
      </c>
      <c r="V104" s="212">
        <f>ROUND(E104*U104,2)</f>
        <v>33.14</v>
      </c>
      <c r="W104" s="212"/>
      <c r="X104" s="212" t="s">
        <v>397</v>
      </c>
      <c r="Y104" s="213"/>
      <c r="Z104" s="213"/>
      <c r="AA104" s="213"/>
      <c r="AB104" s="213"/>
      <c r="AC104" s="213"/>
      <c r="AD104" s="213"/>
      <c r="AE104" s="213"/>
      <c r="AF104" s="213"/>
      <c r="AG104" s="213" t="s">
        <v>398</v>
      </c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35"/>
      <c r="B105" s="236"/>
      <c r="C105" s="237" t="s">
        <v>399</v>
      </c>
      <c r="D105" s="238"/>
      <c r="E105" s="239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3"/>
      <c r="Z105" s="213"/>
      <c r="AA105" s="213"/>
      <c r="AB105" s="213"/>
      <c r="AC105" s="213"/>
      <c r="AD105" s="213"/>
      <c r="AE105" s="213"/>
      <c r="AF105" s="213"/>
      <c r="AG105" s="213" t="s">
        <v>228</v>
      </c>
      <c r="AH105" s="213">
        <v>0.0</v>
      </c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35"/>
      <c r="B106" s="236"/>
      <c r="C106" s="237" t="s">
        <v>688</v>
      </c>
      <c r="D106" s="238"/>
      <c r="E106" s="239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3"/>
      <c r="Z106" s="213"/>
      <c r="AA106" s="213"/>
      <c r="AB106" s="213"/>
      <c r="AC106" s="213"/>
      <c r="AD106" s="213"/>
      <c r="AE106" s="213"/>
      <c r="AF106" s="213"/>
      <c r="AG106" s="213" t="s">
        <v>228</v>
      </c>
      <c r="AH106" s="213">
        <v>0.0</v>
      </c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35"/>
      <c r="B107" s="236"/>
      <c r="C107" s="237" t="s">
        <v>689</v>
      </c>
      <c r="D107" s="238"/>
      <c r="E107" s="239">
        <v>73.34103</v>
      </c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3"/>
      <c r="Z107" s="213"/>
      <c r="AA107" s="213"/>
      <c r="AB107" s="213"/>
      <c r="AC107" s="213"/>
      <c r="AD107" s="213"/>
      <c r="AE107" s="213"/>
      <c r="AF107" s="213"/>
      <c r="AG107" s="213" t="s">
        <v>228</v>
      </c>
      <c r="AH107" s="213">
        <v>0.0</v>
      </c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>
      <c r="A108" s="196" t="s">
        <v>173</v>
      </c>
      <c r="B108" s="197" t="s">
        <v>126</v>
      </c>
      <c r="C108" s="198" t="s">
        <v>127</v>
      </c>
      <c r="D108" s="199"/>
      <c r="E108" s="200"/>
      <c r="F108" s="201"/>
      <c r="G108" s="202">
        <f>SUMIF(AG109:AG111,"&lt;&gt;NOR",G109:G111)</f>
        <v>2661.33</v>
      </c>
      <c r="H108" s="203"/>
      <c r="I108" s="203">
        <f>SUM(I109:I111)</f>
        <v>0</v>
      </c>
      <c r="J108" s="203"/>
      <c r="K108" s="203">
        <f>SUM(K109:K111)</f>
        <v>0</v>
      </c>
      <c r="L108" s="203"/>
      <c r="M108" s="203">
        <f>SUM(M109:M111)</f>
        <v>3220.2093</v>
      </c>
      <c r="N108" s="203"/>
      <c r="O108" s="203">
        <f>SUM(O109:O111)</f>
        <v>0</v>
      </c>
      <c r="P108" s="203"/>
      <c r="Q108" s="203">
        <f>SUM(Q109:Q111)</f>
        <v>0</v>
      </c>
      <c r="R108" s="203"/>
      <c r="S108" s="203"/>
      <c r="T108" s="203"/>
      <c r="U108" s="203"/>
      <c r="V108" s="203">
        <f>SUM(V109:V111)</f>
        <v>3.2</v>
      </c>
      <c r="W108" s="203"/>
      <c r="X108" s="203"/>
      <c r="AG108" s="184" t="s">
        <v>174</v>
      </c>
    </row>
    <row r="109" ht="12.75" customHeight="1" outlineLevel="1">
      <c r="A109" s="214">
        <v>45.0</v>
      </c>
      <c r="B109" s="215" t="s">
        <v>690</v>
      </c>
      <c r="C109" s="216" t="s">
        <v>691</v>
      </c>
      <c r="D109" s="217" t="s">
        <v>251</v>
      </c>
      <c r="E109" s="218">
        <v>69.0</v>
      </c>
      <c r="F109" s="219">
        <v>38.57</v>
      </c>
      <c r="G109" s="220">
        <f>ROUND(E109*F109,2)</f>
        <v>2661.33</v>
      </c>
      <c r="H109" s="211"/>
      <c r="I109" s="212">
        <f>ROUND(E109*H109,2)</f>
        <v>0</v>
      </c>
      <c r="J109" s="211"/>
      <c r="K109" s="212">
        <f>ROUND(E109*J109,2)</f>
        <v>0</v>
      </c>
      <c r="L109" s="212">
        <v>21.0</v>
      </c>
      <c r="M109" s="212">
        <f>G109*(1+L109/100)</f>
        <v>3220.2093</v>
      </c>
      <c r="N109" s="212">
        <v>4.0E-5</v>
      </c>
      <c r="O109" s="212">
        <f>ROUND(E109*N109,2)</f>
        <v>0</v>
      </c>
      <c r="P109" s="212">
        <v>0.0</v>
      </c>
      <c r="Q109" s="212">
        <f>ROUND(E109*P109,2)</f>
        <v>0</v>
      </c>
      <c r="R109" s="212"/>
      <c r="S109" s="212" t="s">
        <v>184</v>
      </c>
      <c r="T109" s="212" t="s">
        <v>184</v>
      </c>
      <c r="U109" s="212">
        <v>0.04633</v>
      </c>
      <c r="V109" s="212">
        <f>ROUND(E109*U109,2)</f>
        <v>3.2</v>
      </c>
      <c r="W109" s="212"/>
      <c r="X109" s="212" t="s">
        <v>225</v>
      </c>
      <c r="Y109" s="213"/>
      <c r="Z109" s="213"/>
      <c r="AA109" s="213"/>
      <c r="AB109" s="213"/>
      <c r="AC109" s="213"/>
      <c r="AD109" s="213"/>
      <c r="AE109" s="213"/>
      <c r="AF109" s="213"/>
      <c r="AG109" s="213" t="s">
        <v>408</v>
      </c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35"/>
      <c r="B110" s="236"/>
      <c r="C110" s="237" t="s">
        <v>692</v>
      </c>
      <c r="D110" s="238"/>
      <c r="E110" s="239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3"/>
      <c r="Z110" s="213"/>
      <c r="AA110" s="213"/>
      <c r="AB110" s="213"/>
      <c r="AC110" s="213"/>
      <c r="AD110" s="213"/>
      <c r="AE110" s="213"/>
      <c r="AF110" s="213"/>
      <c r="AG110" s="213" t="s">
        <v>228</v>
      </c>
      <c r="AH110" s="213">
        <v>0.0</v>
      </c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35"/>
      <c r="B111" s="236"/>
      <c r="C111" s="237" t="s">
        <v>693</v>
      </c>
      <c r="D111" s="238"/>
      <c r="E111" s="239">
        <v>69.0</v>
      </c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3"/>
      <c r="Z111" s="213"/>
      <c r="AA111" s="213"/>
      <c r="AB111" s="213"/>
      <c r="AC111" s="213"/>
      <c r="AD111" s="213"/>
      <c r="AE111" s="213"/>
      <c r="AF111" s="213"/>
      <c r="AG111" s="213" t="s">
        <v>228</v>
      </c>
      <c r="AH111" s="213">
        <v>0.0</v>
      </c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>
      <c r="A112" s="175"/>
      <c r="B112" s="179"/>
      <c r="C112" s="221"/>
      <c r="D112" s="181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AE112" s="184">
        <v>15.0</v>
      </c>
      <c r="AF112" s="184">
        <v>21.0</v>
      </c>
      <c r="AG112" s="184" t="s">
        <v>160</v>
      </c>
    </row>
    <row r="113" ht="12.75" customHeight="1">
      <c r="A113" s="222"/>
      <c r="B113" s="223" t="s">
        <v>24</v>
      </c>
      <c r="C113" s="224"/>
      <c r="D113" s="225"/>
      <c r="E113" s="226"/>
      <c r="F113" s="226"/>
      <c r="G113" s="227">
        <f>G8+G58+G68+G103+G108</f>
        <v>484680.99</v>
      </c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AE113" s="184">
        <f>SUMIF(L7:L111,AE112,G7:G111)</f>
        <v>0</v>
      </c>
      <c r="AF113" s="184">
        <f>SUMIF(L7:L111,AF112,G7:G111)</f>
        <v>484680.99</v>
      </c>
      <c r="AG113" s="184" t="s">
        <v>218</v>
      </c>
    </row>
    <row r="114" ht="12.75" customHeight="1">
      <c r="A114" s="175"/>
      <c r="B114" s="179"/>
      <c r="C114" s="221"/>
      <c r="D114" s="181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</row>
    <row r="115" ht="12.75" customHeight="1">
      <c r="A115" s="175"/>
      <c r="B115" s="179"/>
      <c r="C115" s="221"/>
      <c r="D115" s="181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</row>
    <row r="116" ht="12.75" customHeight="1">
      <c r="A116" s="175" t="s">
        <v>219</v>
      </c>
      <c r="D116" s="181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</row>
    <row r="117" ht="12.75" customHeight="1">
      <c r="A117" s="228"/>
      <c r="B117" s="27"/>
      <c r="C117" s="27"/>
      <c r="D117" s="27"/>
      <c r="E117" s="27"/>
      <c r="F117" s="27"/>
      <c r="G117" s="229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AG117" s="184" t="s">
        <v>220</v>
      </c>
    </row>
    <row r="118" ht="12.75" customHeight="1">
      <c r="A118" s="230"/>
      <c r="G118" s="231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</row>
    <row r="119" ht="12.75" customHeight="1">
      <c r="A119" s="230"/>
      <c r="G119" s="231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</row>
    <row r="120" ht="12.75" customHeight="1">
      <c r="A120" s="230"/>
      <c r="G120" s="231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</row>
    <row r="121" ht="12.75" customHeight="1">
      <c r="A121" s="232"/>
      <c r="B121" s="38"/>
      <c r="C121" s="38"/>
      <c r="D121" s="38"/>
      <c r="E121" s="38"/>
      <c r="F121" s="38"/>
      <c r="G121" s="233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</row>
    <row r="122" ht="12.75" customHeight="1">
      <c r="A122" s="175"/>
      <c r="B122" s="179"/>
      <c r="C122" s="221"/>
      <c r="D122" s="181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</row>
    <row r="123" ht="12.75" customHeight="1">
      <c r="B123" s="185"/>
      <c r="C123" s="234"/>
      <c r="D123" s="126"/>
      <c r="AG123" s="184" t="s">
        <v>221</v>
      </c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16:C116"/>
    <mergeCell ref="A117:G121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64</v>
      </c>
      <c r="C3" s="177" t="s">
        <v>65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64</v>
      </c>
      <c r="C4" s="188" t="s">
        <v>65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126</v>
      </c>
      <c r="C8" s="198" t="s">
        <v>127</v>
      </c>
      <c r="D8" s="199"/>
      <c r="E8" s="200"/>
      <c r="F8" s="201"/>
      <c r="G8" s="202">
        <f>SUMIF(AG9:AG12,"&lt;&gt;NOR",G9:G12)</f>
        <v>239575.9</v>
      </c>
      <c r="H8" s="203"/>
      <c r="I8" s="203">
        <f>SUM(I9:I12)</f>
        <v>0</v>
      </c>
      <c r="J8" s="203"/>
      <c r="K8" s="203">
        <f>SUM(K9:K12)</f>
        <v>0</v>
      </c>
      <c r="L8" s="203"/>
      <c r="M8" s="203">
        <f>SUM(M9:M12)</f>
        <v>289886.839</v>
      </c>
      <c r="N8" s="203"/>
      <c r="O8" s="203">
        <f>SUM(O9:O12)</f>
        <v>0</v>
      </c>
      <c r="P8" s="203"/>
      <c r="Q8" s="203">
        <f>SUM(Q9:Q12)</f>
        <v>0</v>
      </c>
      <c r="R8" s="203"/>
      <c r="S8" s="203"/>
      <c r="T8" s="203"/>
      <c r="U8" s="203"/>
      <c r="V8" s="203">
        <f>SUM(V9:V12)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694</v>
      </c>
      <c r="C9" s="206" t="s">
        <v>695</v>
      </c>
      <c r="D9" s="207" t="s">
        <v>251</v>
      </c>
      <c r="E9" s="208">
        <v>360.0</v>
      </c>
      <c r="F9" s="209">
        <v>362.1</v>
      </c>
      <c r="G9" s="210">
        <f t="shared" ref="G9:G12" si="1">ROUND(E9*F9,2)</f>
        <v>130356</v>
      </c>
      <c r="H9" s="211"/>
      <c r="I9" s="212">
        <f t="shared" ref="I9:I12" si="2">ROUND(E9*H9,2)</f>
        <v>0</v>
      </c>
      <c r="J9" s="211"/>
      <c r="K9" s="212">
        <f t="shared" ref="K9:K12" si="3">ROUND(E9*J9,2)</f>
        <v>0</v>
      </c>
      <c r="L9" s="212">
        <v>21.0</v>
      </c>
      <c r="M9" s="212">
        <f t="shared" ref="M9:M12" si="4">G9*(1+L9/100)</f>
        <v>157730.76</v>
      </c>
      <c r="N9" s="212">
        <v>0.0</v>
      </c>
      <c r="O9" s="212">
        <f t="shared" ref="O9:O12" si="5">ROUND(E9*N9,2)</f>
        <v>0</v>
      </c>
      <c r="P9" s="212">
        <v>0.0</v>
      </c>
      <c r="Q9" s="212">
        <f t="shared" ref="Q9:Q12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12" si="7">ROUND(E9*U9,2)</f>
        <v>0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04">
        <v>2.0</v>
      </c>
      <c r="B10" s="205" t="s">
        <v>696</v>
      </c>
      <c r="C10" s="206" t="s">
        <v>697</v>
      </c>
      <c r="D10" s="207" t="s">
        <v>372</v>
      </c>
      <c r="E10" s="208">
        <v>1.0</v>
      </c>
      <c r="F10" s="209">
        <v>29740.4</v>
      </c>
      <c r="G10" s="210">
        <f t="shared" si="1"/>
        <v>29740.4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35985.884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178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04">
        <v>3.0</v>
      </c>
      <c r="B11" s="205" t="s">
        <v>698</v>
      </c>
      <c r="C11" s="206" t="s">
        <v>699</v>
      </c>
      <c r="D11" s="207" t="s">
        <v>372</v>
      </c>
      <c r="E11" s="208">
        <v>1.0</v>
      </c>
      <c r="F11" s="209">
        <v>27907.2</v>
      </c>
      <c r="G11" s="210">
        <f t="shared" si="1"/>
        <v>27907.2</v>
      </c>
      <c r="H11" s="211"/>
      <c r="I11" s="212">
        <f t="shared" si="2"/>
        <v>0</v>
      </c>
      <c r="J11" s="211"/>
      <c r="K11" s="212">
        <f t="shared" si="3"/>
        <v>0</v>
      </c>
      <c r="L11" s="212">
        <v>21.0</v>
      </c>
      <c r="M11" s="212">
        <f t="shared" si="4"/>
        <v>33767.712</v>
      </c>
      <c r="N11" s="212">
        <v>0.0</v>
      </c>
      <c r="O11" s="212">
        <f t="shared" si="5"/>
        <v>0</v>
      </c>
      <c r="P11" s="212">
        <v>0.0</v>
      </c>
      <c r="Q11" s="212">
        <f t="shared" si="6"/>
        <v>0</v>
      </c>
      <c r="R11" s="212"/>
      <c r="S11" s="212" t="s">
        <v>178</v>
      </c>
      <c r="T11" s="212" t="s">
        <v>179</v>
      </c>
      <c r="U11" s="212">
        <v>0.0</v>
      </c>
      <c r="V11" s="212">
        <f t="shared" si="7"/>
        <v>0</v>
      </c>
      <c r="W11" s="212"/>
      <c r="X11" s="212" t="s">
        <v>225</v>
      </c>
      <c r="Y11" s="213"/>
      <c r="Z11" s="213"/>
      <c r="AA11" s="213"/>
      <c r="AB11" s="213"/>
      <c r="AC11" s="213"/>
      <c r="AD11" s="213"/>
      <c r="AE11" s="213"/>
      <c r="AF11" s="213"/>
      <c r="AG11" s="213" t="s">
        <v>226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04">
        <v>4.0</v>
      </c>
      <c r="B12" s="205" t="s">
        <v>700</v>
      </c>
      <c r="C12" s="206" t="s">
        <v>701</v>
      </c>
      <c r="D12" s="207" t="s">
        <v>372</v>
      </c>
      <c r="E12" s="208">
        <v>1.0</v>
      </c>
      <c r="F12" s="209">
        <v>51572.3</v>
      </c>
      <c r="G12" s="210">
        <f t="shared" si="1"/>
        <v>51572.3</v>
      </c>
      <c r="H12" s="211"/>
      <c r="I12" s="212">
        <f t="shared" si="2"/>
        <v>0</v>
      </c>
      <c r="J12" s="211"/>
      <c r="K12" s="212">
        <f t="shared" si="3"/>
        <v>0</v>
      </c>
      <c r="L12" s="212">
        <v>21.0</v>
      </c>
      <c r="M12" s="212">
        <f t="shared" si="4"/>
        <v>62402.483</v>
      </c>
      <c r="N12" s="212">
        <v>0.0</v>
      </c>
      <c r="O12" s="212">
        <f t="shared" si="5"/>
        <v>0</v>
      </c>
      <c r="P12" s="212">
        <v>0.0</v>
      </c>
      <c r="Q12" s="212">
        <f t="shared" si="6"/>
        <v>0</v>
      </c>
      <c r="R12" s="212"/>
      <c r="S12" s="212" t="s">
        <v>178</v>
      </c>
      <c r="T12" s="212" t="s">
        <v>179</v>
      </c>
      <c r="U12" s="212">
        <v>0.0</v>
      </c>
      <c r="V12" s="212">
        <f t="shared" si="7"/>
        <v>0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>
      <c r="A13" s="196" t="s">
        <v>173</v>
      </c>
      <c r="B13" s="197" t="s">
        <v>128</v>
      </c>
      <c r="C13" s="198" t="s">
        <v>129</v>
      </c>
      <c r="D13" s="199"/>
      <c r="E13" s="200"/>
      <c r="F13" s="201"/>
      <c r="G13" s="202">
        <f>SUMIF(AG14:AG16,"&lt;&gt;NOR",G14:G16)</f>
        <v>42702.3</v>
      </c>
      <c r="H13" s="203"/>
      <c r="I13" s="203">
        <f>SUM(I14:I16)</f>
        <v>0</v>
      </c>
      <c r="J13" s="203"/>
      <c r="K13" s="203">
        <f>SUM(K14:K16)</f>
        <v>0</v>
      </c>
      <c r="L13" s="203"/>
      <c r="M13" s="203">
        <f>SUM(M14:M16)</f>
        <v>51669.783</v>
      </c>
      <c r="N13" s="203"/>
      <c r="O13" s="203">
        <f>SUM(O14:O16)</f>
        <v>0</v>
      </c>
      <c r="P13" s="203"/>
      <c r="Q13" s="203">
        <f>SUM(Q14:Q16)</f>
        <v>0</v>
      </c>
      <c r="R13" s="203"/>
      <c r="S13" s="203"/>
      <c r="T13" s="203"/>
      <c r="U13" s="203"/>
      <c r="V13" s="203">
        <f>SUM(V14:V16)</f>
        <v>0</v>
      </c>
      <c r="W13" s="203"/>
      <c r="X13" s="203"/>
      <c r="AG13" s="184" t="s">
        <v>174</v>
      </c>
    </row>
    <row r="14" ht="12.75" customHeight="1" outlineLevel="1">
      <c r="A14" s="204">
        <v>5.0</v>
      </c>
      <c r="B14" s="205" t="s">
        <v>702</v>
      </c>
      <c r="C14" s="206" t="s">
        <v>703</v>
      </c>
      <c r="D14" s="207" t="s">
        <v>377</v>
      </c>
      <c r="E14" s="208">
        <v>1.0</v>
      </c>
      <c r="F14" s="209">
        <v>12408.7</v>
      </c>
      <c r="G14" s="210">
        <f t="shared" ref="G14:G16" si="8">ROUND(E14*F14,2)</f>
        <v>12408.7</v>
      </c>
      <c r="H14" s="211"/>
      <c r="I14" s="212">
        <f t="shared" ref="I14:I16" si="9">ROUND(E14*H14,2)</f>
        <v>0</v>
      </c>
      <c r="J14" s="211"/>
      <c r="K14" s="212">
        <f t="shared" ref="K14:K16" si="10">ROUND(E14*J14,2)</f>
        <v>0</v>
      </c>
      <c r="L14" s="212">
        <v>21.0</v>
      </c>
      <c r="M14" s="212">
        <f t="shared" ref="M14:M16" si="11">G14*(1+L14/100)</f>
        <v>15014.527</v>
      </c>
      <c r="N14" s="212">
        <v>0.0</v>
      </c>
      <c r="O14" s="212">
        <f t="shared" ref="O14:O16" si="12">ROUND(E14*N14,2)</f>
        <v>0</v>
      </c>
      <c r="P14" s="212">
        <v>0.0</v>
      </c>
      <c r="Q14" s="212">
        <f t="shared" ref="Q14:Q16" si="13">ROUND(E14*P14,2)</f>
        <v>0</v>
      </c>
      <c r="R14" s="212"/>
      <c r="S14" s="212" t="s">
        <v>178</v>
      </c>
      <c r="T14" s="212" t="s">
        <v>179</v>
      </c>
      <c r="U14" s="212">
        <v>0.0</v>
      </c>
      <c r="V14" s="212">
        <f t="shared" ref="V14:V16" si="14">ROUND(E14*U14,2)</f>
        <v>0</v>
      </c>
      <c r="W14" s="212"/>
      <c r="X14" s="212" t="s">
        <v>225</v>
      </c>
      <c r="Y14" s="213"/>
      <c r="Z14" s="213"/>
      <c r="AA14" s="213"/>
      <c r="AB14" s="213"/>
      <c r="AC14" s="213"/>
      <c r="AD14" s="213"/>
      <c r="AE14" s="213"/>
      <c r="AF14" s="213"/>
      <c r="AG14" s="213" t="s">
        <v>226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04">
        <v>6.0</v>
      </c>
      <c r="B15" s="205" t="s">
        <v>704</v>
      </c>
      <c r="C15" s="206" t="s">
        <v>705</v>
      </c>
      <c r="D15" s="207" t="s">
        <v>377</v>
      </c>
      <c r="E15" s="208">
        <v>1.0</v>
      </c>
      <c r="F15" s="209">
        <v>15000.0</v>
      </c>
      <c r="G15" s="210">
        <f t="shared" si="8"/>
        <v>15000</v>
      </c>
      <c r="H15" s="211"/>
      <c r="I15" s="212">
        <f t="shared" si="9"/>
        <v>0</v>
      </c>
      <c r="J15" s="211"/>
      <c r="K15" s="212">
        <f t="shared" si="10"/>
        <v>0</v>
      </c>
      <c r="L15" s="212">
        <v>21.0</v>
      </c>
      <c r="M15" s="212">
        <f t="shared" si="11"/>
        <v>18150</v>
      </c>
      <c r="N15" s="212">
        <v>0.0</v>
      </c>
      <c r="O15" s="212">
        <f t="shared" si="12"/>
        <v>0</v>
      </c>
      <c r="P15" s="212">
        <v>0.0</v>
      </c>
      <c r="Q15" s="212">
        <f t="shared" si="13"/>
        <v>0</v>
      </c>
      <c r="R15" s="212"/>
      <c r="S15" s="212" t="s">
        <v>178</v>
      </c>
      <c r="T15" s="212" t="s">
        <v>179</v>
      </c>
      <c r="U15" s="212">
        <v>0.0</v>
      </c>
      <c r="V15" s="212">
        <f t="shared" si="14"/>
        <v>0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04">
        <v>7.0</v>
      </c>
      <c r="B16" s="205" t="s">
        <v>706</v>
      </c>
      <c r="C16" s="206" t="s">
        <v>707</v>
      </c>
      <c r="D16" s="207" t="s">
        <v>377</v>
      </c>
      <c r="E16" s="208">
        <v>1.0</v>
      </c>
      <c r="F16" s="209">
        <v>15293.6</v>
      </c>
      <c r="G16" s="210">
        <f t="shared" si="8"/>
        <v>15293.6</v>
      </c>
      <c r="H16" s="211"/>
      <c r="I16" s="212">
        <f t="shared" si="9"/>
        <v>0</v>
      </c>
      <c r="J16" s="211"/>
      <c r="K16" s="212">
        <f t="shared" si="10"/>
        <v>0</v>
      </c>
      <c r="L16" s="212">
        <v>21.0</v>
      </c>
      <c r="M16" s="212">
        <f t="shared" si="11"/>
        <v>18505.256</v>
      </c>
      <c r="N16" s="212">
        <v>0.0</v>
      </c>
      <c r="O16" s="212">
        <f t="shared" si="12"/>
        <v>0</v>
      </c>
      <c r="P16" s="212">
        <v>0.0</v>
      </c>
      <c r="Q16" s="212">
        <f t="shared" si="13"/>
        <v>0</v>
      </c>
      <c r="R16" s="212"/>
      <c r="S16" s="212" t="s">
        <v>178</v>
      </c>
      <c r="T16" s="212" t="s">
        <v>179</v>
      </c>
      <c r="U16" s="212">
        <v>0.0</v>
      </c>
      <c r="V16" s="212">
        <f t="shared" si="14"/>
        <v>0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>
      <c r="A17" s="196" t="s">
        <v>173</v>
      </c>
      <c r="B17" s="197" t="s">
        <v>132</v>
      </c>
      <c r="C17" s="198" t="s">
        <v>133</v>
      </c>
      <c r="D17" s="199"/>
      <c r="E17" s="200"/>
      <c r="F17" s="201"/>
      <c r="G17" s="202">
        <f>SUMIF(AG18:AG30,"&lt;&gt;NOR",G18:G30)</f>
        <v>99103.4</v>
      </c>
      <c r="H17" s="203"/>
      <c r="I17" s="203">
        <f>SUM(I18:I30)</f>
        <v>0</v>
      </c>
      <c r="J17" s="203"/>
      <c r="K17" s="203">
        <f>SUM(K18:K30)</f>
        <v>0</v>
      </c>
      <c r="L17" s="203"/>
      <c r="M17" s="203">
        <f>SUM(M18:M30)</f>
        <v>119915.114</v>
      </c>
      <c r="N17" s="203"/>
      <c r="O17" s="203">
        <f>SUM(O18:O30)</f>
        <v>0.15</v>
      </c>
      <c r="P17" s="203"/>
      <c r="Q17" s="203">
        <f>SUM(Q18:Q30)</f>
        <v>0</v>
      </c>
      <c r="R17" s="203"/>
      <c r="S17" s="203"/>
      <c r="T17" s="203"/>
      <c r="U17" s="203"/>
      <c r="V17" s="203">
        <f>SUM(V18:V30)</f>
        <v>51.2</v>
      </c>
      <c r="W17" s="203"/>
      <c r="X17" s="203"/>
      <c r="AG17" s="184" t="s">
        <v>174</v>
      </c>
    </row>
    <row r="18" ht="12.75" customHeight="1" outlineLevel="1">
      <c r="A18" s="204">
        <v>8.0</v>
      </c>
      <c r="B18" s="205" t="s">
        <v>424</v>
      </c>
      <c r="C18" s="206" t="s">
        <v>708</v>
      </c>
      <c r="D18" s="207" t="s">
        <v>251</v>
      </c>
      <c r="E18" s="208">
        <v>410.0</v>
      </c>
      <c r="F18" s="209">
        <v>143.5</v>
      </c>
      <c r="G18" s="210">
        <f t="shared" ref="G18:G19" si="15">ROUND(E18*F18,2)</f>
        <v>58835</v>
      </c>
      <c r="H18" s="211"/>
      <c r="I18" s="212">
        <f t="shared" ref="I18:I19" si="16">ROUND(E18*H18,2)</f>
        <v>0</v>
      </c>
      <c r="J18" s="211"/>
      <c r="K18" s="212">
        <f t="shared" ref="K18:K19" si="17">ROUND(E18*J18,2)</f>
        <v>0</v>
      </c>
      <c r="L18" s="212">
        <v>21.0</v>
      </c>
      <c r="M18" s="212">
        <f t="shared" ref="M18:M19" si="18">G18*(1+L18/100)</f>
        <v>71190.35</v>
      </c>
      <c r="N18" s="212">
        <v>0.0</v>
      </c>
      <c r="O18" s="212">
        <f t="shared" ref="O18:O19" si="19">ROUND(E18*N18,2)</f>
        <v>0</v>
      </c>
      <c r="P18" s="212">
        <v>0.0</v>
      </c>
      <c r="Q18" s="212">
        <f t="shared" ref="Q18:Q19" si="20">ROUND(E18*P18,2)</f>
        <v>0</v>
      </c>
      <c r="R18" s="212"/>
      <c r="S18" s="212" t="s">
        <v>178</v>
      </c>
      <c r="T18" s="212" t="s">
        <v>179</v>
      </c>
      <c r="U18" s="212">
        <v>0.0</v>
      </c>
      <c r="V18" s="212">
        <f t="shared" ref="V18:V19" si="21">ROUND(E18*U18,2)</f>
        <v>0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14">
        <v>9.0</v>
      </c>
      <c r="B19" s="215" t="s">
        <v>709</v>
      </c>
      <c r="C19" s="216" t="s">
        <v>710</v>
      </c>
      <c r="D19" s="217" t="s">
        <v>251</v>
      </c>
      <c r="E19" s="218">
        <v>360.0</v>
      </c>
      <c r="F19" s="219">
        <v>51.5</v>
      </c>
      <c r="G19" s="220">
        <f t="shared" si="15"/>
        <v>18540</v>
      </c>
      <c r="H19" s="211"/>
      <c r="I19" s="212">
        <f t="shared" si="16"/>
        <v>0</v>
      </c>
      <c r="J19" s="211"/>
      <c r="K19" s="212">
        <f t="shared" si="17"/>
        <v>0</v>
      </c>
      <c r="L19" s="212">
        <v>21.0</v>
      </c>
      <c r="M19" s="212">
        <f t="shared" si="18"/>
        <v>22433.4</v>
      </c>
      <c r="N19" s="212">
        <v>0.0</v>
      </c>
      <c r="O19" s="212">
        <f t="shared" si="19"/>
        <v>0</v>
      </c>
      <c r="P19" s="212">
        <v>0.0</v>
      </c>
      <c r="Q19" s="212">
        <f t="shared" si="20"/>
        <v>0</v>
      </c>
      <c r="R19" s="212"/>
      <c r="S19" s="212" t="s">
        <v>184</v>
      </c>
      <c r="T19" s="212" t="s">
        <v>184</v>
      </c>
      <c r="U19" s="212">
        <v>0.12</v>
      </c>
      <c r="V19" s="212">
        <f t="shared" si="21"/>
        <v>43.2</v>
      </c>
      <c r="W19" s="212"/>
      <c r="X19" s="212" t="s">
        <v>225</v>
      </c>
      <c r="Y19" s="213"/>
      <c r="Z19" s="213"/>
      <c r="AA19" s="213"/>
      <c r="AB19" s="213"/>
      <c r="AC19" s="213"/>
      <c r="AD19" s="213"/>
      <c r="AE19" s="213"/>
      <c r="AF19" s="213"/>
      <c r="AG19" s="213" t="s">
        <v>408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711</v>
      </c>
      <c r="D20" s="238"/>
      <c r="E20" s="239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35"/>
      <c r="B21" s="236"/>
      <c r="C21" s="237" t="s">
        <v>712</v>
      </c>
      <c r="D21" s="238"/>
      <c r="E21" s="239">
        <v>360.0</v>
      </c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3"/>
      <c r="Z21" s="213"/>
      <c r="AA21" s="213"/>
      <c r="AB21" s="213"/>
      <c r="AC21" s="213"/>
      <c r="AD21" s="213"/>
      <c r="AE21" s="213"/>
      <c r="AF21" s="213"/>
      <c r="AG21" s="213" t="s">
        <v>228</v>
      </c>
      <c r="AH21" s="213">
        <v>0.0</v>
      </c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14">
        <v>10.0</v>
      </c>
      <c r="B22" s="215" t="s">
        <v>713</v>
      </c>
      <c r="C22" s="216" t="s">
        <v>714</v>
      </c>
      <c r="D22" s="217" t="s">
        <v>251</v>
      </c>
      <c r="E22" s="218">
        <v>40.0</v>
      </c>
      <c r="F22" s="219">
        <v>54.7</v>
      </c>
      <c r="G22" s="220">
        <f>ROUND(E22*F22,2)</f>
        <v>2188</v>
      </c>
      <c r="H22" s="211"/>
      <c r="I22" s="212">
        <f>ROUND(E22*H22,2)</f>
        <v>0</v>
      </c>
      <c r="J22" s="211"/>
      <c r="K22" s="212">
        <f>ROUND(E22*J22,2)</f>
        <v>0</v>
      </c>
      <c r="L22" s="212">
        <v>21.0</v>
      </c>
      <c r="M22" s="212">
        <f>G22*(1+L22/100)</f>
        <v>2647.48</v>
      </c>
      <c r="N22" s="212">
        <v>0.0</v>
      </c>
      <c r="O22" s="212">
        <f>ROUND(E22*N22,2)</f>
        <v>0</v>
      </c>
      <c r="P22" s="212">
        <v>0.0</v>
      </c>
      <c r="Q22" s="212">
        <f>ROUND(E22*P22,2)</f>
        <v>0</v>
      </c>
      <c r="R22" s="212"/>
      <c r="S22" s="212" t="s">
        <v>184</v>
      </c>
      <c r="T22" s="212" t="s">
        <v>184</v>
      </c>
      <c r="U22" s="212">
        <v>0.2</v>
      </c>
      <c r="V22" s="212">
        <f>ROUND(E22*U22,2)</f>
        <v>8</v>
      </c>
      <c r="W22" s="212"/>
      <c r="X22" s="212" t="s">
        <v>225</v>
      </c>
      <c r="Y22" s="213"/>
      <c r="Z22" s="213"/>
      <c r="AA22" s="213"/>
      <c r="AB22" s="213"/>
      <c r="AC22" s="213"/>
      <c r="AD22" s="213"/>
      <c r="AE22" s="213"/>
      <c r="AF22" s="213"/>
      <c r="AG22" s="213" t="s">
        <v>408</v>
      </c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715</v>
      </c>
      <c r="D23" s="238"/>
      <c r="E23" s="239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37" t="s">
        <v>716</v>
      </c>
      <c r="D24" s="238"/>
      <c r="E24" s="239">
        <v>40.0</v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>
        <v>0.0</v>
      </c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14">
        <v>11.0</v>
      </c>
      <c r="B25" s="215" t="s">
        <v>717</v>
      </c>
      <c r="C25" s="216" t="s">
        <v>718</v>
      </c>
      <c r="D25" s="217" t="s">
        <v>251</v>
      </c>
      <c r="E25" s="218">
        <v>396.0</v>
      </c>
      <c r="F25" s="219">
        <v>40.8</v>
      </c>
      <c r="G25" s="220">
        <f>ROUND(E25*F25,2)</f>
        <v>16156.8</v>
      </c>
      <c r="H25" s="211"/>
      <c r="I25" s="212">
        <f>ROUND(E25*H25,2)</f>
        <v>0</v>
      </c>
      <c r="J25" s="211"/>
      <c r="K25" s="212">
        <f>ROUND(E25*J25,2)</f>
        <v>0</v>
      </c>
      <c r="L25" s="212">
        <v>21.0</v>
      </c>
      <c r="M25" s="212">
        <f>G25*(1+L25/100)</f>
        <v>19549.728</v>
      </c>
      <c r="N25" s="212">
        <v>3.1E-4</v>
      </c>
      <c r="O25" s="212">
        <f>ROUND(E25*N25,2)</f>
        <v>0.12</v>
      </c>
      <c r="P25" s="212">
        <v>0.0</v>
      </c>
      <c r="Q25" s="212">
        <f>ROUND(E25*P25,2)</f>
        <v>0</v>
      </c>
      <c r="R25" s="212" t="s">
        <v>322</v>
      </c>
      <c r="S25" s="212" t="s">
        <v>184</v>
      </c>
      <c r="T25" s="212" t="s">
        <v>184</v>
      </c>
      <c r="U25" s="212">
        <v>0.0</v>
      </c>
      <c r="V25" s="212">
        <f>ROUND(E25*U25,2)</f>
        <v>0</v>
      </c>
      <c r="W25" s="212"/>
      <c r="X25" s="212" t="s">
        <v>323</v>
      </c>
      <c r="Y25" s="213"/>
      <c r="Z25" s="213"/>
      <c r="AA25" s="213"/>
      <c r="AB25" s="213"/>
      <c r="AC25" s="213"/>
      <c r="AD25" s="213"/>
      <c r="AE25" s="213"/>
      <c r="AF25" s="213"/>
      <c r="AG25" s="213" t="s">
        <v>719</v>
      </c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711</v>
      </c>
      <c r="D26" s="238"/>
      <c r="E26" s="239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720</v>
      </c>
      <c r="D27" s="238"/>
      <c r="E27" s="239">
        <v>396.0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14">
        <v>12.0</v>
      </c>
      <c r="B28" s="215" t="s">
        <v>721</v>
      </c>
      <c r="C28" s="216" t="s">
        <v>722</v>
      </c>
      <c r="D28" s="217" t="s">
        <v>251</v>
      </c>
      <c r="E28" s="218">
        <v>44.0</v>
      </c>
      <c r="F28" s="219">
        <v>76.9</v>
      </c>
      <c r="G28" s="220">
        <f>ROUND(E28*F28,2)</f>
        <v>3383.6</v>
      </c>
      <c r="H28" s="211"/>
      <c r="I28" s="212">
        <f>ROUND(E28*H28,2)</f>
        <v>0</v>
      </c>
      <c r="J28" s="211"/>
      <c r="K28" s="212">
        <f>ROUND(E28*J28,2)</f>
        <v>0</v>
      </c>
      <c r="L28" s="212">
        <v>21.0</v>
      </c>
      <c r="M28" s="212">
        <f>G28*(1+L28/100)</f>
        <v>4094.156</v>
      </c>
      <c r="N28" s="212">
        <v>6.9E-4</v>
      </c>
      <c r="O28" s="212">
        <f>ROUND(E28*N28,2)</f>
        <v>0.03</v>
      </c>
      <c r="P28" s="212">
        <v>0.0</v>
      </c>
      <c r="Q28" s="212">
        <f>ROUND(E28*P28,2)</f>
        <v>0</v>
      </c>
      <c r="R28" s="212" t="s">
        <v>322</v>
      </c>
      <c r="S28" s="212" t="s">
        <v>184</v>
      </c>
      <c r="T28" s="212" t="s">
        <v>184</v>
      </c>
      <c r="U28" s="212">
        <v>0.0</v>
      </c>
      <c r="V28" s="212">
        <f>ROUND(E28*U28,2)</f>
        <v>0</v>
      </c>
      <c r="W28" s="212"/>
      <c r="X28" s="212" t="s">
        <v>323</v>
      </c>
      <c r="Y28" s="213"/>
      <c r="Z28" s="213"/>
      <c r="AA28" s="213"/>
      <c r="AB28" s="213"/>
      <c r="AC28" s="213"/>
      <c r="AD28" s="213"/>
      <c r="AE28" s="213"/>
      <c r="AF28" s="213"/>
      <c r="AG28" s="213" t="s">
        <v>719</v>
      </c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715</v>
      </c>
      <c r="D29" s="238"/>
      <c r="E29" s="239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35"/>
      <c r="B30" s="236"/>
      <c r="C30" s="237" t="s">
        <v>723</v>
      </c>
      <c r="D30" s="238"/>
      <c r="E30" s="239">
        <v>44.0</v>
      </c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213"/>
      <c r="AA30" s="213"/>
      <c r="AB30" s="213"/>
      <c r="AC30" s="213"/>
      <c r="AD30" s="213"/>
      <c r="AE30" s="213"/>
      <c r="AF30" s="213"/>
      <c r="AG30" s="213" t="s">
        <v>228</v>
      </c>
      <c r="AH30" s="213">
        <v>0.0</v>
      </c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>
      <c r="A31" s="196" t="s">
        <v>173</v>
      </c>
      <c r="B31" s="197" t="s">
        <v>134</v>
      </c>
      <c r="C31" s="198" t="s">
        <v>135</v>
      </c>
      <c r="D31" s="199"/>
      <c r="E31" s="200"/>
      <c r="F31" s="201"/>
      <c r="G31" s="202">
        <f>SUMIF(AG32:AG47,"&lt;&gt;NOR",G32:G47)</f>
        <v>188757.9</v>
      </c>
      <c r="H31" s="203"/>
      <c r="I31" s="203">
        <f>SUM(I32:I47)</f>
        <v>0</v>
      </c>
      <c r="J31" s="203"/>
      <c r="K31" s="203">
        <f>SUM(K32:K47)</f>
        <v>0</v>
      </c>
      <c r="L31" s="203"/>
      <c r="M31" s="203">
        <f>SUM(M32:M47)</f>
        <v>228397.059</v>
      </c>
      <c r="N31" s="203"/>
      <c r="O31" s="203">
        <f>SUM(O32:O47)</f>
        <v>0</v>
      </c>
      <c r="P31" s="203"/>
      <c r="Q31" s="203">
        <f>SUM(Q32:Q47)</f>
        <v>0</v>
      </c>
      <c r="R31" s="203"/>
      <c r="S31" s="203"/>
      <c r="T31" s="203"/>
      <c r="U31" s="203"/>
      <c r="V31" s="203">
        <f>SUM(V32:V47)</f>
        <v>0</v>
      </c>
      <c r="W31" s="203"/>
      <c r="X31" s="203"/>
      <c r="AG31" s="184" t="s">
        <v>174</v>
      </c>
    </row>
    <row r="32" ht="12.75" customHeight="1" outlineLevel="1">
      <c r="A32" s="214">
        <v>13.0</v>
      </c>
      <c r="B32" s="215" t="s">
        <v>724</v>
      </c>
      <c r="C32" s="216" t="s">
        <v>725</v>
      </c>
      <c r="D32" s="217" t="s">
        <v>372</v>
      </c>
      <c r="E32" s="218">
        <v>1.0</v>
      </c>
      <c r="F32" s="219">
        <v>23150.0</v>
      </c>
      <c r="G32" s="220">
        <f>ROUND(E32*F32,2)</f>
        <v>23150</v>
      </c>
      <c r="H32" s="211"/>
      <c r="I32" s="212">
        <f>ROUND(E32*H32,2)</f>
        <v>0</v>
      </c>
      <c r="J32" s="211"/>
      <c r="K32" s="212">
        <f>ROUND(E32*J32,2)</f>
        <v>0</v>
      </c>
      <c r="L32" s="212">
        <v>21.0</v>
      </c>
      <c r="M32" s="212">
        <f>G32*(1+L32/100)</f>
        <v>28011.5</v>
      </c>
      <c r="N32" s="212">
        <v>0.0</v>
      </c>
      <c r="O32" s="212">
        <f>ROUND(E32*N32,2)</f>
        <v>0</v>
      </c>
      <c r="P32" s="212">
        <v>0.0</v>
      </c>
      <c r="Q32" s="212">
        <f>ROUND(E32*P32,2)</f>
        <v>0</v>
      </c>
      <c r="R32" s="212"/>
      <c r="S32" s="212" t="s">
        <v>178</v>
      </c>
      <c r="T32" s="212" t="s">
        <v>179</v>
      </c>
      <c r="U32" s="212">
        <v>0.0</v>
      </c>
      <c r="V32" s="212">
        <f>ROUND(E32*U32,2)</f>
        <v>0</v>
      </c>
      <c r="W32" s="212"/>
      <c r="X32" s="212" t="s">
        <v>225</v>
      </c>
      <c r="Y32" s="213"/>
      <c r="Z32" s="213"/>
      <c r="AA32" s="213"/>
      <c r="AB32" s="213"/>
      <c r="AC32" s="213"/>
      <c r="AD32" s="213"/>
      <c r="AE32" s="213"/>
      <c r="AF32" s="213"/>
      <c r="AG32" s="213" t="s">
        <v>226</v>
      </c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35"/>
      <c r="B33" s="236"/>
      <c r="C33" s="237" t="s">
        <v>374</v>
      </c>
      <c r="D33" s="238"/>
      <c r="E33" s="239">
        <v>1.0</v>
      </c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3"/>
      <c r="Z33" s="213"/>
      <c r="AA33" s="213"/>
      <c r="AB33" s="213"/>
      <c r="AC33" s="213"/>
      <c r="AD33" s="213"/>
      <c r="AE33" s="213"/>
      <c r="AF33" s="213"/>
      <c r="AG33" s="213" t="s">
        <v>228</v>
      </c>
      <c r="AH33" s="213">
        <v>0.0</v>
      </c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14">
        <v>14.0</v>
      </c>
      <c r="B34" s="215" t="s">
        <v>726</v>
      </c>
      <c r="C34" s="216" t="s">
        <v>727</v>
      </c>
      <c r="D34" s="217" t="s">
        <v>372</v>
      </c>
      <c r="E34" s="218">
        <v>1.0</v>
      </c>
      <c r="F34" s="219">
        <v>23150.0</v>
      </c>
      <c r="G34" s="220">
        <f>ROUND(E34*F34,2)</f>
        <v>23150</v>
      </c>
      <c r="H34" s="211"/>
      <c r="I34" s="212">
        <f>ROUND(E34*H34,2)</f>
        <v>0</v>
      </c>
      <c r="J34" s="211"/>
      <c r="K34" s="212">
        <f>ROUND(E34*J34,2)</f>
        <v>0</v>
      </c>
      <c r="L34" s="212">
        <v>21.0</v>
      </c>
      <c r="M34" s="212">
        <f>G34*(1+L34/100)</f>
        <v>28011.5</v>
      </c>
      <c r="N34" s="212">
        <v>0.0</v>
      </c>
      <c r="O34" s="212">
        <f>ROUND(E34*N34,2)</f>
        <v>0</v>
      </c>
      <c r="P34" s="212">
        <v>0.0</v>
      </c>
      <c r="Q34" s="212">
        <f>ROUND(E34*P34,2)</f>
        <v>0</v>
      </c>
      <c r="R34" s="212"/>
      <c r="S34" s="212" t="s">
        <v>178</v>
      </c>
      <c r="T34" s="212" t="s">
        <v>179</v>
      </c>
      <c r="U34" s="212">
        <v>0.0</v>
      </c>
      <c r="V34" s="212">
        <f>ROUND(E34*U34,2)</f>
        <v>0</v>
      </c>
      <c r="W34" s="212"/>
      <c r="X34" s="212" t="s">
        <v>225</v>
      </c>
      <c r="Y34" s="213"/>
      <c r="Z34" s="213"/>
      <c r="AA34" s="213"/>
      <c r="AB34" s="213"/>
      <c r="AC34" s="213"/>
      <c r="AD34" s="213"/>
      <c r="AE34" s="213"/>
      <c r="AF34" s="213"/>
      <c r="AG34" s="213" t="s">
        <v>226</v>
      </c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374</v>
      </c>
      <c r="D35" s="238"/>
      <c r="E35" s="239">
        <v>1.0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15.0</v>
      </c>
      <c r="B36" s="215" t="s">
        <v>728</v>
      </c>
      <c r="C36" s="216" t="s">
        <v>729</v>
      </c>
      <c r="D36" s="217" t="s">
        <v>372</v>
      </c>
      <c r="E36" s="218">
        <v>2.0</v>
      </c>
      <c r="F36" s="219">
        <v>23150.0</v>
      </c>
      <c r="G36" s="220">
        <f>ROUND(E36*F36,2)</f>
        <v>46300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56023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178</v>
      </c>
      <c r="T36" s="212" t="s">
        <v>179</v>
      </c>
      <c r="U36" s="212">
        <v>0.0</v>
      </c>
      <c r="V36" s="212">
        <f>ROUND(E36*U36,2)</f>
        <v>0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456</v>
      </c>
      <c r="D37" s="238"/>
      <c r="E37" s="239">
        <v>2.0</v>
      </c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14">
        <v>16.0</v>
      </c>
      <c r="B38" s="215" t="s">
        <v>730</v>
      </c>
      <c r="C38" s="216" t="s">
        <v>731</v>
      </c>
      <c r="D38" s="217" t="s">
        <v>372</v>
      </c>
      <c r="E38" s="218">
        <v>1.0</v>
      </c>
      <c r="F38" s="219">
        <v>23150.0</v>
      </c>
      <c r="G38" s="220">
        <f>ROUND(E38*F38,2)</f>
        <v>23150</v>
      </c>
      <c r="H38" s="211"/>
      <c r="I38" s="212">
        <f>ROUND(E38*H38,2)</f>
        <v>0</v>
      </c>
      <c r="J38" s="211"/>
      <c r="K38" s="212">
        <f>ROUND(E38*J38,2)</f>
        <v>0</v>
      </c>
      <c r="L38" s="212">
        <v>21.0</v>
      </c>
      <c r="M38" s="212">
        <f>G38*(1+L38/100)</f>
        <v>28011.5</v>
      </c>
      <c r="N38" s="212">
        <v>0.0</v>
      </c>
      <c r="O38" s="212">
        <f>ROUND(E38*N38,2)</f>
        <v>0</v>
      </c>
      <c r="P38" s="212">
        <v>0.0</v>
      </c>
      <c r="Q38" s="212">
        <f>ROUND(E38*P38,2)</f>
        <v>0</v>
      </c>
      <c r="R38" s="212"/>
      <c r="S38" s="212" t="s">
        <v>178</v>
      </c>
      <c r="T38" s="212" t="s">
        <v>179</v>
      </c>
      <c r="U38" s="212">
        <v>0.0</v>
      </c>
      <c r="V38" s="212">
        <f>ROUND(E38*U38,2)</f>
        <v>0</v>
      </c>
      <c r="W38" s="212"/>
      <c r="X38" s="212" t="s">
        <v>225</v>
      </c>
      <c r="Y38" s="213"/>
      <c r="Z38" s="213"/>
      <c r="AA38" s="213"/>
      <c r="AB38" s="213"/>
      <c r="AC38" s="213"/>
      <c r="AD38" s="213"/>
      <c r="AE38" s="213"/>
      <c r="AF38" s="213"/>
      <c r="AG38" s="213" t="s">
        <v>226</v>
      </c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37" t="s">
        <v>374</v>
      </c>
      <c r="D39" s="238"/>
      <c r="E39" s="239">
        <v>1.0</v>
      </c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>
        <v>0.0</v>
      </c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14">
        <v>17.0</v>
      </c>
      <c r="B40" s="215" t="s">
        <v>732</v>
      </c>
      <c r="C40" s="216" t="s">
        <v>733</v>
      </c>
      <c r="D40" s="217" t="s">
        <v>372</v>
      </c>
      <c r="E40" s="218">
        <v>1.0</v>
      </c>
      <c r="F40" s="219">
        <v>23150.0</v>
      </c>
      <c r="G40" s="220">
        <f>ROUND(E40*F40,2)</f>
        <v>23150</v>
      </c>
      <c r="H40" s="211"/>
      <c r="I40" s="212">
        <f>ROUND(E40*H40,2)</f>
        <v>0</v>
      </c>
      <c r="J40" s="211"/>
      <c r="K40" s="212">
        <f>ROUND(E40*J40,2)</f>
        <v>0</v>
      </c>
      <c r="L40" s="212">
        <v>21.0</v>
      </c>
      <c r="M40" s="212">
        <f>G40*(1+L40/100)</f>
        <v>28011.5</v>
      </c>
      <c r="N40" s="212">
        <v>0.0</v>
      </c>
      <c r="O40" s="212">
        <f>ROUND(E40*N40,2)</f>
        <v>0</v>
      </c>
      <c r="P40" s="212">
        <v>0.0</v>
      </c>
      <c r="Q40" s="212">
        <f>ROUND(E40*P40,2)</f>
        <v>0</v>
      </c>
      <c r="R40" s="212"/>
      <c r="S40" s="212" t="s">
        <v>178</v>
      </c>
      <c r="T40" s="212" t="s">
        <v>179</v>
      </c>
      <c r="U40" s="212">
        <v>0.0</v>
      </c>
      <c r="V40" s="212">
        <f>ROUND(E40*U40,2)</f>
        <v>0</v>
      </c>
      <c r="W40" s="212"/>
      <c r="X40" s="212" t="s">
        <v>225</v>
      </c>
      <c r="Y40" s="213"/>
      <c r="Z40" s="213"/>
      <c r="AA40" s="213"/>
      <c r="AB40" s="213"/>
      <c r="AC40" s="213"/>
      <c r="AD40" s="213"/>
      <c r="AE40" s="213"/>
      <c r="AF40" s="213"/>
      <c r="AG40" s="213" t="s">
        <v>226</v>
      </c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374</v>
      </c>
      <c r="D41" s="238"/>
      <c r="E41" s="239">
        <v>1.0</v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18.0</v>
      </c>
      <c r="B42" s="215" t="s">
        <v>734</v>
      </c>
      <c r="C42" s="216" t="s">
        <v>735</v>
      </c>
      <c r="D42" s="217" t="s">
        <v>372</v>
      </c>
      <c r="E42" s="218">
        <v>1.0</v>
      </c>
      <c r="F42" s="219">
        <v>23150.0</v>
      </c>
      <c r="G42" s="220">
        <f>ROUND(E42*F42,2)</f>
        <v>23150</v>
      </c>
      <c r="H42" s="211"/>
      <c r="I42" s="212">
        <f>ROUND(E42*H42,2)</f>
        <v>0</v>
      </c>
      <c r="J42" s="211"/>
      <c r="K42" s="212">
        <f>ROUND(E42*J42,2)</f>
        <v>0</v>
      </c>
      <c r="L42" s="212">
        <v>21.0</v>
      </c>
      <c r="M42" s="212">
        <f>G42*(1+L42/100)</f>
        <v>28011.5</v>
      </c>
      <c r="N42" s="212">
        <v>0.0</v>
      </c>
      <c r="O42" s="212">
        <f>ROUND(E42*N42,2)</f>
        <v>0</v>
      </c>
      <c r="P42" s="212">
        <v>0.0</v>
      </c>
      <c r="Q42" s="212">
        <f>ROUND(E42*P42,2)</f>
        <v>0</v>
      </c>
      <c r="R42" s="212"/>
      <c r="S42" s="212" t="s">
        <v>178</v>
      </c>
      <c r="T42" s="212" t="s">
        <v>179</v>
      </c>
      <c r="U42" s="212">
        <v>0.0</v>
      </c>
      <c r="V42" s="212">
        <f>ROUND(E42*U42,2)</f>
        <v>0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374</v>
      </c>
      <c r="D43" s="238"/>
      <c r="E43" s="239">
        <v>1.0</v>
      </c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14">
        <v>19.0</v>
      </c>
      <c r="B44" s="215" t="s">
        <v>736</v>
      </c>
      <c r="C44" s="216" t="s">
        <v>737</v>
      </c>
      <c r="D44" s="217" t="s">
        <v>372</v>
      </c>
      <c r="E44" s="218">
        <v>1.0</v>
      </c>
      <c r="F44" s="219">
        <v>23150.0</v>
      </c>
      <c r="G44" s="220">
        <f>ROUND(E44*F44,2)</f>
        <v>23150</v>
      </c>
      <c r="H44" s="211"/>
      <c r="I44" s="212">
        <f>ROUND(E44*H44,2)</f>
        <v>0</v>
      </c>
      <c r="J44" s="211"/>
      <c r="K44" s="212">
        <f>ROUND(E44*J44,2)</f>
        <v>0</v>
      </c>
      <c r="L44" s="212">
        <v>21.0</v>
      </c>
      <c r="M44" s="212">
        <f>G44*(1+L44/100)</f>
        <v>28011.5</v>
      </c>
      <c r="N44" s="212">
        <v>0.0</v>
      </c>
      <c r="O44" s="212">
        <f>ROUND(E44*N44,2)</f>
        <v>0</v>
      </c>
      <c r="P44" s="212">
        <v>0.0</v>
      </c>
      <c r="Q44" s="212">
        <f>ROUND(E44*P44,2)</f>
        <v>0</v>
      </c>
      <c r="R44" s="212"/>
      <c r="S44" s="212" t="s">
        <v>178</v>
      </c>
      <c r="T44" s="212" t="s">
        <v>179</v>
      </c>
      <c r="U44" s="212">
        <v>0.0</v>
      </c>
      <c r="V44" s="212">
        <f>ROUND(E44*U44,2)</f>
        <v>0</v>
      </c>
      <c r="W44" s="212"/>
      <c r="X44" s="212" t="s">
        <v>225</v>
      </c>
      <c r="Y44" s="213"/>
      <c r="Z44" s="213"/>
      <c r="AA44" s="213"/>
      <c r="AB44" s="213"/>
      <c r="AC44" s="213"/>
      <c r="AD44" s="213"/>
      <c r="AE44" s="213"/>
      <c r="AF44" s="213"/>
      <c r="AG44" s="213" t="s">
        <v>226</v>
      </c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374</v>
      </c>
      <c r="D45" s="238"/>
      <c r="E45" s="239">
        <v>1.0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20.0</v>
      </c>
      <c r="B46" s="215" t="s">
        <v>738</v>
      </c>
      <c r="C46" s="216" t="s">
        <v>739</v>
      </c>
      <c r="D46" s="217" t="s">
        <v>372</v>
      </c>
      <c r="E46" s="218">
        <v>1.0</v>
      </c>
      <c r="F46" s="219">
        <v>3557.9</v>
      </c>
      <c r="G46" s="220">
        <f>ROUND(E46*F46,2)</f>
        <v>3557.9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4305.059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178</v>
      </c>
      <c r="T46" s="212" t="s">
        <v>179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374</v>
      </c>
      <c r="D47" s="238"/>
      <c r="E47" s="239">
        <v>1.0</v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>
      <c r="A48" s="196" t="s">
        <v>173</v>
      </c>
      <c r="B48" s="197" t="s">
        <v>136</v>
      </c>
      <c r="C48" s="198" t="s">
        <v>137</v>
      </c>
      <c r="D48" s="199"/>
      <c r="E48" s="200"/>
      <c r="F48" s="201"/>
      <c r="G48" s="202">
        <f>SUMIF(AG49:AG66,"&lt;&gt;NOR",G49:G66)</f>
        <v>408964.78</v>
      </c>
      <c r="H48" s="203"/>
      <c r="I48" s="203">
        <f>SUM(I49:I66)</f>
        <v>0</v>
      </c>
      <c r="J48" s="203"/>
      <c r="K48" s="203">
        <f>SUM(K49:K66)</f>
        <v>0</v>
      </c>
      <c r="L48" s="203"/>
      <c r="M48" s="203">
        <f>SUM(M49:M66)</f>
        <v>494847.3838</v>
      </c>
      <c r="N48" s="203"/>
      <c r="O48" s="203">
        <f>SUM(O49:O66)</f>
        <v>131.94</v>
      </c>
      <c r="P48" s="203"/>
      <c r="Q48" s="203">
        <f>SUM(Q49:Q66)</f>
        <v>0</v>
      </c>
      <c r="R48" s="203"/>
      <c r="S48" s="203"/>
      <c r="T48" s="203"/>
      <c r="U48" s="203"/>
      <c r="V48" s="203">
        <f>SUM(V49:V66)</f>
        <v>316.62</v>
      </c>
      <c r="W48" s="203"/>
      <c r="X48" s="203"/>
      <c r="AG48" s="184" t="s">
        <v>174</v>
      </c>
    </row>
    <row r="49" ht="12.75" customHeight="1" outlineLevel="1">
      <c r="A49" s="214">
        <v>21.0</v>
      </c>
      <c r="B49" s="215" t="s">
        <v>740</v>
      </c>
      <c r="C49" s="216" t="s">
        <v>741</v>
      </c>
      <c r="D49" s="217" t="s">
        <v>234</v>
      </c>
      <c r="E49" s="218">
        <v>9.6</v>
      </c>
      <c r="F49" s="219">
        <v>4256.8</v>
      </c>
      <c r="G49" s="220">
        <f>ROUND(E49*F49,2)</f>
        <v>40865.28</v>
      </c>
      <c r="H49" s="211"/>
      <c r="I49" s="212">
        <f>ROUND(E49*H49,2)</f>
        <v>0</v>
      </c>
      <c r="J49" s="211"/>
      <c r="K49" s="212">
        <f>ROUND(E49*J49,2)</f>
        <v>0</v>
      </c>
      <c r="L49" s="212">
        <v>21.0</v>
      </c>
      <c r="M49" s="212">
        <f>G49*(1+L49/100)</f>
        <v>49446.9888</v>
      </c>
      <c r="N49" s="212">
        <v>0.0</v>
      </c>
      <c r="O49" s="212">
        <f>ROUND(E49*N49,2)</f>
        <v>0</v>
      </c>
      <c r="P49" s="212">
        <v>0.0</v>
      </c>
      <c r="Q49" s="212">
        <f>ROUND(E49*P49,2)</f>
        <v>0</v>
      </c>
      <c r="R49" s="212"/>
      <c r="S49" s="212" t="s">
        <v>184</v>
      </c>
      <c r="T49" s="212" t="s">
        <v>184</v>
      </c>
      <c r="U49" s="212">
        <v>3.44</v>
      </c>
      <c r="V49" s="212">
        <f>ROUND(E49*U49,2)</f>
        <v>33.02</v>
      </c>
      <c r="W49" s="212"/>
      <c r="X49" s="212" t="s">
        <v>225</v>
      </c>
      <c r="Y49" s="213"/>
      <c r="Z49" s="213"/>
      <c r="AA49" s="213"/>
      <c r="AB49" s="213"/>
      <c r="AC49" s="213"/>
      <c r="AD49" s="213"/>
      <c r="AE49" s="213"/>
      <c r="AF49" s="213"/>
      <c r="AG49" s="213" t="s">
        <v>408</v>
      </c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742</v>
      </c>
      <c r="D50" s="238"/>
      <c r="E50" s="239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743</v>
      </c>
      <c r="D51" s="238"/>
      <c r="E51" s="239">
        <v>9.6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22.0</v>
      </c>
      <c r="B52" s="215" t="s">
        <v>744</v>
      </c>
      <c r="C52" s="216" t="s">
        <v>745</v>
      </c>
      <c r="D52" s="217" t="s">
        <v>372</v>
      </c>
      <c r="E52" s="218">
        <v>8.0</v>
      </c>
      <c r="F52" s="219">
        <v>5199.5</v>
      </c>
      <c r="G52" s="220">
        <f>ROUND(E52*F52,2)</f>
        <v>41596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50331.16</v>
      </c>
      <c r="N52" s="212">
        <v>2.90149</v>
      </c>
      <c r="O52" s="212">
        <f>ROUND(E52*N52,2)</f>
        <v>23.21</v>
      </c>
      <c r="P52" s="212">
        <v>0.0</v>
      </c>
      <c r="Q52" s="212">
        <f>ROUND(E52*P52,2)</f>
        <v>0</v>
      </c>
      <c r="R52" s="212"/>
      <c r="S52" s="212" t="s">
        <v>184</v>
      </c>
      <c r="T52" s="212" t="s">
        <v>184</v>
      </c>
      <c r="U52" s="212">
        <v>3.183</v>
      </c>
      <c r="V52" s="212">
        <f>ROUND(E52*U52,2)</f>
        <v>25.46</v>
      </c>
      <c r="W52" s="212"/>
      <c r="X52" s="212" t="s">
        <v>225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408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746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37" t="s">
        <v>516</v>
      </c>
      <c r="D54" s="238"/>
      <c r="E54" s="239">
        <v>8.0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0.0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14">
        <v>23.0</v>
      </c>
      <c r="B55" s="215" t="s">
        <v>747</v>
      </c>
      <c r="C55" s="216" t="s">
        <v>748</v>
      </c>
      <c r="D55" s="217" t="s">
        <v>251</v>
      </c>
      <c r="E55" s="218">
        <v>410.0</v>
      </c>
      <c r="F55" s="219">
        <v>514.5</v>
      </c>
      <c r="G55" s="220">
        <f>ROUND(E55*F55,2)</f>
        <v>210945</v>
      </c>
      <c r="H55" s="211"/>
      <c r="I55" s="212">
        <f>ROUND(E55*H55,2)</f>
        <v>0</v>
      </c>
      <c r="J55" s="211"/>
      <c r="K55" s="212">
        <f>ROUND(E55*J55,2)</f>
        <v>0</v>
      </c>
      <c r="L55" s="212">
        <v>21.0</v>
      </c>
      <c r="M55" s="212">
        <f>G55*(1+L55/100)</f>
        <v>255243.45</v>
      </c>
      <c r="N55" s="212">
        <v>0.0</v>
      </c>
      <c r="O55" s="212">
        <f>ROUND(E55*N55,2)</f>
        <v>0</v>
      </c>
      <c r="P55" s="212">
        <v>0.0</v>
      </c>
      <c r="Q55" s="212">
        <f>ROUND(E55*P55,2)</f>
        <v>0</v>
      </c>
      <c r="R55" s="212"/>
      <c r="S55" s="212" t="s">
        <v>184</v>
      </c>
      <c r="T55" s="212" t="s">
        <v>184</v>
      </c>
      <c r="U55" s="212">
        <v>0.146</v>
      </c>
      <c r="V55" s="212">
        <f>ROUND(E55*U55,2)</f>
        <v>59.86</v>
      </c>
      <c r="W55" s="212"/>
      <c r="X55" s="212" t="s">
        <v>225</v>
      </c>
      <c r="Y55" s="213"/>
      <c r="Z55" s="213"/>
      <c r="AA55" s="213"/>
      <c r="AB55" s="213"/>
      <c r="AC55" s="213"/>
      <c r="AD55" s="213"/>
      <c r="AE55" s="213"/>
      <c r="AF55" s="213"/>
      <c r="AG55" s="213" t="s">
        <v>408</v>
      </c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749</v>
      </c>
      <c r="D56" s="238"/>
      <c r="E56" s="239">
        <v>410.0</v>
      </c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14">
        <v>24.0</v>
      </c>
      <c r="B57" s="215" t="s">
        <v>750</v>
      </c>
      <c r="C57" s="216" t="s">
        <v>751</v>
      </c>
      <c r="D57" s="217" t="s">
        <v>251</v>
      </c>
      <c r="E57" s="218">
        <v>410.0</v>
      </c>
      <c r="F57" s="219">
        <v>71.35</v>
      </c>
      <c r="G57" s="220">
        <f>ROUND(E57*F57,2)</f>
        <v>29253.5</v>
      </c>
      <c r="H57" s="211"/>
      <c r="I57" s="212">
        <f>ROUND(E57*H57,2)</f>
        <v>0</v>
      </c>
      <c r="J57" s="211"/>
      <c r="K57" s="212">
        <f>ROUND(E57*J57,2)</f>
        <v>0</v>
      </c>
      <c r="L57" s="212">
        <v>21.0</v>
      </c>
      <c r="M57" s="212">
        <f>G57*(1+L57/100)</f>
        <v>35396.735</v>
      </c>
      <c r="N57" s="212">
        <v>0.26486</v>
      </c>
      <c r="O57" s="212">
        <f>ROUND(E57*N57,2)</f>
        <v>108.59</v>
      </c>
      <c r="P57" s="212">
        <v>0.0</v>
      </c>
      <c r="Q57" s="212">
        <f>ROUND(E57*P57,2)</f>
        <v>0</v>
      </c>
      <c r="R57" s="212"/>
      <c r="S57" s="212" t="s">
        <v>184</v>
      </c>
      <c r="T57" s="212" t="s">
        <v>184</v>
      </c>
      <c r="U57" s="212">
        <v>0.111</v>
      </c>
      <c r="V57" s="212">
        <f>ROUND(E57*U57,2)</f>
        <v>45.51</v>
      </c>
      <c r="W57" s="212"/>
      <c r="X57" s="212" t="s">
        <v>225</v>
      </c>
      <c r="Y57" s="213"/>
      <c r="Z57" s="213"/>
      <c r="AA57" s="213"/>
      <c r="AB57" s="213"/>
      <c r="AC57" s="213"/>
      <c r="AD57" s="213"/>
      <c r="AE57" s="213"/>
      <c r="AF57" s="213"/>
      <c r="AG57" s="213" t="s">
        <v>408</v>
      </c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35"/>
      <c r="B58" s="236"/>
      <c r="C58" s="237" t="s">
        <v>752</v>
      </c>
      <c r="D58" s="238"/>
      <c r="E58" s="239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3"/>
      <c r="Z58" s="213"/>
      <c r="AA58" s="213"/>
      <c r="AB58" s="213"/>
      <c r="AC58" s="213"/>
      <c r="AD58" s="213"/>
      <c r="AE58" s="213"/>
      <c r="AF58" s="213"/>
      <c r="AG58" s="213" t="s">
        <v>228</v>
      </c>
      <c r="AH58" s="213">
        <v>0.0</v>
      </c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749</v>
      </c>
      <c r="D59" s="238"/>
      <c r="E59" s="239">
        <v>410.0</v>
      </c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14">
        <v>25.0</v>
      </c>
      <c r="B60" s="215" t="s">
        <v>753</v>
      </c>
      <c r="C60" s="216" t="s">
        <v>754</v>
      </c>
      <c r="D60" s="217" t="s">
        <v>251</v>
      </c>
      <c r="E60" s="218">
        <v>451.0</v>
      </c>
      <c r="F60" s="219">
        <v>25.0</v>
      </c>
      <c r="G60" s="220">
        <f>ROUND(E60*F60,2)</f>
        <v>11275</v>
      </c>
      <c r="H60" s="211"/>
      <c r="I60" s="212">
        <f>ROUND(E60*H60,2)</f>
        <v>0</v>
      </c>
      <c r="J60" s="211"/>
      <c r="K60" s="212">
        <f>ROUND(E60*J60,2)</f>
        <v>0</v>
      </c>
      <c r="L60" s="212">
        <v>21.0</v>
      </c>
      <c r="M60" s="212">
        <f>G60*(1+L60/100)</f>
        <v>13642.75</v>
      </c>
      <c r="N60" s="212">
        <v>3.1E-4</v>
      </c>
      <c r="O60" s="212">
        <f>ROUND(E60*N60,2)</f>
        <v>0.14</v>
      </c>
      <c r="P60" s="212">
        <v>0.0</v>
      </c>
      <c r="Q60" s="212">
        <f>ROUND(E60*P60,2)</f>
        <v>0</v>
      </c>
      <c r="R60" s="212"/>
      <c r="S60" s="212" t="s">
        <v>184</v>
      </c>
      <c r="T60" s="212" t="s">
        <v>184</v>
      </c>
      <c r="U60" s="212">
        <v>0.026</v>
      </c>
      <c r="V60" s="212">
        <f>ROUND(E60*U60,2)</f>
        <v>11.73</v>
      </c>
      <c r="W60" s="212"/>
      <c r="X60" s="212" t="s">
        <v>225</v>
      </c>
      <c r="Y60" s="213"/>
      <c r="Z60" s="213"/>
      <c r="AA60" s="213"/>
      <c r="AB60" s="213"/>
      <c r="AC60" s="213"/>
      <c r="AD60" s="213"/>
      <c r="AE60" s="213"/>
      <c r="AF60" s="213"/>
      <c r="AG60" s="213" t="s">
        <v>408</v>
      </c>
      <c r="AH60" s="213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755</v>
      </c>
      <c r="D61" s="238"/>
      <c r="E61" s="239">
        <v>451.0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26.0</v>
      </c>
      <c r="B62" s="215" t="s">
        <v>756</v>
      </c>
      <c r="C62" s="216" t="s">
        <v>757</v>
      </c>
      <c r="D62" s="217" t="s">
        <v>251</v>
      </c>
      <c r="E62" s="218">
        <v>410.0</v>
      </c>
      <c r="F62" s="219">
        <v>70.7</v>
      </c>
      <c r="G62" s="220">
        <f>ROUND(E62*F62,2)</f>
        <v>28987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35074.27</v>
      </c>
      <c r="N62" s="212">
        <v>0.0</v>
      </c>
      <c r="O62" s="212">
        <f>ROUND(E62*N62,2)</f>
        <v>0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0.068</v>
      </c>
      <c r="V62" s="212">
        <f>ROUND(E62*U62,2)</f>
        <v>27.88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408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758</v>
      </c>
      <c r="D63" s="238"/>
      <c r="E63" s="239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749</v>
      </c>
      <c r="D64" s="238"/>
      <c r="E64" s="239">
        <v>410.0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14">
        <v>27.0</v>
      </c>
      <c r="B65" s="215" t="s">
        <v>759</v>
      </c>
      <c r="C65" s="216" t="s">
        <v>760</v>
      </c>
      <c r="D65" s="217" t="s">
        <v>251</v>
      </c>
      <c r="E65" s="218">
        <v>410.0</v>
      </c>
      <c r="F65" s="219">
        <v>112.3</v>
      </c>
      <c r="G65" s="220">
        <f>ROUND(E65*F65,2)</f>
        <v>46043</v>
      </c>
      <c r="H65" s="211"/>
      <c r="I65" s="212">
        <f>ROUND(E65*H65,2)</f>
        <v>0</v>
      </c>
      <c r="J65" s="211"/>
      <c r="K65" s="212">
        <f>ROUND(E65*J65,2)</f>
        <v>0</v>
      </c>
      <c r="L65" s="212">
        <v>21.0</v>
      </c>
      <c r="M65" s="212">
        <f>G65*(1+L65/100)</f>
        <v>55712.03</v>
      </c>
      <c r="N65" s="212">
        <v>0.0</v>
      </c>
      <c r="O65" s="212">
        <f>ROUND(E65*N65,2)</f>
        <v>0</v>
      </c>
      <c r="P65" s="212">
        <v>0.0</v>
      </c>
      <c r="Q65" s="212">
        <f>ROUND(E65*P65,2)</f>
        <v>0</v>
      </c>
      <c r="R65" s="212"/>
      <c r="S65" s="212" t="s">
        <v>184</v>
      </c>
      <c r="T65" s="212" t="s">
        <v>184</v>
      </c>
      <c r="U65" s="212">
        <v>0.276</v>
      </c>
      <c r="V65" s="212">
        <f>ROUND(E65*U65,2)</f>
        <v>113.16</v>
      </c>
      <c r="W65" s="212"/>
      <c r="X65" s="212" t="s">
        <v>225</v>
      </c>
      <c r="Y65" s="213"/>
      <c r="Z65" s="213"/>
      <c r="AA65" s="213"/>
      <c r="AB65" s="213"/>
      <c r="AC65" s="213"/>
      <c r="AD65" s="213"/>
      <c r="AE65" s="213"/>
      <c r="AF65" s="213"/>
      <c r="AG65" s="213" t="s">
        <v>408</v>
      </c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749</v>
      </c>
      <c r="D66" s="238"/>
      <c r="E66" s="239">
        <v>410.0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>
      <c r="A67" s="175"/>
      <c r="B67" s="179"/>
      <c r="C67" s="221"/>
      <c r="D67" s="181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AE67" s="184">
        <v>15.0</v>
      </c>
      <c r="AF67" s="184">
        <v>21.0</v>
      </c>
      <c r="AG67" s="184" t="s">
        <v>160</v>
      </c>
    </row>
    <row r="68" ht="12.75" customHeight="1">
      <c r="A68" s="222"/>
      <c r="B68" s="223" t="s">
        <v>24</v>
      </c>
      <c r="C68" s="224"/>
      <c r="D68" s="225"/>
      <c r="E68" s="226"/>
      <c r="F68" s="226"/>
      <c r="G68" s="227">
        <f>G8+G13+G17+G31+G48</f>
        <v>979104.28</v>
      </c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AE68" s="184">
        <f>SUMIF(L7:L66,AE67,G7:G66)</f>
        <v>0</v>
      </c>
      <c r="AF68" s="184">
        <f>SUMIF(L7:L66,AF67,G7:G66)</f>
        <v>979104.28</v>
      </c>
      <c r="AG68" s="184" t="s">
        <v>218</v>
      </c>
    </row>
    <row r="69" ht="12.75" customHeight="1">
      <c r="A69" s="175"/>
      <c r="B69" s="179"/>
      <c r="C69" s="221"/>
      <c r="D69" s="181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</row>
    <row r="70" ht="12.75" customHeight="1">
      <c r="A70" s="175"/>
      <c r="B70" s="179"/>
      <c r="C70" s="221"/>
      <c r="D70" s="181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</row>
    <row r="71" ht="12.75" customHeight="1">
      <c r="A71" s="175" t="s">
        <v>219</v>
      </c>
      <c r="D71" s="181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</row>
    <row r="72" ht="12.75" customHeight="1">
      <c r="A72" s="228"/>
      <c r="B72" s="27"/>
      <c r="C72" s="27"/>
      <c r="D72" s="27"/>
      <c r="E72" s="27"/>
      <c r="F72" s="27"/>
      <c r="G72" s="229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AG72" s="184" t="s">
        <v>220</v>
      </c>
    </row>
    <row r="73" ht="12.75" customHeight="1">
      <c r="A73" s="230"/>
      <c r="G73" s="231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</row>
    <row r="74" ht="12.75" customHeight="1">
      <c r="A74" s="230"/>
      <c r="G74" s="231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</row>
    <row r="75" ht="12.75" customHeight="1">
      <c r="A75" s="230"/>
      <c r="G75" s="231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</row>
    <row r="76" ht="12.75" customHeight="1">
      <c r="A76" s="232"/>
      <c r="B76" s="38"/>
      <c r="C76" s="38"/>
      <c r="D76" s="38"/>
      <c r="E76" s="38"/>
      <c r="F76" s="38"/>
      <c r="G76" s="233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</row>
    <row r="77" ht="12.75" customHeight="1">
      <c r="A77" s="175"/>
      <c r="B77" s="179"/>
      <c r="C77" s="221"/>
      <c r="D77" s="181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</row>
    <row r="78" ht="12.75" customHeight="1">
      <c r="B78" s="185"/>
      <c r="C78" s="234"/>
      <c r="D78" s="126"/>
      <c r="AG78" s="184" t="s">
        <v>221</v>
      </c>
    </row>
    <row r="79" ht="12.75" customHeight="1">
      <c r="B79" s="185"/>
      <c r="C79" s="185"/>
      <c r="D79" s="126"/>
    </row>
    <row r="80" ht="12.75" customHeight="1">
      <c r="B80" s="185"/>
      <c r="C80" s="185"/>
      <c r="D80" s="126"/>
    </row>
    <row r="81" ht="12.75" customHeight="1">
      <c r="B81" s="185"/>
      <c r="C81" s="185"/>
      <c r="D81" s="126"/>
    </row>
    <row r="82" ht="12.75" customHeight="1">
      <c r="B82" s="185"/>
      <c r="C82" s="185"/>
      <c r="D82" s="126"/>
    </row>
    <row r="83" ht="12.75" customHeight="1">
      <c r="B83" s="185"/>
      <c r="C83" s="185"/>
      <c r="D83" s="126"/>
    </row>
    <row r="84" ht="12.75" customHeight="1">
      <c r="B84" s="185"/>
      <c r="C84" s="185"/>
      <c r="D84" s="126"/>
    </row>
    <row r="85" ht="12.75" customHeight="1">
      <c r="B85" s="185"/>
      <c r="C85" s="185"/>
      <c r="D85" s="126"/>
    </row>
    <row r="86" ht="12.75" customHeight="1">
      <c r="B86" s="185"/>
      <c r="C86" s="185"/>
      <c r="D86" s="126"/>
    </row>
    <row r="87" ht="12.75" customHeight="1">
      <c r="B87" s="185"/>
      <c r="C87" s="185"/>
      <c r="D87" s="126"/>
    </row>
    <row r="88" ht="12.75" customHeight="1">
      <c r="B88" s="185"/>
      <c r="C88" s="185"/>
      <c r="D88" s="126"/>
    </row>
    <row r="89" ht="12.75" customHeight="1">
      <c r="B89" s="185"/>
      <c r="C89" s="185"/>
      <c r="D89" s="126"/>
    </row>
    <row r="90" ht="12.75" customHeight="1">
      <c r="B90" s="185"/>
      <c r="C90" s="185"/>
      <c r="D90" s="126"/>
    </row>
    <row r="91" ht="12.75" customHeight="1">
      <c r="B91" s="185"/>
      <c r="C91" s="185"/>
      <c r="D91" s="126"/>
    </row>
    <row r="92" ht="12.75" customHeight="1">
      <c r="B92" s="185"/>
      <c r="C92" s="185"/>
      <c r="D92" s="126"/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</row>
    <row r="280" ht="12.75" customHeight="1">
      <c r="B280" s="185"/>
      <c r="C280" s="185"/>
    </row>
    <row r="281" ht="12.75" customHeight="1">
      <c r="B281" s="185"/>
      <c r="C281" s="185"/>
    </row>
    <row r="282" ht="12.75" customHeight="1">
      <c r="B282" s="185"/>
      <c r="C282" s="185"/>
    </row>
    <row r="283" ht="12.75" customHeight="1">
      <c r="B283" s="185"/>
      <c r="C283" s="185"/>
    </row>
    <row r="284" ht="12.75" customHeight="1">
      <c r="B284" s="185"/>
      <c r="C284" s="185"/>
    </row>
    <row r="285" ht="12.75" customHeight="1">
      <c r="B285" s="185"/>
      <c r="C285" s="185"/>
    </row>
    <row r="286" ht="12.75" customHeight="1">
      <c r="B286" s="185"/>
      <c r="C286" s="185"/>
    </row>
    <row r="287" ht="12.75" customHeight="1">
      <c r="B287" s="185"/>
      <c r="C287" s="185"/>
    </row>
    <row r="288" ht="12.75" customHeight="1">
      <c r="B288" s="185"/>
      <c r="C288" s="185"/>
    </row>
    <row r="289" ht="12.75" customHeight="1">
      <c r="B289" s="185"/>
      <c r="C289" s="185"/>
    </row>
    <row r="290" ht="12.75" customHeight="1">
      <c r="B290" s="185"/>
      <c r="C290" s="185"/>
    </row>
    <row r="291" ht="12.75" customHeight="1">
      <c r="B291" s="185"/>
      <c r="C291" s="185"/>
    </row>
    <row r="292" ht="12.75" customHeight="1">
      <c r="B292" s="185"/>
      <c r="C292" s="185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71:C71"/>
    <mergeCell ref="A72:G76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3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66</v>
      </c>
      <c r="C3" s="177" t="s">
        <v>67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66</v>
      </c>
      <c r="C4" s="188" t="s">
        <v>67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126</v>
      </c>
      <c r="C8" s="198" t="s">
        <v>127</v>
      </c>
      <c r="D8" s="199"/>
      <c r="E8" s="200"/>
      <c r="F8" s="201"/>
      <c r="G8" s="202">
        <f>SUMIF(AG9:AG24,"&lt;&gt;NOR",G9:G24)</f>
        <v>316395.75</v>
      </c>
      <c r="H8" s="203"/>
      <c r="I8" s="203">
        <f>SUM(I9:I24)</f>
        <v>0</v>
      </c>
      <c r="J8" s="203"/>
      <c r="K8" s="203">
        <f>SUM(K9:K24)</f>
        <v>0</v>
      </c>
      <c r="L8" s="203"/>
      <c r="M8" s="203">
        <f>SUM(M9:M24)</f>
        <v>382838.8575</v>
      </c>
      <c r="N8" s="203"/>
      <c r="O8" s="203">
        <f>SUM(O9:O24)</f>
        <v>0</v>
      </c>
      <c r="P8" s="203"/>
      <c r="Q8" s="203">
        <f>SUM(Q9:Q24)</f>
        <v>0</v>
      </c>
      <c r="R8" s="203"/>
      <c r="S8" s="203"/>
      <c r="T8" s="203"/>
      <c r="U8" s="203"/>
      <c r="V8" s="203">
        <f>SUM(V9:V24)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694</v>
      </c>
      <c r="C9" s="206" t="s">
        <v>761</v>
      </c>
      <c r="D9" s="207" t="s">
        <v>372</v>
      </c>
      <c r="E9" s="208">
        <v>1.0</v>
      </c>
      <c r="F9" s="209">
        <v>25845.6</v>
      </c>
      <c r="G9" s="210">
        <f t="shared" ref="G9:G24" si="1">ROUND(E9*F9,2)</f>
        <v>25845.6</v>
      </c>
      <c r="H9" s="211"/>
      <c r="I9" s="212">
        <f t="shared" ref="I9:I24" si="2">ROUND(E9*H9,2)</f>
        <v>0</v>
      </c>
      <c r="J9" s="211"/>
      <c r="K9" s="212">
        <f t="shared" ref="K9:K24" si="3">ROUND(E9*J9,2)</f>
        <v>0</v>
      </c>
      <c r="L9" s="212">
        <v>21.0</v>
      </c>
      <c r="M9" s="212">
        <f t="shared" ref="M9:M24" si="4">G9*(1+L9/100)</f>
        <v>31273.176</v>
      </c>
      <c r="N9" s="212">
        <v>0.0</v>
      </c>
      <c r="O9" s="212">
        <f t="shared" ref="O9:O24" si="5">ROUND(E9*N9,2)</f>
        <v>0</v>
      </c>
      <c r="P9" s="212">
        <v>0.0</v>
      </c>
      <c r="Q9" s="212">
        <f t="shared" ref="Q9:Q24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24" si="7">ROUND(E9*U9,2)</f>
        <v>0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</row>
    <row r="10" ht="12.75" customHeight="1" outlineLevel="1">
      <c r="A10" s="204">
        <v>2.0</v>
      </c>
      <c r="B10" s="205" t="s">
        <v>696</v>
      </c>
      <c r="C10" s="206" t="s">
        <v>762</v>
      </c>
      <c r="D10" s="207" t="s">
        <v>251</v>
      </c>
      <c r="E10" s="208">
        <v>75.0</v>
      </c>
      <c r="F10" s="209">
        <v>112.16</v>
      </c>
      <c r="G10" s="210">
        <f t="shared" si="1"/>
        <v>8412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10178.52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178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</row>
    <row r="11" ht="12.75" customHeight="1" outlineLevel="1">
      <c r="A11" s="204">
        <v>3.0</v>
      </c>
      <c r="B11" s="205" t="s">
        <v>698</v>
      </c>
      <c r="C11" s="206" t="s">
        <v>763</v>
      </c>
      <c r="D11" s="207" t="s">
        <v>251</v>
      </c>
      <c r="E11" s="208">
        <v>75.0</v>
      </c>
      <c r="F11" s="209">
        <v>91.57</v>
      </c>
      <c r="G11" s="210">
        <f t="shared" si="1"/>
        <v>6867.75</v>
      </c>
      <c r="H11" s="211"/>
      <c r="I11" s="212">
        <f t="shared" si="2"/>
        <v>0</v>
      </c>
      <c r="J11" s="211"/>
      <c r="K11" s="212">
        <f t="shared" si="3"/>
        <v>0</v>
      </c>
      <c r="L11" s="212">
        <v>21.0</v>
      </c>
      <c r="M11" s="212">
        <f t="shared" si="4"/>
        <v>8309.9775</v>
      </c>
      <c r="N11" s="212">
        <v>0.0</v>
      </c>
      <c r="O11" s="212">
        <f t="shared" si="5"/>
        <v>0</v>
      </c>
      <c r="P11" s="212">
        <v>0.0</v>
      </c>
      <c r="Q11" s="212">
        <f t="shared" si="6"/>
        <v>0</v>
      </c>
      <c r="R11" s="212"/>
      <c r="S11" s="212" t="s">
        <v>178</v>
      </c>
      <c r="T11" s="212" t="s">
        <v>179</v>
      </c>
      <c r="U11" s="212">
        <v>0.0</v>
      </c>
      <c r="V11" s="212">
        <f t="shared" si="7"/>
        <v>0</v>
      </c>
      <c r="W11" s="212"/>
      <c r="X11" s="212" t="s">
        <v>225</v>
      </c>
      <c r="Y11" s="213"/>
      <c r="Z11" s="213"/>
      <c r="AA11" s="213"/>
      <c r="AB11" s="213"/>
      <c r="AC11" s="213"/>
      <c r="AD11" s="213"/>
      <c r="AE11" s="213"/>
      <c r="AF11" s="213"/>
      <c r="AG11" s="213" t="s">
        <v>226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</row>
    <row r="12" ht="12.75" customHeight="1" outlineLevel="1">
      <c r="A12" s="204">
        <v>4.0</v>
      </c>
      <c r="B12" s="205" t="s">
        <v>700</v>
      </c>
      <c r="C12" s="206" t="s">
        <v>764</v>
      </c>
      <c r="D12" s="207" t="s">
        <v>251</v>
      </c>
      <c r="E12" s="208">
        <v>85.0</v>
      </c>
      <c r="F12" s="209">
        <v>67.44</v>
      </c>
      <c r="G12" s="210">
        <f t="shared" si="1"/>
        <v>5732.4</v>
      </c>
      <c r="H12" s="211"/>
      <c r="I12" s="212">
        <f t="shared" si="2"/>
        <v>0</v>
      </c>
      <c r="J12" s="211"/>
      <c r="K12" s="212">
        <f t="shared" si="3"/>
        <v>0</v>
      </c>
      <c r="L12" s="212">
        <v>21.0</v>
      </c>
      <c r="M12" s="212">
        <f t="shared" si="4"/>
        <v>6936.204</v>
      </c>
      <c r="N12" s="212">
        <v>0.0</v>
      </c>
      <c r="O12" s="212">
        <f t="shared" si="5"/>
        <v>0</v>
      </c>
      <c r="P12" s="212">
        <v>0.0</v>
      </c>
      <c r="Q12" s="212">
        <f t="shared" si="6"/>
        <v>0</v>
      </c>
      <c r="R12" s="212"/>
      <c r="S12" s="212" t="s">
        <v>178</v>
      </c>
      <c r="T12" s="212" t="s">
        <v>179</v>
      </c>
      <c r="U12" s="212">
        <v>0.0</v>
      </c>
      <c r="V12" s="212">
        <f t="shared" si="7"/>
        <v>0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</row>
    <row r="13" ht="12.75" customHeight="1" outlineLevel="1">
      <c r="A13" s="204">
        <v>5.0</v>
      </c>
      <c r="B13" s="205" t="s">
        <v>765</v>
      </c>
      <c r="C13" s="206" t="s">
        <v>766</v>
      </c>
      <c r="D13" s="207" t="s">
        <v>372</v>
      </c>
      <c r="E13" s="208">
        <v>2.0</v>
      </c>
      <c r="F13" s="209">
        <v>11400.0</v>
      </c>
      <c r="G13" s="210">
        <f t="shared" si="1"/>
        <v>22800</v>
      </c>
      <c r="H13" s="211"/>
      <c r="I13" s="212">
        <f t="shared" si="2"/>
        <v>0</v>
      </c>
      <c r="J13" s="211"/>
      <c r="K13" s="212">
        <f t="shared" si="3"/>
        <v>0</v>
      </c>
      <c r="L13" s="212">
        <v>21.0</v>
      </c>
      <c r="M13" s="212">
        <f t="shared" si="4"/>
        <v>27588</v>
      </c>
      <c r="N13" s="212">
        <v>0.0</v>
      </c>
      <c r="O13" s="212">
        <f t="shared" si="5"/>
        <v>0</v>
      </c>
      <c r="P13" s="212">
        <v>0.0</v>
      </c>
      <c r="Q13" s="212">
        <f t="shared" si="6"/>
        <v>0</v>
      </c>
      <c r="R13" s="212"/>
      <c r="S13" s="212" t="s">
        <v>178</v>
      </c>
      <c r="T13" s="212" t="s">
        <v>179</v>
      </c>
      <c r="U13" s="212">
        <v>0.0</v>
      </c>
      <c r="V13" s="212">
        <f t="shared" si="7"/>
        <v>0</v>
      </c>
      <c r="W13" s="212"/>
      <c r="X13" s="212" t="s">
        <v>225</v>
      </c>
      <c r="Y13" s="213"/>
      <c r="Z13" s="213"/>
      <c r="AA13" s="213"/>
      <c r="AB13" s="213"/>
      <c r="AC13" s="213"/>
      <c r="AD13" s="213"/>
      <c r="AE13" s="213"/>
      <c r="AF13" s="213"/>
      <c r="AG13" s="213" t="s">
        <v>226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</row>
    <row r="14" ht="12.75" customHeight="1" outlineLevel="1">
      <c r="A14" s="204">
        <v>6.0</v>
      </c>
      <c r="B14" s="205" t="s">
        <v>767</v>
      </c>
      <c r="C14" s="206" t="s">
        <v>768</v>
      </c>
      <c r="D14" s="207" t="s">
        <v>372</v>
      </c>
      <c r="E14" s="208">
        <v>1.0</v>
      </c>
      <c r="F14" s="209">
        <v>1000.0</v>
      </c>
      <c r="G14" s="210">
        <f t="shared" si="1"/>
        <v>1000</v>
      </c>
      <c r="H14" s="211"/>
      <c r="I14" s="212">
        <f t="shared" si="2"/>
        <v>0</v>
      </c>
      <c r="J14" s="211"/>
      <c r="K14" s="212">
        <f t="shared" si="3"/>
        <v>0</v>
      </c>
      <c r="L14" s="212">
        <v>21.0</v>
      </c>
      <c r="M14" s="212">
        <f t="shared" si="4"/>
        <v>1210</v>
      </c>
      <c r="N14" s="212">
        <v>0.0</v>
      </c>
      <c r="O14" s="212">
        <f t="shared" si="5"/>
        <v>0</v>
      </c>
      <c r="P14" s="212">
        <v>0.0</v>
      </c>
      <c r="Q14" s="212">
        <f t="shared" si="6"/>
        <v>0</v>
      </c>
      <c r="R14" s="212"/>
      <c r="S14" s="212" t="s">
        <v>178</v>
      </c>
      <c r="T14" s="212" t="s">
        <v>179</v>
      </c>
      <c r="U14" s="212">
        <v>0.0</v>
      </c>
      <c r="V14" s="212">
        <f t="shared" si="7"/>
        <v>0</v>
      </c>
      <c r="W14" s="212"/>
      <c r="X14" s="212" t="s">
        <v>225</v>
      </c>
      <c r="Y14" s="213"/>
      <c r="Z14" s="213"/>
      <c r="AA14" s="213"/>
      <c r="AB14" s="213"/>
      <c r="AC14" s="213"/>
      <c r="AD14" s="213"/>
      <c r="AE14" s="213"/>
      <c r="AF14" s="213"/>
      <c r="AG14" s="213" t="s">
        <v>226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</row>
    <row r="15" ht="12.75" customHeight="1" outlineLevel="1">
      <c r="A15" s="204">
        <v>7.0</v>
      </c>
      <c r="B15" s="205" t="s">
        <v>769</v>
      </c>
      <c r="C15" s="206" t="s">
        <v>770</v>
      </c>
      <c r="D15" s="207" t="s">
        <v>372</v>
      </c>
      <c r="E15" s="208">
        <v>192.0</v>
      </c>
      <c r="F15" s="209">
        <v>594.0</v>
      </c>
      <c r="G15" s="210">
        <f t="shared" si="1"/>
        <v>114048</v>
      </c>
      <c r="H15" s="211"/>
      <c r="I15" s="212">
        <f t="shared" si="2"/>
        <v>0</v>
      </c>
      <c r="J15" s="211"/>
      <c r="K15" s="212">
        <f t="shared" si="3"/>
        <v>0</v>
      </c>
      <c r="L15" s="212">
        <v>21.0</v>
      </c>
      <c r="M15" s="212">
        <f t="shared" si="4"/>
        <v>137998.08</v>
      </c>
      <c r="N15" s="212">
        <v>0.0</v>
      </c>
      <c r="O15" s="212">
        <f t="shared" si="5"/>
        <v>0</v>
      </c>
      <c r="P15" s="212">
        <v>0.0</v>
      </c>
      <c r="Q15" s="212">
        <f t="shared" si="6"/>
        <v>0</v>
      </c>
      <c r="R15" s="212"/>
      <c r="S15" s="212" t="s">
        <v>178</v>
      </c>
      <c r="T15" s="212" t="s">
        <v>179</v>
      </c>
      <c r="U15" s="212">
        <v>0.0</v>
      </c>
      <c r="V15" s="212">
        <f t="shared" si="7"/>
        <v>0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</row>
    <row r="16" ht="12.75" customHeight="1" outlineLevel="1">
      <c r="A16" s="204">
        <v>8.0</v>
      </c>
      <c r="B16" s="205" t="s">
        <v>771</v>
      </c>
      <c r="C16" s="206" t="s">
        <v>772</v>
      </c>
      <c r="D16" s="207" t="s">
        <v>372</v>
      </c>
      <c r="E16" s="208">
        <v>1.0</v>
      </c>
      <c r="F16" s="209">
        <v>12000.0</v>
      </c>
      <c r="G16" s="210">
        <f t="shared" si="1"/>
        <v>12000</v>
      </c>
      <c r="H16" s="211"/>
      <c r="I16" s="212">
        <f t="shared" si="2"/>
        <v>0</v>
      </c>
      <c r="J16" s="211"/>
      <c r="K16" s="212">
        <f t="shared" si="3"/>
        <v>0</v>
      </c>
      <c r="L16" s="212">
        <v>21.0</v>
      </c>
      <c r="M16" s="212">
        <f t="shared" si="4"/>
        <v>14520</v>
      </c>
      <c r="N16" s="212">
        <v>0.0</v>
      </c>
      <c r="O16" s="212">
        <f t="shared" si="5"/>
        <v>0</v>
      </c>
      <c r="P16" s="212">
        <v>0.0</v>
      </c>
      <c r="Q16" s="212">
        <f t="shared" si="6"/>
        <v>0</v>
      </c>
      <c r="R16" s="212"/>
      <c r="S16" s="212" t="s">
        <v>178</v>
      </c>
      <c r="T16" s="212" t="s">
        <v>179</v>
      </c>
      <c r="U16" s="212">
        <v>0.0</v>
      </c>
      <c r="V16" s="212">
        <f t="shared" si="7"/>
        <v>0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</row>
    <row r="17" ht="12.75" customHeight="1" outlineLevel="1">
      <c r="A17" s="204">
        <v>9.0</v>
      </c>
      <c r="B17" s="205" t="s">
        <v>773</v>
      </c>
      <c r="C17" s="206" t="s">
        <v>774</v>
      </c>
      <c r="D17" s="207" t="s">
        <v>372</v>
      </c>
      <c r="E17" s="208">
        <v>5.0</v>
      </c>
      <c r="F17" s="209">
        <v>246.0</v>
      </c>
      <c r="G17" s="210">
        <f t="shared" si="1"/>
        <v>1230</v>
      </c>
      <c r="H17" s="211"/>
      <c r="I17" s="212">
        <f t="shared" si="2"/>
        <v>0</v>
      </c>
      <c r="J17" s="211"/>
      <c r="K17" s="212">
        <f t="shared" si="3"/>
        <v>0</v>
      </c>
      <c r="L17" s="212">
        <v>21.0</v>
      </c>
      <c r="M17" s="212">
        <f t="shared" si="4"/>
        <v>1488.3</v>
      </c>
      <c r="N17" s="212">
        <v>0.0</v>
      </c>
      <c r="O17" s="212">
        <f t="shared" si="5"/>
        <v>0</v>
      </c>
      <c r="P17" s="212">
        <v>0.0</v>
      </c>
      <c r="Q17" s="212">
        <f t="shared" si="6"/>
        <v>0</v>
      </c>
      <c r="R17" s="212"/>
      <c r="S17" s="212" t="s">
        <v>178</v>
      </c>
      <c r="T17" s="212" t="s">
        <v>179</v>
      </c>
      <c r="U17" s="212">
        <v>0.0</v>
      </c>
      <c r="V17" s="212">
        <f t="shared" si="7"/>
        <v>0</v>
      </c>
      <c r="W17" s="212"/>
      <c r="X17" s="212" t="s">
        <v>225</v>
      </c>
      <c r="Y17" s="213"/>
      <c r="Z17" s="213"/>
      <c r="AA17" s="213"/>
      <c r="AB17" s="213"/>
      <c r="AC17" s="213"/>
      <c r="AD17" s="213"/>
      <c r="AE17" s="213"/>
      <c r="AF17" s="213"/>
      <c r="AG17" s="213" t="s">
        <v>226</v>
      </c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</row>
    <row r="18" ht="12.75" customHeight="1" outlineLevel="1">
      <c r="A18" s="204">
        <v>10.0</v>
      </c>
      <c r="B18" s="205" t="s">
        <v>775</v>
      </c>
      <c r="C18" s="206" t="s">
        <v>776</v>
      </c>
      <c r="D18" s="207" t="s">
        <v>372</v>
      </c>
      <c r="E18" s="208">
        <v>1.0</v>
      </c>
      <c r="F18" s="209">
        <v>14400.0</v>
      </c>
      <c r="G18" s="210">
        <f t="shared" si="1"/>
        <v>14400</v>
      </c>
      <c r="H18" s="211"/>
      <c r="I18" s="212">
        <f t="shared" si="2"/>
        <v>0</v>
      </c>
      <c r="J18" s="211"/>
      <c r="K18" s="212">
        <f t="shared" si="3"/>
        <v>0</v>
      </c>
      <c r="L18" s="212">
        <v>21.0</v>
      </c>
      <c r="M18" s="212">
        <f t="shared" si="4"/>
        <v>17424</v>
      </c>
      <c r="N18" s="212">
        <v>0.0</v>
      </c>
      <c r="O18" s="212">
        <f t="shared" si="5"/>
        <v>0</v>
      </c>
      <c r="P18" s="212">
        <v>0.0</v>
      </c>
      <c r="Q18" s="212">
        <f t="shared" si="6"/>
        <v>0</v>
      </c>
      <c r="R18" s="212"/>
      <c r="S18" s="212" t="s">
        <v>178</v>
      </c>
      <c r="T18" s="212" t="s">
        <v>179</v>
      </c>
      <c r="U18" s="212">
        <v>0.0</v>
      </c>
      <c r="V18" s="212">
        <f t="shared" si="7"/>
        <v>0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</row>
    <row r="19" ht="12.75" customHeight="1" outlineLevel="1">
      <c r="A19" s="204">
        <v>11.0</v>
      </c>
      <c r="B19" s="205" t="s">
        <v>777</v>
      </c>
      <c r="C19" s="206" t="s">
        <v>778</v>
      </c>
      <c r="D19" s="207" t="s">
        <v>372</v>
      </c>
      <c r="E19" s="208">
        <v>1.0</v>
      </c>
      <c r="F19" s="209">
        <v>10820.0</v>
      </c>
      <c r="G19" s="210">
        <f t="shared" si="1"/>
        <v>10820</v>
      </c>
      <c r="H19" s="211"/>
      <c r="I19" s="212">
        <f t="shared" si="2"/>
        <v>0</v>
      </c>
      <c r="J19" s="211"/>
      <c r="K19" s="212">
        <f t="shared" si="3"/>
        <v>0</v>
      </c>
      <c r="L19" s="212">
        <v>21.0</v>
      </c>
      <c r="M19" s="212">
        <f t="shared" si="4"/>
        <v>13092.2</v>
      </c>
      <c r="N19" s="212">
        <v>0.0</v>
      </c>
      <c r="O19" s="212">
        <f t="shared" si="5"/>
        <v>0</v>
      </c>
      <c r="P19" s="212">
        <v>0.0</v>
      </c>
      <c r="Q19" s="212">
        <f t="shared" si="6"/>
        <v>0</v>
      </c>
      <c r="R19" s="212"/>
      <c r="S19" s="212" t="s">
        <v>178</v>
      </c>
      <c r="T19" s="212" t="s">
        <v>179</v>
      </c>
      <c r="U19" s="212">
        <v>0.0</v>
      </c>
      <c r="V19" s="212">
        <f t="shared" si="7"/>
        <v>0</v>
      </c>
      <c r="W19" s="212"/>
      <c r="X19" s="212" t="s">
        <v>225</v>
      </c>
      <c r="Y19" s="213"/>
      <c r="Z19" s="213"/>
      <c r="AA19" s="213"/>
      <c r="AB19" s="213"/>
      <c r="AC19" s="213"/>
      <c r="AD19" s="213"/>
      <c r="AE19" s="213"/>
      <c r="AF19" s="213"/>
      <c r="AG19" s="213" t="s">
        <v>226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</row>
    <row r="20" ht="12.75" customHeight="1" outlineLevel="1">
      <c r="A20" s="204">
        <v>12.0</v>
      </c>
      <c r="B20" s="205" t="s">
        <v>779</v>
      </c>
      <c r="C20" s="206" t="s">
        <v>780</v>
      </c>
      <c r="D20" s="207" t="s">
        <v>372</v>
      </c>
      <c r="E20" s="208">
        <v>1.0</v>
      </c>
      <c r="F20" s="209">
        <v>3360.0</v>
      </c>
      <c r="G20" s="210">
        <f t="shared" si="1"/>
        <v>3360</v>
      </c>
      <c r="H20" s="211"/>
      <c r="I20" s="212">
        <f t="shared" si="2"/>
        <v>0</v>
      </c>
      <c r="J20" s="211"/>
      <c r="K20" s="212">
        <f t="shared" si="3"/>
        <v>0</v>
      </c>
      <c r="L20" s="212">
        <v>21.0</v>
      </c>
      <c r="M20" s="212">
        <f t="shared" si="4"/>
        <v>4065.6</v>
      </c>
      <c r="N20" s="212">
        <v>0.0</v>
      </c>
      <c r="O20" s="212">
        <f t="shared" si="5"/>
        <v>0</v>
      </c>
      <c r="P20" s="212">
        <v>0.0</v>
      </c>
      <c r="Q20" s="212">
        <f t="shared" si="6"/>
        <v>0</v>
      </c>
      <c r="R20" s="212"/>
      <c r="S20" s="212" t="s">
        <v>178</v>
      </c>
      <c r="T20" s="212" t="s">
        <v>179</v>
      </c>
      <c r="U20" s="212">
        <v>0.0</v>
      </c>
      <c r="V20" s="212">
        <f t="shared" si="7"/>
        <v>0</v>
      </c>
      <c r="W20" s="212"/>
      <c r="X20" s="212" t="s">
        <v>225</v>
      </c>
      <c r="Y20" s="213"/>
      <c r="Z20" s="213"/>
      <c r="AA20" s="213"/>
      <c r="AB20" s="213"/>
      <c r="AC20" s="213"/>
      <c r="AD20" s="213"/>
      <c r="AE20" s="213"/>
      <c r="AF20" s="213"/>
      <c r="AG20" s="213" t="s">
        <v>226</v>
      </c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</row>
    <row r="21" ht="12.75" customHeight="1" outlineLevel="1">
      <c r="A21" s="204">
        <v>13.0</v>
      </c>
      <c r="B21" s="205" t="s">
        <v>781</v>
      </c>
      <c r="C21" s="206" t="s">
        <v>782</v>
      </c>
      <c r="D21" s="207" t="s">
        <v>372</v>
      </c>
      <c r="E21" s="208">
        <v>1.0</v>
      </c>
      <c r="F21" s="209">
        <v>54000.0</v>
      </c>
      <c r="G21" s="210">
        <f t="shared" si="1"/>
        <v>54000</v>
      </c>
      <c r="H21" s="211"/>
      <c r="I21" s="212">
        <f t="shared" si="2"/>
        <v>0</v>
      </c>
      <c r="J21" s="211"/>
      <c r="K21" s="212">
        <f t="shared" si="3"/>
        <v>0</v>
      </c>
      <c r="L21" s="212">
        <v>21.0</v>
      </c>
      <c r="M21" s="212">
        <f t="shared" si="4"/>
        <v>65340</v>
      </c>
      <c r="N21" s="212">
        <v>0.0</v>
      </c>
      <c r="O21" s="212">
        <f t="shared" si="5"/>
        <v>0</v>
      </c>
      <c r="P21" s="212">
        <v>0.0</v>
      </c>
      <c r="Q21" s="212">
        <f t="shared" si="6"/>
        <v>0</v>
      </c>
      <c r="R21" s="212"/>
      <c r="S21" s="212" t="s">
        <v>178</v>
      </c>
      <c r="T21" s="212" t="s">
        <v>179</v>
      </c>
      <c r="U21" s="212">
        <v>0.0</v>
      </c>
      <c r="V21" s="212">
        <f t="shared" si="7"/>
        <v>0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</row>
    <row r="22" ht="12.75" customHeight="1" outlineLevel="1">
      <c r="A22" s="204">
        <v>14.0</v>
      </c>
      <c r="B22" s="205" t="s">
        <v>783</v>
      </c>
      <c r="C22" s="206" t="s">
        <v>784</v>
      </c>
      <c r="D22" s="207" t="s">
        <v>372</v>
      </c>
      <c r="E22" s="208">
        <v>1.0</v>
      </c>
      <c r="F22" s="209">
        <v>4080.0</v>
      </c>
      <c r="G22" s="210">
        <f t="shared" si="1"/>
        <v>4080</v>
      </c>
      <c r="H22" s="211"/>
      <c r="I22" s="212">
        <f t="shared" si="2"/>
        <v>0</v>
      </c>
      <c r="J22" s="211"/>
      <c r="K22" s="212">
        <f t="shared" si="3"/>
        <v>0</v>
      </c>
      <c r="L22" s="212">
        <v>21.0</v>
      </c>
      <c r="M22" s="212">
        <f t="shared" si="4"/>
        <v>4936.8</v>
      </c>
      <c r="N22" s="212">
        <v>0.0</v>
      </c>
      <c r="O22" s="212">
        <f t="shared" si="5"/>
        <v>0</v>
      </c>
      <c r="P22" s="212">
        <v>0.0</v>
      </c>
      <c r="Q22" s="212">
        <f t="shared" si="6"/>
        <v>0</v>
      </c>
      <c r="R22" s="212"/>
      <c r="S22" s="212" t="s">
        <v>178</v>
      </c>
      <c r="T22" s="212" t="s">
        <v>179</v>
      </c>
      <c r="U22" s="212">
        <v>0.0</v>
      </c>
      <c r="V22" s="212">
        <f t="shared" si="7"/>
        <v>0</v>
      </c>
      <c r="W22" s="212"/>
      <c r="X22" s="212" t="s">
        <v>225</v>
      </c>
      <c r="Y22" s="213"/>
      <c r="Z22" s="213"/>
      <c r="AA22" s="213"/>
      <c r="AB22" s="213"/>
      <c r="AC22" s="213"/>
      <c r="AD22" s="213"/>
      <c r="AE22" s="213"/>
      <c r="AF22" s="213"/>
      <c r="AG22" s="213" t="s">
        <v>226</v>
      </c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</row>
    <row r="23" ht="12.75" customHeight="1" outlineLevel="1">
      <c r="A23" s="204">
        <v>15.0</v>
      </c>
      <c r="B23" s="205" t="s">
        <v>785</v>
      </c>
      <c r="C23" s="206" t="s">
        <v>786</v>
      </c>
      <c r="D23" s="207" t="s">
        <v>372</v>
      </c>
      <c r="E23" s="208">
        <v>1.0</v>
      </c>
      <c r="F23" s="209">
        <v>17400.0</v>
      </c>
      <c r="G23" s="210">
        <f t="shared" si="1"/>
        <v>17400</v>
      </c>
      <c r="H23" s="211"/>
      <c r="I23" s="212">
        <f t="shared" si="2"/>
        <v>0</v>
      </c>
      <c r="J23" s="211"/>
      <c r="K23" s="212">
        <f t="shared" si="3"/>
        <v>0</v>
      </c>
      <c r="L23" s="212">
        <v>21.0</v>
      </c>
      <c r="M23" s="212">
        <f t="shared" si="4"/>
        <v>21054</v>
      </c>
      <c r="N23" s="212">
        <v>0.0</v>
      </c>
      <c r="O23" s="212">
        <f t="shared" si="5"/>
        <v>0</v>
      </c>
      <c r="P23" s="212">
        <v>0.0</v>
      </c>
      <c r="Q23" s="212">
        <f t="shared" si="6"/>
        <v>0</v>
      </c>
      <c r="R23" s="212"/>
      <c r="S23" s="212" t="s">
        <v>178</v>
      </c>
      <c r="T23" s="212" t="s">
        <v>179</v>
      </c>
      <c r="U23" s="212">
        <v>0.0</v>
      </c>
      <c r="V23" s="212">
        <f t="shared" si="7"/>
        <v>0</v>
      </c>
      <c r="W23" s="212"/>
      <c r="X23" s="212" t="s">
        <v>225</v>
      </c>
      <c r="Y23" s="213"/>
      <c r="Z23" s="213"/>
      <c r="AA23" s="213"/>
      <c r="AB23" s="213"/>
      <c r="AC23" s="213"/>
      <c r="AD23" s="213"/>
      <c r="AE23" s="213"/>
      <c r="AF23" s="213"/>
      <c r="AG23" s="213" t="s">
        <v>226</v>
      </c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</row>
    <row r="24" ht="12.75" customHeight="1" outlineLevel="1">
      <c r="A24" s="204">
        <v>16.0</v>
      </c>
      <c r="B24" s="205" t="s">
        <v>787</v>
      </c>
      <c r="C24" s="206" t="s">
        <v>788</v>
      </c>
      <c r="D24" s="207" t="s">
        <v>372</v>
      </c>
      <c r="E24" s="208">
        <v>1.0</v>
      </c>
      <c r="F24" s="209">
        <v>14400.0</v>
      </c>
      <c r="G24" s="210">
        <f t="shared" si="1"/>
        <v>14400</v>
      </c>
      <c r="H24" s="211"/>
      <c r="I24" s="212">
        <f t="shared" si="2"/>
        <v>0</v>
      </c>
      <c r="J24" s="211"/>
      <c r="K24" s="212">
        <f t="shared" si="3"/>
        <v>0</v>
      </c>
      <c r="L24" s="212">
        <v>21.0</v>
      </c>
      <c r="M24" s="212">
        <f t="shared" si="4"/>
        <v>17424</v>
      </c>
      <c r="N24" s="212">
        <v>0.0</v>
      </c>
      <c r="O24" s="212">
        <f t="shared" si="5"/>
        <v>0</v>
      </c>
      <c r="P24" s="212">
        <v>0.0</v>
      </c>
      <c r="Q24" s="212">
        <f t="shared" si="6"/>
        <v>0</v>
      </c>
      <c r="R24" s="212"/>
      <c r="S24" s="212" t="s">
        <v>178</v>
      </c>
      <c r="T24" s="212" t="s">
        <v>179</v>
      </c>
      <c r="U24" s="212">
        <v>0.0</v>
      </c>
      <c r="V24" s="212">
        <f t="shared" si="7"/>
        <v>0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</row>
    <row r="25" ht="12.75" customHeight="1">
      <c r="A25" s="196" t="s">
        <v>173</v>
      </c>
      <c r="B25" s="197" t="s">
        <v>136</v>
      </c>
      <c r="C25" s="198" t="s">
        <v>137</v>
      </c>
      <c r="D25" s="199"/>
      <c r="E25" s="200"/>
      <c r="F25" s="201"/>
      <c r="G25" s="202">
        <f>SUMIF(AG26:AG27,"&lt;&gt;NOR",G26:G27)</f>
        <v>18690</v>
      </c>
      <c r="H25" s="203"/>
      <c r="I25" s="203">
        <f>SUM(I26:I27)</f>
        <v>0</v>
      </c>
      <c r="J25" s="203"/>
      <c r="K25" s="203">
        <f>SUM(K26:K27)</f>
        <v>0</v>
      </c>
      <c r="L25" s="203"/>
      <c r="M25" s="203">
        <f>SUM(M26:M27)</f>
        <v>22614.9</v>
      </c>
      <c r="N25" s="203"/>
      <c r="O25" s="203">
        <f>SUM(O26:O27)</f>
        <v>0</v>
      </c>
      <c r="P25" s="203"/>
      <c r="Q25" s="203">
        <f>SUM(Q26:Q27)</f>
        <v>0</v>
      </c>
      <c r="R25" s="203"/>
      <c r="S25" s="203"/>
      <c r="T25" s="203"/>
      <c r="U25" s="203"/>
      <c r="V25" s="203">
        <f>SUM(V26:V27)</f>
        <v>0</v>
      </c>
      <c r="W25" s="203"/>
      <c r="X25" s="203"/>
      <c r="AG25" s="184" t="s">
        <v>174</v>
      </c>
    </row>
    <row r="26" ht="12.75" customHeight="1" outlineLevel="1">
      <c r="A26" s="204">
        <v>17.0</v>
      </c>
      <c r="B26" s="205" t="s">
        <v>789</v>
      </c>
      <c r="C26" s="206" t="s">
        <v>790</v>
      </c>
      <c r="D26" s="207" t="s">
        <v>372</v>
      </c>
      <c r="E26" s="208">
        <v>1.0</v>
      </c>
      <c r="F26" s="209">
        <v>1680.0</v>
      </c>
      <c r="G26" s="210">
        <f t="shared" ref="G26:G27" si="8">ROUND(E26*F26,2)</f>
        <v>1680</v>
      </c>
      <c r="H26" s="211"/>
      <c r="I26" s="212">
        <f t="shared" ref="I26:I27" si="9">ROUND(E26*H26,2)</f>
        <v>0</v>
      </c>
      <c r="J26" s="211"/>
      <c r="K26" s="212">
        <f t="shared" ref="K26:K27" si="10">ROUND(E26*J26,2)</f>
        <v>0</v>
      </c>
      <c r="L26" s="212">
        <v>21.0</v>
      </c>
      <c r="M26" s="212">
        <f t="shared" ref="M26:M27" si="11">G26*(1+L26/100)</f>
        <v>2032.8</v>
      </c>
      <c r="N26" s="212">
        <v>0.0</v>
      </c>
      <c r="O26" s="212">
        <f t="shared" ref="O26:O27" si="12">ROUND(E26*N26,2)</f>
        <v>0</v>
      </c>
      <c r="P26" s="212">
        <v>0.0</v>
      </c>
      <c r="Q26" s="212">
        <f t="shared" ref="Q26:Q27" si="13">ROUND(E26*P26,2)</f>
        <v>0</v>
      </c>
      <c r="R26" s="212"/>
      <c r="S26" s="212" t="s">
        <v>178</v>
      </c>
      <c r="T26" s="212" t="s">
        <v>179</v>
      </c>
      <c r="U26" s="212">
        <v>0.0</v>
      </c>
      <c r="V26" s="212">
        <f t="shared" ref="V26:V27" si="14">ROUND(E26*U26,2)</f>
        <v>0</v>
      </c>
      <c r="W26" s="212"/>
      <c r="X26" s="212" t="s">
        <v>225</v>
      </c>
      <c r="Y26" s="213"/>
      <c r="Z26" s="213"/>
      <c r="AA26" s="213"/>
      <c r="AB26" s="213"/>
      <c r="AC26" s="213"/>
      <c r="AD26" s="213"/>
      <c r="AE26" s="213"/>
      <c r="AF26" s="213"/>
      <c r="AG26" s="213" t="s">
        <v>226</v>
      </c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</row>
    <row r="27" ht="12.75" customHeight="1" outlineLevel="1">
      <c r="A27" s="214">
        <v>18.0</v>
      </c>
      <c r="B27" s="215" t="s">
        <v>791</v>
      </c>
      <c r="C27" s="216" t="s">
        <v>792</v>
      </c>
      <c r="D27" s="217" t="s">
        <v>251</v>
      </c>
      <c r="E27" s="218">
        <v>75.0</v>
      </c>
      <c r="F27" s="219">
        <v>226.8</v>
      </c>
      <c r="G27" s="220">
        <f t="shared" si="8"/>
        <v>17010</v>
      </c>
      <c r="H27" s="211"/>
      <c r="I27" s="212">
        <f t="shared" si="9"/>
        <v>0</v>
      </c>
      <c r="J27" s="211"/>
      <c r="K27" s="212">
        <f t="shared" si="10"/>
        <v>0</v>
      </c>
      <c r="L27" s="212">
        <v>21.0</v>
      </c>
      <c r="M27" s="212">
        <f t="shared" si="11"/>
        <v>20582.1</v>
      </c>
      <c r="N27" s="212">
        <v>0.0</v>
      </c>
      <c r="O27" s="212">
        <f t="shared" si="12"/>
        <v>0</v>
      </c>
      <c r="P27" s="212">
        <v>0.0</v>
      </c>
      <c r="Q27" s="212">
        <f t="shared" si="13"/>
        <v>0</v>
      </c>
      <c r="R27" s="212"/>
      <c r="S27" s="212" t="s">
        <v>178</v>
      </c>
      <c r="T27" s="212" t="s">
        <v>179</v>
      </c>
      <c r="U27" s="212">
        <v>0.0</v>
      </c>
      <c r="V27" s="212">
        <f t="shared" si="14"/>
        <v>0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226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</row>
    <row r="28" ht="12.75" customHeight="1">
      <c r="A28" s="175"/>
      <c r="B28" s="179"/>
      <c r="C28" s="221"/>
      <c r="D28" s="181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AE28" s="184">
        <v>15.0</v>
      </c>
      <c r="AF28" s="184">
        <v>21.0</v>
      </c>
      <c r="AG28" s="184" t="s">
        <v>160</v>
      </c>
    </row>
    <row r="29" ht="12.75" customHeight="1">
      <c r="A29" s="222"/>
      <c r="B29" s="223" t="s">
        <v>24</v>
      </c>
      <c r="C29" s="224"/>
      <c r="D29" s="225"/>
      <c r="E29" s="226"/>
      <c r="F29" s="226"/>
      <c r="G29" s="227">
        <f>G8+G25</f>
        <v>335085.75</v>
      </c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AE29" s="184">
        <f>SUMIF(L7:L27,AE28,G7:G27)</f>
        <v>0</v>
      </c>
      <c r="AF29" s="184">
        <f>SUMIF(L7:L27,AF28,G7:G27)</f>
        <v>335085.75</v>
      </c>
      <c r="AG29" s="184" t="s">
        <v>218</v>
      </c>
    </row>
    <row r="30" ht="12.75" customHeight="1">
      <c r="A30" s="175"/>
      <c r="B30" s="179"/>
      <c r="C30" s="221"/>
      <c r="D30" s="181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 ht="12.75" customHeight="1">
      <c r="A31" s="175"/>
      <c r="B31" s="179"/>
      <c r="C31" s="221"/>
      <c r="D31" s="181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 ht="12.75" customHeight="1">
      <c r="A32" s="175" t="s">
        <v>219</v>
      </c>
      <c r="D32" s="181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 ht="12.75" customHeight="1">
      <c r="A33" s="228"/>
      <c r="B33" s="27"/>
      <c r="C33" s="27"/>
      <c r="D33" s="27"/>
      <c r="E33" s="27"/>
      <c r="F33" s="27"/>
      <c r="G33" s="229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AG33" s="184" t="s">
        <v>220</v>
      </c>
    </row>
    <row r="34" ht="12.75" customHeight="1">
      <c r="A34" s="230"/>
      <c r="G34" s="231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</row>
    <row r="35" ht="12.75" customHeight="1">
      <c r="A35" s="230"/>
      <c r="G35" s="231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</row>
    <row r="36" ht="12.75" customHeight="1">
      <c r="A36" s="230"/>
      <c r="G36" s="231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</row>
    <row r="37" ht="12.75" customHeight="1">
      <c r="A37" s="232"/>
      <c r="B37" s="38"/>
      <c r="C37" s="38"/>
      <c r="D37" s="38"/>
      <c r="E37" s="38"/>
      <c r="F37" s="38"/>
      <c r="G37" s="233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</row>
    <row r="38" ht="12.75" customHeight="1">
      <c r="A38" s="175"/>
      <c r="B38" s="179"/>
      <c r="C38" s="221"/>
      <c r="D38" s="181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</row>
    <row r="39" ht="12.75" customHeight="1">
      <c r="B39" s="185"/>
      <c r="C39" s="234"/>
      <c r="D39" s="126"/>
      <c r="AG39" s="184" t="s">
        <v>221</v>
      </c>
    </row>
    <row r="40" ht="12.75" customHeight="1">
      <c r="B40" s="185"/>
      <c r="C40" s="185"/>
      <c r="D40" s="126"/>
    </row>
    <row r="41" ht="12.75" customHeight="1">
      <c r="B41" s="185"/>
      <c r="C41" s="185"/>
      <c r="D41" s="126"/>
    </row>
    <row r="42" ht="12.75" customHeight="1">
      <c r="B42" s="185"/>
      <c r="C42" s="185"/>
      <c r="D42" s="126"/>
    </row>
    <row r="43" ht="12.75" customHeight="1">
      <c r="B43" s="185"/>
      <c r="C43" s="185"/>
      <c r="D43" s="126"/>
    </row>
    <row r="44" ht="12.75" customHeight="1">
      <c r="B44" s="185"/>
      <c r="C44" s="185"/>
      <c r="D44" s="126"/>
    </row>
    <row r="45" ht="12.75" customHeight="1">
      <c r="B45" s="185"/>
      <c r="C45" s="185"/>
      <c r="D45" s="126"/>
    </row>
    <row r="46" ht="12.75" customHeight="1">
      <c r="B46" s="185"/>
      <c r="C46" s="185"/>
      <c r="D46" s="126"/>
    </row>
    <row r="47" ht="12.75" customHeight="1">
      <c r="B47" s="185"/>
      <c r="C47" s="185"/>
      <c r="D47" s="126"/>
    </row>
    <row r="48" ht="12.75" customHeight="1">
      <c r="B48" s="185"/>
      <c r="C48" s="185"/>
      <c r="D48" s="126"/>
    </row>
    <row r="49" ht="12.75" customHeight="1">
      <c r="B49" s="185"/>
      <c r="C49" s="185"/>
      <c r="D49" s="126"/>
    </row>
    <row r="50" ht="12.75" customHeight="1">
      <c r="B50" s="185"/>
      <c r="C50" s="185"/>
      <c r="D50" s="126"/>
    </row>
    <row r="51" ht="12.75" customHeight="1">
      <c r="B51" s="185"/>
      <c r="C51" s="185"/>
      <c r="D51" s="126"/>
    </row>
    <row r="52" ht="12.75" customHeight="1">
      <c r="B52" s="185"/>
      <c r="C52" s="185"/>
      <c r="D52" s="126"/>
    </row>
    <row r="53" ht="12.75" customHeight="1">
      <c r="B53" s="185"/>
      <c r="C53" s="185"/>
      <c r="D53" s="126"/>
    </row>
    <row r="54" ht="12.75" customHeight="1">
      <c r="B54" s="185"/>
      <c r="C54" s="185"/>
      <c r="D54" s="126"/>
    </row>
    <row r="55" ht="12.75" customHeight="1">
      <c r="B55" s="185"/>
      <c r="C55" s="185"/>
      <c r="D55" s="126"/>
    </row>
    <row r="56" ht="12.75" customHeight="1">
      <c r="B56" s="185"/>
      <c r="C56" s="185"/>
      <c r="D56" s="126"/>
    </row>
    <row r="57" ht="12.75" customHeight="1">
      <c r="B57" s="185"/>
      <c r="C57" s="185"/>
      <c r="D57" s="126"/>
    </row>
    <row r="58" ht="12.75" customHeight="1">
      <c r="B58" s="185"/>
      <c r="C58" s="185"/>
      <c r="D58" s="126"/>
    </row>
    <row r="59" ht="12.75" customHeight="1">
      <c r="B59" s="185"/>
      <c r="C59" s="185"/>
      <c r="D59" s="126"/>
    </row>
    <row r="60" ht="12.75" customHeight="1">
      <c r="B60" s="185"/>
      <c r="C60" s="185"/>
      <c r="D60" s="126"/>
    </row>
    <row r="61" ht="12.75" customHeight="1">
      <c r="B61" s="185"/>
      <c r="C61" s="185"/>
      <c r="D61" s="126"/>
    </row>
    <row r="62" ht="12.75" customHeight="1">
      <c r="B62" s="185"/>
      <c r="C62" s="185"/>
      <c r="D62" s="126"/>
    </row>
    <row r="63" ht="12.75" customHeight="1">
      <c r="B63" s="185"/>
      <c r="C63" s="185"/>
      <c r="D63" s="126"/>
    </row>
    <row r="64" ht="12.75" customHeight="1">
      <c r="B64" s="185"/>
      <c r="C64" s="185"/>
      <c r="D64" s="126"/>
    </row>
    <row r="65" ht="12.75" customHeight="1">
      <c r="B65" s="185"/>
      <c r="C65" s="185"/>
      <c r="D65" s="126"/>
    </row>
    <row r="66" ht="12.75" customHeight="1">
      <c r="B66" s="185"/>
      <c r="C66" s="185"/>
      <c r="D66" s="126"/>
    </row>
    <row r="67" ht="12.75" customHeight="1">
      <c r="B67" s="185"/>
      <c r="C67" s="185"/>
      <c r="D67" s="126"/>
    </row>
    <row r="68" ht="12.75" customHeight="1">
      <c r="B68" s="185"/>
      <c r="C68" s="185"/>
      <c r="D68" s="126"/>
    </row>
    <row r="69" ht="12.75" customHeight="1">
      <c r="B69" s="185"/>
      <c r="C69" s="185"/>
      <c r="D69" s="126"/>
    </row>
    <row r="70" ht="12.75" customHeight="1">
      <c r="B70" s="185"/>
      <c r="C70" s="185"/>
      <c r="D70" s="126"/>
    </row>
    <row r="71" ht="12.75" customHeight="1">
      <c r="B71" s="185"/>
      <c r="C71" s="185"/>
      <c r="D71" s="126"/>
    </row>
    <row r="72" ht="12.75" customHeight="1">
      <c r="B72" s="185"/>
      <c r="C72" s="185"/>
      <c r="D72" s="126"/>
    </row>
    <row r="73" ht="12.75" customHeight="1">
      <c r="B73" s="185"/>
      <c r="C73" s="185"/>
      <c r="D73" s="126"/>
    </row>
    <row r="74" ht="12.75" customHeight="1">
      <c r="B74" s="185"/>
      <c r="C74" s="185"/>
      <c r="D74" s="126"/>
    </row>
    <row r="75" ht="12.75" customHeight="1">
      <c r="B75" s="185"/>
      <c r="C75" s="185"/>
      <c r="D75" s="126"/>
    </row>
    <row r="76" ht="12.75" customHeight="1">
      <c r="B76" s="185"/>
      <c r="C76" s="185"/>
      <c r="D76" s="126"/>
    </row>
    <row r="77" ht="12.75" customHeight="1">
      <c r="B77" s="185"/>
      <c r="C77" s="185"/>
      <c r="D77" s="126"/>
    </row>
    <row r="78" ht="12.75" customHeight="1">
      <c r="B78" s="185"/>
      <c r="C78" s="185"/>
      <c r="D78" s="126"/>
    </row>
    <row r="79" ht="12.75" customHeight="1">
      <c r="B79" s="185"/>
      <c r="C79" s="185"/>
      <c r="D79" s="126"/>
    </row>
    <row r="80" ht="12.75" customHeight="1">
      <c r="B80" s="185"/>
      <c r="C80" s="185"/>
      <c r="D80" s="126"/>
    </row>
    <row r="81" ht="12.75" customHeight="1">
      <c r="B81" s="185"/>
      <c r="C81" s="185"/>
      <c r="D81" s="126"/>
    </row>
    <row r="82" ht="12.75" customHeight="1">
      <c r="B82" s="185"/>
      <c r="C82" s="185"/>
      <c r="D82" s="126"/>
    </row>
    <row r="83" ht="12.75" customHeight="1">
      <c r="B83" s="185"/>
      <c r="C83" s="185"/>
      <c r="D83" s="126"/>
    </row>
    <row r="84" ht="12.75" customHeight="1">
      <c r="B84" s="185"/>
      <c r="C84" s="185"/>
      <c r="D84" s="126"/>
    </row>
    <row r="85" ht="12.75" customHeight="1">
      <c r="B85" s="185"/>
      <c r="C85" s="185"/>
      <c r="D85" s="126"/>
    </row>
    <row r="86" ht="12.75" customHeight="1">
      <c r="B86" s="185"/>
      <c r="C86" s="185"/>
      <c r="D86" s="126"/>
    </row>
    <row r="87" ht="12.75" customHeight="1">
      <c r="B87" s="185"/>
      <c r="C87" s="185"/>
      <c r="D87" s="126"/>
    </row>
    <row r="88" ht="12.75" customHeight="1">
      <c r="B88" s="185"/>
      <c r="C88" s="185"/>
      <c r="D88" s="126"/>
    </row>
    <row r="89" ht="12.75" customHeight="1">
      <c r="B89" s="185"/>
      <c r="C89" s="185"/>
      <c r="D89" s="126"/>
    </row>
    <row r="90" ht="12.75" customHeight="1">
      <c r="B90" s="185"/>
      <c r="C90" s="185"/>
      <c r="D90" s="126"/>
    </row>
    <row r="91" ht="12.75" customHeight="1">
      <c r="B91" s="185"/>
      <c r="C91" s="185"/>
      <c r="D91" s="126"/>
    </row>
    <row r="92" ht="12.75" customHeight="1">
      <c r="B92" s="185"/>
      <c r="C92" s="185"/>
      <c r="D92" s="126"/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</row>
    <row r="241" ht="12.75" customHeight="1">
      <c r="B241" s="185"/>
      <c r="C241" s="185"/>
    </row>
    <row r="242" ht="12.75" customHeight="1">
      <c r="B242" s="185"/>
      <c r="C242" s="185"/>
    </row>
    <row r="243" ht="12.75" customHeight="1">
      <c r="B243" s="185"/>
      <c r="C243" s="185"/>
    </row>
    <row r="244" ht="12.75" customHeight="1">
      <c r="B244" s="185"/>
      <c r="C244" s="185"/>
    </row>
    <row r="245" ht="12.75" customHeight="1">
      <c r="B245" s="185"/>
      <c r="C245" s="185"/>
    </row>
    <row r="246" ht="12.75" customHeight="1">
      <c r="B246" s="185"/>
      <c r="C246" s="185"/>
    </row>
    <row r="247" ht="12.75" customHeight="1">
      <c r="B247" s="185"/>
      <c r="C247" s="185"/>
    </row>
    <row r="248" ht="12.75" customHeight="1">
      <c r="B248" s="185"/>
      <c r="C248" s="185"/>
    </row>
    <row r="249" ht="12.75" customHeight="1">
      <c r="B249" s="185"/>
      <c r="C249" s="185"/>
    </row>
    <row r="250" ht="12.75" customHeight="1">
      <c r="B250" s="185"/>
      <c r="C250" s="185"/>
    </row>
    <row r="251" ht="12.75" customHeight="1">
      <c r="B251" s="185"/>
      <c r="C251" s="185"/>
    </row>
    <row r="252" ht="12.75" customHeight="1">
      <c r="B252" s="185"/>
      <c r="C252" s="185"/>
    </row>
    <row r="253" ht="12.75" customHeight="1">
      <c r="B253" s="185"/>
      <c r="C253" s="185"/>
    </row>
    <row r="254" ht="12.75" customHeight="1">
      <c r="B254" s="185"/>
      <c r="C254" s="185"/>
    </row>
    <row r="255" ht="12.75" customHeight="1">
      <c r="B255" s="185"/>
      <c r="C255" s="185"/>
    </row>
    <row r="256" ht="12.75" customHeight="1">
      <c r="B256" s="185"/>
      <c r="C256" s="185"/>
    </row>
    <row r="257" ht="12.75" customHeight="1">
      <c r="B257" s="185"/>
      <c r="C257" s="185"/>
    </row>
    <row r="258" ht="12.75" customHeight="1">
      <c r="B258" s="185"/>
      <c r="C258" s="185"/>
    </row>
    <row r="259" ht="12.75" customHeight="1">
      <c r="B259" s="185"/>
      <c r="C259" s="185"/>
    </row>
    <row r="260" ht="12.75" customHeight="1">
      <c r="B260" s="185"/>
      <c r="C260" s="185"/>
    </row>
    <row r="261" ht="12.75" customHeight="1">
      <c r="B261" s="185"/>
      <c r="C261" s="185"/>
    </row>
    <row r="262" ht="12.75" customHeight="1">
      <c r="B262" s="185"/>
      <c r="C262" s="185"/>
    </row>
    <row r="263" ht="12.75" customHeight="1">
      <c r="B263" s="185"/>
      <c r="C263" s="185"/>
    </row>
    <row r="264" ht="12.75" customHeight="1">
      <c r="B264" s="185"/>
      <c r="C264" s="185"/>
    </row>
    <row r="265" ht="12.75" customHeight="1">
      <c r="B265" s="185"/>
      <c r="C265" s="185"/>
    </row>
    <row r="266" ht="12.75" customHeight="1">
      <c r="B266" s="185"/>
      <c r="C266" s="185"/>
    </row>
    <row r="267" ht="12.75" customHeight="1">
      <c r="B267" s="185"/>
      <c r="C267" s="185"/>
    </row>
    <row r="268" ht="12.75" customHeight="1">
      <c r="B268" s="185"/>
      <c r="C268" s="185"/>
    </row>
    <row r="269" ht="12.75" customHeight="1">
      <c r="B269" s="185"/>
      <c r="C269" s="185"/>
    </row>
    <row r="270" ht="12.75" customHeight="1">
      <c r="B270" s="185"/>
      <c r="C270" s="185"/>
    </row>
    <row r="271" ht="12.75" customHeight="1">
      <c r="B271" s="185"/>
      <c r="C271" s="185"/>
    </row>
    <row r="272" ht="12.75" customHeight="1">
      <c r="B272" s="185"/>
      <c r="C272" s="185"/>
    </row>
    <row r="273" ht="12.75" customHeight="1">
      <c r="B273" s="185"/>
      <c r="C273" s="185"/>
    </row>
    <row r="274" ht="12.75" customHeight="1">
      <c r="B274" s="185"/>
      <c r="C274" s="185"/>
    </row>
    <row r="275" ht="12.75" customHeight="1">
      <c r="B275" s="185"/>
      <c r="C275" s="185"/>
    </row>
    <row r="276" ht="12.75" customHeight="1">
      <c r="B276" s="185"/>
      <c r="C276" s="185"/>
    </row>
    <row r="277" ht="12.75" customHeight="1">
      <c r="B277" s="185"/>
      <c r="C277" s="185"/>
    </row>
    <row r="278" ht="12.75" customHeight="1">
      <c r="B278" s="185"/>
      <c r="C278" s="185"/>
    </row>
    <row r="279" ht="12.75" customHeight="1">
      <c r="B279" s="185"/>
      <c r="C279" s="185"/>
    </row>
    <row r="280" ht="12.75" customHeight="1">
      <c r="B280" s="185"/>
      <c r="C280" s="185"/>
    </row>
    <row r="281" ht="12.75" customHeight="1">
      <c r="B281" s="185"/>
      <c r="C281" s="185"/>
    </row>
    <row r="282" ht="12.75" customHeight="1">
      <c r="B282" s="185"/>
      <c r="C282" s="185"/>
    </row>
    <row r="283" ht="12.75" customHeight="1">
      <c r="B283" s="185"/>
      <c r="C283" s="185"/>
    </row>
    <row r="284" ht="12.75" customHeight="1">
      <c r="B284" s="185"/>
      <c r="C284" s="185"/>
    </row>
    <row r="285" ht="12.75" customHeight="1">
      <c r="B285" s="185"/>
      <c r="C285" s="185"/>
    </row>
    <row r="286" ht="12.75" customHeight="1">
      <c r="B286" s="185"/>
      <c r="C286" s="185"/>
    </row>
    <row r="287" ht="12.75" customHeight="1">
      <c r="B287" s="185"/>
      <c r="C287" s="185"/>
    </row>
    <row r="288" ht="12.75" customHeight="1">
      <c r="B288" s="185"/>
      <c r="C288" s="185"/>
    </row>
    <row r="289" ht="12.75" customHeight="1">
      <c r="B289" s="185"/>
      <c r="C289" s="185"/>
    </row>
    <row r="290" ht="12.75" customHeight="1">
      <c r="B290" s="185"/>
      <c r="C290" s="185"/>
    </row>
    <row r="291" ht="12.75" customHeight="1">
      <c r="B291" s="185"/>
      <c r="C291" s="185"/>
    </row>
    <row r="292" ht="12.75" customHeight="1">
      <c r="B292" s="185"/>
      <c r="C292" s="185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32:C32"/>
    <mergeCell ref="A33:G37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62</v>
      </c>
      <c r="C3" s="177" t="s">
        <v>63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62</v>
      </c>
      <c r="C4" s="188" t="s">
        <v>63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SUMIF(AG9:AG57,"&lt;&gt;NOR",G9:G57)</f>
        <v>14289.36</v>
      </c>
      <c r="H8" s="203"/>
      <c r="I8" s="203">
        <f>SUM(I9:I57)</f>
        <v>0</v>
      </c>
      <c r="J8" s="203"/>
      <c r="K8" s="203">
        <f>SUM(K9:K57)</f>
        <v>0</v>
      </c>
      <c r="L8" s="203"/>
      <c r="M8" s="203">
        <f>SUM(M9:M57)</f>
        <v>17290.1256</v>
      </c>
      <c r="N8" s="203"/>
      <c r="O8" s="203">
        <f>SUM(O9:O57)</f>
        <v>5.82</v>
      </c>
      <c r="P8" s="203"/>
      <c r="Q8" s="203">
        <f>SUM(Q9:Q57)</f>
        <v>0</v>
      </c>
      <c r="R8" s="203"/>
      <c r="S8" s="203"/>
      <c r="T8" s="203"/>
      <c r="U8" s="203"/>
      <c r="V8" s="203">
        <f>SUM(V9:V57)</f>
        <v>26.04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6.138</v>
      </c>
      <c r="F9" s="219">
        <v>39.6</v>
      </c>
      <c r="G9" s="220">
        <f>ROUND(E9*F9,2)</f>
        <v>243.06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294.1026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0.52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793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794</v>
      </c>
      <c r="D12" s="241"/>
      <c r="E12" s="242">
        <v>12.276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795</v>
      </c>
      <c r="D14" s="238"/>
      <c r="E14" s="239">
        <v>6.138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12.276</v>
      </c>
      <c r="F15" s="219">
        <v>214.5</v>
      </c>
      <c r="G15" s="220">
        <f>ROUND(E15*F15,2)</f>
        <v>2633.2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3186.172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2.73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793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796</v>
      </c>
      <c r="D17" s="238"/>
      <c r="E17" s="239">
        <v>12.28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608</v>
      </c>
      <c r="C18" s="216" t="s">
        <v>609</v>
      </c>
      <c r="D18" s="217" t="s">
        <v>224</v>
      </c>
      <c r="E18" s="218">
        <v>22.32</v>
      </c>
      <c r="F18" s="219">
        <v>77.25</v>
      </c>
      <c r="G18" s="220">
        <f>ROUND(E18*F18,2)</f>
        <v>1724.22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2086.3062</v>
      </c>
      <c r="N18" s="212">
        <v>9.9E-4</v>
      </c>
      <c r="O18" s="212">
        <f>ROUND(E18*N18,2)</f>
        <v>0.02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0.236</v>
      </c>
      <c r="V18" s="212">
        <f>ROUND(E18*U18,2)</f>
        <v>5.27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793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797</v>
      </c>
      <c r="D20" s="238"/>
      <c r="E20" s="239">
        <v>22.32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611</v>
      </c>
      <c r="C21" s="216" t="s">
        <v>612</v>
      </c>
      <c r="D21" s="217" t="s">
        <v>224</v>
      </c>
      <c r="E21" s="218">
        <v>22.32</v>
      </c>
      <c r="F21" s="219">
        <v>38.63</v>
      </c>
      <c r="G21" s="220">
        <f>ROUND(E21*F21,2)</f>
        <v>862.22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1043.2862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0.07</v>
      </c>
      <c r="V21" s="212">
        <f>ROUND(E21*U21,2)</f>
        <v>1.56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793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797</v>
      </c>
      <c r="D23" s="238"/>
      <c r="E23" s="239">
        <v>22.32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12.276</v>
      </c>
      <c r="F24" s="219">
        <v>36.6</v>
      </c>
      <c r="G24" s="220">
        <f>ROUND(E24*F24,2)</f>
        <v>449.3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543.653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0.48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793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796</v>
      </c>
      <c r="D26" s="238"/>
      <c r="E26" s="239">
        <v>12.28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12.276</v>
      </c>
      <c r="F27" s="219">
        <v>64.0</v>
      </c>
      <c r="G27" s="220">
        <f>ROUND(E27*F27,2)</f>
        <v>785.66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950.6486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6.37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793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796</v>
      </c>
      <c r="D29" s="238"/>
      <c r="E29" s="239">
        <v>12.28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3.751</v>
      </c>
      <c r="F30" s="219">
        <v>215.5</v>
      </c>
      <c r="G30" s="220">
        <f>ROUND(E30*F30,2)</f>
        <v>808.34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978.0914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0.04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798</v>
      </c>
      <c r="D32" s="238"/>
      <c r="E32" s="239">
        <v>3.75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614</v>
      </c>
      <c r="C33" s="216" t="s">
        <v>615</v>
      </c>
      <c r="D33" s="217" t="s">
        <v>234</v>
      </c>
      <c r="E33" s="218">
        <v>3.751</v>
      </c>
      <c r="F33" s="219">
        <v>68.96</v>
      </c>
      <c r="G33" s="220">
        <f>ROUND(E33*F33,2)</f>
        <v>258.67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312.9907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0.652</v>
      </c>
      <c r="V33" s="212">
        <f>ROUND(E33*U33,2)</f>
        <v>2.45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798</v>
      </c>
      <c r="D35" s="238"/>
      <c r="E35" s="239">
        <v>3.75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3.751</v>
      </c>
      <c r="F36" s="219">
        <v>15.1</v>
      </c>
      <c r="G36" s="220">
        <f>ROUND(E36*F36,2)</f>
        <v>56.64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68.5344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0.03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798</v>
      </c>
      <c r="D38" s="238"/>
      <c r="E38" s="239">
        <v>3.75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8.525</v>
      </c>
      <c r="F39" s="219">
        <v>169.0</v>
      </c>
      <c r="G39" s="220">
        <f>ROUND(E39*F39,2)</f>
        <v>1440.73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1743.2833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1.72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503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793</v>
      </c>
      <c r="D41" s="238"/>
      <c r="E41" s="239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799</v>
      </c>
      <c r="D42" s="238"/>
      <c r="E42" s="239">
        <v>8.53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14">
        <v>11.0</v>
      </c>
      <c r="B43" s="215" t="s">
        <v>311</v>
      </c>
      <c r="C43" s="216" t="s">
        <v>312</v>
      </c>
      <c r="D43" s="217" t="s">
        <v>234</v>
      </c>
      <c r="E43" s="218">
        <v>3.069</v>
      </c>
      <c r="F43" s="219">
        <v>477.51</v>
      </c>
      <c r="G43" s="220">
        <f>ROUND(E43*F43,2)</f>
        <v>1465.48</v>
      </c>
      <c r="H43" s="211"/>
      <c r="I43" s="212">
        <f>ROUND(E43*H43,2)</f>
        <v>0</v>
      </c>
      <c r="J43" s="211"/>
      <c r="K43" s="212">
        <f>ROUND(E43*J43,2)</f>
        <v>0</v>
      </c>
      <c r="L43" s="212">
        <v>21.0</v>
      </c>
      <c r="M43" s="212">
        <f>G43*(1+L43/100)</f>
        <v>1773.2308</v>
      </c>
      <c r="N43" s="212">
        <v>0.0</v>
      </c>
      <c r="O43" s="212">
        <f>ROUND(E43*N43,2)</f>
        <v>0</v>
      </c>
      <c r="P43" s="212">
        <v>0.0</v>
      </c>
      <c r="Q43" s="212">
        <f>ROUND(E43*P43,2)</f>
        <v>0</v>
      </c>
      <c r="R43" s="212"/>
      <c r="S43" s="212" t="s">
        <v>184</v>
      </c>
      <c r="T43" s="212" t="s">
        <v>184</v>
      </c>
      <c r="U43" s="212">
        <v>1.587</v>
      </c>
      <c r="V43" s="212">
        <f>ROUND(E43*U43,2)</f>
        <v>4.87</v>
      </c>
      <c r="W43" s="212"/>
      <c r="X43" s="212" t="s">
        <v>225</v>
      </c>
      <c r="Y43" s="213"/>
      <c r="Z43" s="213"/>
      <c r="AA43" s="213"/>
      <c r="AB43" s="213"/>
      <c r="AC43" s="213"/>
      <c r="AD43" s="213"/>
      <c r="AE43" s="213"/>
      <c r="AF43" s="213"/>
      <c r="AG43" s="213" t="s">
        <v>226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793</v>
      </c>
      <c r="D44" s="238"/>
      <c r="E44" s="239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800</v>
      </c>
      <c r="D45" s="238"/>
      <c r="E45" s="239">
        <v>3.07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12.0</v>
      </c>
      <c r="B46" s="215" t="s">
        <v>314</v>
      </c>
      <c r="C46" s="216" t="s">
        <v>315</v>
      </c>
      <c r="D46" s="217" t="s">
        <v>316</v>
      </c>
      <c r="E46" s="218">
        <v>7.1269</v>
      </c>
      <c r="F46" s="219">
        <v>285.0</v>
      </c>
      <c r="G46" s="220">
        <f>ROUND(E46*F46,2)</f>
        <v>2031.17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2457.7157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184</v>
      </c>
      <c r="T46" s="212" t="s">
        <v>184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295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0" t="s">
        <v>236</v>
      </c>
      <c r="D48" s="241"/>
      <c r="E48" s="24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3" t="s">
        <v>801</v>
      </c>
      <c r="D49" s="241"/>
      <c r="E49" s="242">
        <v>3.75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2.0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40" t="s">
        <v>238</v>
      </c>
      <c r="D50" s="241"/>
      <c r="E50" s="24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802</v>
      </c>
      <c r="D51" s="238"/>
      <c r="E51" s="239">
        <v>7.13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13.0</v>
      </c>
      <c r="B52" s="215" t="s">
        <v>620</v>
      </c>
      <c r="C52" s="216" t="s">
        <v>621</v>
      </c>
      <c r="D52" s="217" t="s">
        <v>321</v>
      </c>
      <c r="E52" s="218">
        <v>5.8004</v>
      </c>
      <c r="F52" s="219">
        <v>263.89</v>
      </c>
      <c r="G52" s="220">
        <f>ROUND(E52*F52,2)</f>
        <v>1530.67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1852.1107</v>
      </c>
      <c r="N52" s="212">
        <v>1.0</v>
      </c>
      <c r="O52" s="212">
        <f>ROUND(E52*N52,2)</f>
        <v>5.8</v>
      </c>
      <c r="P52" s="212">
        <v>0.0</v>
      </c>
      <c r="Q52" s="212">
        <f>ROUND(E52*P52,2)</f>
        <v>0</v>
      </c>
      <c r="R52" s="212" t="s">
        <v>322</v>
      </c>
      <c r="S52" s="212" t="s">
        <v>184</v>
      </c>
      <c r="T52" s="212" t="s">
        <v>184</v>
      </c>
      <c r="U52" s="212">
        <v>0.0</v>
      </c>
      <c r="V52" s="212">
        <f>ROUND(E52*U52,2)</f>
        <v>0</v>
      </c>
      <c r="W52" s="212"/>
      <c r="X52" s="212" t="s">
        <v>323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324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793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0" t="s">
        <v>236</v>
      </c>
      <c r="D54" s="241"/>
      <c r="E54" s="24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3" t="s">
        <v>803</v>
      </c>
      <c r="D55" s="241"/>
      <c r="E55" s="242">
        <v>3.07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2.0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40" t="s">
        <v>238</v>
      </c>
      <c r="D56" s="241"/>
      <c r="E56" s="24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804</v>
      </c>
      <c r="D57" s="238"/>
      <c r="E57" s="239">
        <v>5.8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>
      <c r="A58" s="196" t="s">
        <v>173</v>
      </c>
      <c r="B58" s="197" t="s">
        <v>100</v>
      </c>
      <c r="C58" s="198" t="s">
        <v>101</v>
      </c>
      <c r="D58" s="199"/>
      <c r="E58" s="200"/>
      <c r="F58" s="201"/>
      <c r="G58" s="202">
        <f>SUMIF(AG59:AG71,"&lt;&gt;NOR",G59:G71)</f>
        <v>2709.9</v>
      </c>
      <c r="H58" s="203"/>
      <c r="I58" s="203">
        <f>SUM(I59:I71)</f>
        <v>0</v>
      </c>
      <c r="J58" s="203"/>
      <c r="K58" s="203">
        <f>SUM(K59:K71)</f>
        <v>0</v>
      </c>
      <c r="L58" s="203"/>
      <c r="M58" s="203">
        <f>SUM(M59:M71)</f>
        <v>3278.979</v>
      </c>
      <c r="N58" s="203"/>
      <c r="O58" s="203">
        <f>SUM(O59:O71)</f>
        <v>1.32</v>
      </c>
      <c r="P58" s="203"/>
      <c r="Q58" s="203">
        <f>SUM(Q59:Q71)</f>
        <v>0</v>
      </c>
      <c r="R58" s="203"/>
      <c r="S58" s="203"/>
      <c r="T58" s="203"/>
      <c r="U58" s="203"/>
      <c r="V58" s="203">
        <f>SUM(V59:V71)</f>
        <v>3.39</v>
      </c>
      <c r="W58" s="203"/>
      <c r="X58" s="203"/>
      <c r="AG58" s="184" t="s">
        <v>174</v>
      </c>
    </row>
    <row r="59" ht="12.75" customHeight="1" outlineLevel="1">
      <c r="A59" s="214">
        <v>14.0</v>
      </c>
      <c r="B59" s="215" t="s">
        <v>347</v>
      </c>
      <c r="C59" s="216" t="s">
        <v>348</v>
      </c>
      <c r="D59" s="217" t="s">
        <v>234</v>
      </c>
      <c r="E59" s="218">
        <v>0.682</v>
      </c>
      <c r="F59" s="219">
        <v>1010.69</v>
      </c>
      <c r="G59" s="220">
        <f>ROUND(E59*F59,2)</f>
        <v>689.29</v>
      </c>
      <c r="H59" s="211"/>
      <c r="I59" s="212">
        <f>ROUND(E59*H59,2)</f>
        <v>0</v>
      </c>
      <c r="J59" s="211"/>
      <c r="K59" s="212">
        <f>ROUND(E59*J59,2)</f>
        <v>0</v>
      </c>
      <c r="L59" s="212">
        <v>21.0</v>
      </c>
      <c r="M59" s="212">
        <f>G59*(1+L59/100)</f>
        <v>834.0409</v>
      </c>
      <c r="N59" s="212">
        <v>1.1322</v>
      </c>
      <c r="O59" s="212">
        <f>ROUND(E59*N59,2)</f>
        <v>0.77</v>
      </c>
      <c r="P59" s="212">
        <v>0.0</v>
      </c>
      <c r="Q59" s="212">
        <f>ROUND(E59*P59,2)</f>
        <v>0</v>
      </c>
      <c r="R59" s="212"/>
      <c r="S59" s="212" t="s">
        <v>184</v>
      </c>
      <c r="T59" s="212" t="s">
        <v>184</v>
      </c>
      <c r="U59" s="212">
        <v>1.695</v>
      </c>
      <c r="V59" s="212">
        <f>ROUND(E59*U59,2)</f>
        <v>1.16</v>
      </c>
      <c r="W59" s="212"/>
      <c r="X59" s="212" t="s">
        <v>225</v>
      </c>
      <c r="Y59" s="213"/>
      <c r="Z59" s="213"/>
      <c r="AA59" s="213"/>
      <c r="AB59" s="213"/>
      <c r="AC59" s="213"/>
      <c r="AD59" s="213"/>
      <c r="AE59" s="213"/>
      <c r="AF59" s="213"/>
      <c r="AG59" s="213" t="s">
        <v>226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793</v>
      </c>
      <c r="D60" s="238"/>
      <c r="E60" s="239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805</v>
      </c>
      <c r="D61" s="238"/>
      <c r="E61" s="239">
        <v>0.68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15.0</v>
      </c>
      <c r="B62" s="215" t="s">
        <v>625</v>
      </c>
      <c r="C62" s="216" t="s">
        <v>626</v>
      </c>
      <c r="D62" s="217" t="s">
        <v>234</v>
      </c>
      <c r="E62" s="218">
        <v>0.216</v>
      </c>
      <c r="F62" s="219">
        <v>3460.8</v>
      </c>
      <c r="G62" s="220">
        <f>ROUND(E62*F62,2)</f>
        <v>747.53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904.5113</v>
      </c>
      <c r="N62" s="212">
        <v>2.5</v>
      </c>
      <c r="O62" s="212">
        <f>ROUND(E62*N62,2)</f>
        <v>0.54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1.192</v>
      </c>
      <c r="V62" s="212">
        <f>ROUND(E62*U62,2)</f>
        <v>0.26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226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806</v>
      </c>
      <c r="D63" s="238"/>
      <c r="E63" s="239">
        <v>0.05</v>
      </c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806</v>
      </c>
      <c r="D64" s="238"/>
      <c r="E64" s="239">
        <v>0.05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807</v>
      </c>
      <c r="D65" s="238"/>
      <c r="E65" s="239">
        <v>0.06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807</v>
      </c>
      <c r="D66" s="238"/>
      <c r="E66" s="239">
        <v>0.06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14">
        <v>16.0</v>
      </c>
      <c r="B67" s="215" t="s">
        <v>629</v>
      </c>
      <c r="C67" s="216" t="s">
        <v>630</v>
      </c>
      <c r="D67" s="217" t="s">
        <v>224</v>
      </c>
      <c r="E67" s="218">
        <v>2.4</v>
      </c>
      <c r="F67" s="219">
        <v>530.45</v>
      </c>
      <c r="G67" s="220">
        <f>ROUND(E67*F67,2)</f>
        <v>1273.08</v>
      </c>
      <c r="H67" s="211"/>
      <c r="I67" s="212">
        <f>ROUND(E67*H67,2)</f>
        <v>0</v>
      </c>
      <c r="J67" s="211"/>
      <c r="K67" s="212">
        <f>ROUND(E67*J67,2)</f>
        <v>0</v>
      </c>
      <c r="L67" s="212">
        <v>21.0</v>
      </c>
      <c r="M67" s="212">
        <f>G67*(1+L67/100)</f>
        <v>1540.4268</v>
      </c>
      <c r="N67" s="212">
        <v>0.00442</v>
      </c>
      <c r="O67" s="212">
        <f>ROUND(E67*N67,2)</f>
        <v>0.01</v>
      </c>
      <c r="P67" s="212">
        <v>0.0</v>
      </c>
      <c r="Q67" s="212">
        <f>ROUND(E67*P67,2)</f>
        <v>0</v>
      </c>
      <c r="R67" s="212"/>
      <c r="S67" s="212" t="s">
        <v>184</v>
      </c>
      <c r="T67" s="212" t="s">
        <v>184</v>
      </c>
      <c r="U67" s="212">
        <v>0.821</v>
      </c>
      <c r="V67" s="212">
        <f>ROUND(E67*U67,2)</f>
        <v>1.97</v>
      </c>
      <c r="W67" s="212"/>
      <c r="X67" s="212" t="s">
        <v>225</v>
      </c>
      <c r="Y67" s="213"/>
      <c r="Z67" s="213"/>
      <c r="AA67" s="213"/>
      <c r="AB67" s="213"/>
      <c r="AC67" s="213"/>
      <c r="AD67" s="213"/>
      <c r="AE67" s="213"/>
      <c r="AF67" s="213"/>
      <c r="AG67" s="213" t="s">
        <v>226</v>
      </c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808</v>
      </c>
      <c r="D68" s="238"/>
      <c r="E68" s="239">
        <v>0.56</v>
      </c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808</v>
      </c>
      <c r="D69" s="238"/>
      <c r="E69" s="239">
        <v>0.56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809</v>
      </c>
      <c r="D70" s="238"/>
      <c r="E70" s="239">
        <v>0.64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809</v>
      </c>
      <c r="D71" s="238"/>
      <c r="E71" s="239">
        <v>0.64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>
      <c r="A72" s="196" t="s">
        <v>173</v>
      </c>
      <c r="B72" s="197" t="s">
        <v>106</v>
      </c>
      <c r="C72" s="198" t="s">
        <v>107</v>
      </c>
      <c r="D72" s="199"/>
      <c r="E72" s="200"/>
      <c r="F72" s="201"/>
      <c r="G72" s="202">
        <f>SUMIF(AG73:AG113,"&lt;&gt;NOR",G73:G113)</f>
        <v>215342.79</v>
      </c>
      <c r="H72" s="203"/>
      <c r="I72" s="203">
        <f>SUM(I73:I113)</f>
        <v>0</v>
      </c>
      <c r="J72" s="203"/>
      <c r="K72" s="203">
        <f>SUM(K73:K113)</f>
        <v>0</v>
      </c>
      <c r="L72" s="203"/>
      <c r="M72" s="203">
        <f>SUM(M73:M113)</f>
        <v>260564.7759</v>
      </c>
      <c r="N72" s="203"/>
      <c r="O72" s="203">
        <f>SUM(O73:O113)</f>
        <v>0.19</v>
      </c>
      <c r="P72" s="203"/>
      <c r="Q72" s="203">
        <f>SUM(Q73:Q113)</f>
        <v>0</v>
      </c>
      <c r="R72" s="203"/>
      <c r="S72" s="203"/>
      <c r="T72" s="203"/>
      <c r="U72" s="203"/>
      <c r="V72" s="203">
        <f>SUM(V73:V113)</f>
        <v>34.22</v>
      </c>
      <c r="W72" s="203"/>
      <c r="X72" s="203"/>
      <c r="AG72" s="184" t="s">
        <v>174</v>
      </c>
    </row>
    <row r="73" ht="12.75" customHeight="1" outlineLevel="1">
      <c r="A73" s="214">
        <v>17.0</v>
      </c>
      <c r="B73" s="215" t="s">
        <v>810</v>
      </c>
      <c r="C73" s="216" t="s">
        <v>811</v>
      </c>
      <c r="D73" s="217" t="s">
        <v>251</v>
      </c>
      <c r="E73" s="218">
        <v>6.5</v>
      </c>
      <c r="F73" s="219">
        <v>149.35</v>
      </c>
      <c r="G73" s="220">
        <f>ROUND(E73*F73,2)</f>
        <v>970.78</v>
      </c>
      <c r="H73" s="211"/>
      <c r="I73" s="212">
        <f>ROUND(E73*H73,2)</f>
        <v>0</v>
      </c>
      <c r="J73" s="211"/>
      <c r="K73" s="212">
        <f>ROUND(E73*J73,2)</f>
        <v>0</v>
      </c>
      <c r="L73" s="212">
        <v>21.0</v>
      </c>
      <c r="M73" s="212">
        <f>G73*(1+L73/100)</f>
        <v>1174.6438</v>
      </c>
      <c r="N73" s="212">
        <v>0.0</v>
      </c>
      <c r="O73" s="212">
        <f>ROUND(E73*N73,2)</f>
        <v>0</v>
      </c>
      <c r="P73" s="212">
        <v>0.0</v>
      </c>
      <c r="Q73" s="212">
        <f>ROUND(E73*P73,2)</f>
        <v>0</v>
      </c>
      <c r="R73" s="212"/>
      <c r="S73" s="212" t="s">
        <v>184</v>
      </c>
      <c r="T73" s="212" t="s">
        <v>184</v>
      </c>
      <c r="U73" s="212">
        <v>0.409</v>
      </c>
      <c r="V73" s="212">
        <f>ROUND(E73*U73,2)</f>
        <v>2.66</v>
      </c>
      <c r="W73" s="212"/>
      <c r="X73" s="212" t="s">
        <v>225</v>
      </c>
      <c r="Y73" s="213"/>
      <c r="Z73" s="213"/>
      <c r="AA73" s="213"/>
      <c r="AB73" s="213"/>
      <c r="AC73" s="213"/>
      <c r="AD73" s="213"/>
      <c r="AE73" s="213"/>
      <c r="AF73" s="213"/>
      <c r="AG73" s="213" t="s">
        <v>226</v>
      </c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812</v>
      </c>
      <c r="D74" s="238"/>
      <c r="E74" s="239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813</v>
      </c>
      <c r="D75" s="238"/>
      <c r="E75" s="239">
        <v>6.5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14">
        <v>18.0</v>
      </c>
      <c r="B76" s="215" t="s">
        <v>814</v>
      </c>
      <c r="C76" s="216" t="s">
        <v>815</v>
      </c>
      <c r="D76" s="217" t="s">
        <v>372</v>
      </c>
      <c r="E76" s="218">
        <v>18.0</v>
      </c>
      <c r="F76" s="219">
        <v>1225.7</v>
      </c>
      <c r="G76" s="220">
        <f>ROUND(E76*F76,2)</f>
        <v>22062.6</v>
      </c>
      <c r="H76" s="211"/>
      <c r="I76" s="212">
        <f>ROUND(E76*H76,2)</f>
        <v>0</v>
      </c>
      <c r="J76" s="211"/>
      <c r="K76" s="212">
        <f>ROUND(E76*J76,2)</f>
        <v>0</v>
      </c>
      <c r="L76" s="212">
        <v>21.0</v>
      </c>
      <c r="M76" s="212">
        <f>G76*(1+L76/100)</f>
        <v>26695.746</v>
      </c>
      <c r="N76" s="212">
        <v>2.1E-4</v>
      </c>
      <c r="O76" s="212">
        <f>ROUND(E76*N76,2)</f>
        <v>0</v>
      </c>
      <c r="P76" s="212">
        <v>0.0</v>
      </c>
      <c r="Q76" s="212">
        <f>ROUND(E76*P76,2)</f>
        <v>0</v>
      </c>
      <c r="R76" s="212"/>
      <c r="S76" s="212" t="s">
        <v>184</v>
      </c>
      <c r="T76" s="212" t="s">
        <v>184</v>
      </c>
      <c r="U76" s="212">
        <v>1.6504</v>
      </c>
      <c r="V76" s="212">
        <f>ROUND(E76*U76,2)</f>
        <v>29.71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638</v>
      </c>
      <c r="D77" s="238"/>
      <c r="E77" s="239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816</v>
      </c>
      <c r="D78" s="238"/>
      <c r="E78" s="239">
        <v>18.0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19.0</v>
      </c>
      <c r="B79" s="205" t="s">
        <v>370</v>
      </c>
      <c r="C79" s="206" t="s">
        <v>817</v>
      </c>
      <c r="D79" s="207" t="s">
        <v>372</v>
      </c>
      <c r="E79" s="208">
        <v>1.0</v>
      </c>
      <c r="F79" s="209">
        <v>4770.0</v>
      </c>
      <c r="G79" s="210">
        <f t="shared" ref="G79:G99" si="1">ROUND(E79*F79,2)</f>
        <v>4770</v>
      </c>
      <c r="H79" s="211"/>
      <c r="I79" s="212">
        <f t="shared" ref="I79:I99" si="2">ROUND(E79*H79,2)</f>
        <v>0</v>
      </c>
      <c r="J79" s="211"/>
      <c r="K79" s="212">
        <f t="shared" ref="K79:K99" si="3">ROUND(E79*J79,2)</f>
        <v>0</v>
      </c>
      <c r="L79" s="212">
        <v>21.0</v>
      </c>
      <c r="M79" s="212">
        <f t="shared" ref="M79:M99" si="4">G79*(1+L79/100)</f>
        <v>5771.7</v>
      </c>
      <c r="N79" s="212">
        <v>0.0</v>
      </c>
      <c r="O79" s="212">
        <f t="shared" ref="O79:O99" si="5">ROUND(E79*N79,2)</f>
        <v>0</v>
      </c>
      <c r="P79" s="212">
        <v>0.0</v>
      </c>
      <c r="Q79" s="212">
        <f t="shared" ref="Q79:Q99" si="6">ROUND(E79*P79,2)</f>
        <v>0</v>
      </c>
      <c r="R79" s="212"/>
      <c r="S79" s="212" t="s">
        <v>178</v>
      </c>
      <c r="T79" s="212" t="s">
        <v>179</v>
      </c>
      <c r="U79" s="212">
        <v>0.0</v>
      </c>
      <c r="V79" s="212">
        <f t="shared" ref="V79:V99" si="7">ROUND(E79*U79,2)</f>
        <v>0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04">
        <v>20.0</v>
      </c>
      <c r="B80" s="205" t="s">
        <v>375</v>
      </c>
      <c r="C80" s="206" t="s">
        <v>818</v>
      </c>
      <c r="D80" s="207" t="s">
        <v>372</v>
      </c>
      <c r="E80" s="208">
        <v>3.0</v>
      </c>
      <c r="F80" s="209">
        <v>5431.81</v>
      </c>
      <c r="G80" s="210">
        <f t="shared" si="1"/>
        <v>16295.43</v>
      </c>
      <c r="H80" s="211"/>
      <c r="I80" s="212">
        <f t="shared" si="2"/>
        <v>0</v>
      </c>
      <c r="J80" s="211"/>
      <c r="K80" s="212">
        <f t="shared" si="3"/>
        <v>0</v>
      </c>
      <c r="L80" s="212">
        <v>21.0</v>
      </c>
      <c r="M80" s="212">
        <f t="shared" si="4"/>
        <v>19717.4703</v>
      </c>
      <c r="N80" s="212">
        <v>0.0</v>
      </c>
      <c r="O80" s="212">
        <f t="shared" si="5"/>
        <v>0</v>
      </c>
      <c r="P80" s="212">
        <v>0.0</v>
      </c>
      <c r="Q80" s="212">
        <f t="shared" si="6"/>
        <v>0</v>
      </c>
      <c r="R80" s="212"/>
      <c r="S80" s="212" t="s">
        <v>178</v>
      </c>
      <c r="T80" s="212" t="s">
        <v>179</v>
      </c>
      <c r="U80" s="212">
        <v>0.0</v>
      </c>
      <c r="V80" s="212">
        <f t="shared" si="7"/>
        <v>0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04">
        <v>21.0</v>
      </c>
      <c r="B81" s="205" t="s">
        <v>642</v>
      </c>
      <c r="C81" s="206" t="s">
        <v>819</v>
      </c>
      <c r="D81" s="207" t="s">
        <v>372</v>
      </c>
      <c r="E81" s="208">
        <v>1.0</v>
      </c>
      <c r="F81" s="209">
        <v>6114.49</v>
      </c>
      <c r="G81" s="210">
        <f t="shared" si="1"/>
        <v>6114.49</v>
      </c>
      <c r="H81" s="211"/>
      <c r="I81" s="212">
        <f t="shared" si="2"/>
        <v>0</v>
      </c>
      <c r="J81" s="211"/>
      <c r="K81" s="212">
        <f t="shared" si="3"/>
        <v>0</v>
      </c>
      <c r="L81" s="212">
        <v>21.0</v>
      </c>
      <c r="M81" s="212">
        <f t="shared" si="4"/>
        <v>7398.5329</v>
      </c>
      <c r="N81" s="212">
        <v>0.0</v>
      </c>
      <c r="O81" s="212">
        <f t="shared" si="5"/>
        <v>0</v>
      </c>
      <c r="P81" s="212">
        <v>0.0</v>
      </c>
      <c r="Q81" s="212">
        <f t="shared" si="6"/>
        <v>0</v>
      </c>
      <c r="R81" s="212"/>
      <c r="S81" s="212" t="s">
        <v>178</v>
      </c>
      <c r="T81" s="212" t="s">
        <v>179</v>
      </c>
      <c r="U81" s="212">
        <v>0.0</v>
      </c>
      <c r="V81" s="212">
        <f t="shared" si="7"/>
        <v>0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04">
        <v>22.0</v>
      </c>
      <c r="B82" s="205" t="s">
        <v>644</v>
      </c>
      <c r="C82" s="206" t="s">
        <v>820</v>
      </c>
      <c r="D82" s="207" t="s">
        <v>372</v>
      </c>
      <c r="E82" s="208">
        <v>1.0</v>
      </c>
      <c r="F82" s="209">
        <v>6460.26</v>
      </c>
      <c r="G82" s="210">
        <f t="shared" si="1"/>
        <v>6460.26</v>
      </c>
      <c r="H82" s="211"/>
      <c r="I82" s="212">
        <f t="shared" si="2"/>
        <v>0</v>
      </c>
      <c r="J82" s="211"/>
      <c r="K82" s="212">
        <f t="shared" si="3"/>
        <v>0</v>
      </c>
      <c r="L82" s="212">
        <v>21.0</v>
      </c>
      <c r="M82" s="212">
        <f t="shared" si="4"/>
        <v>7816.9146</v>
      </c>
      <c r="N82" s="212">
        <v>0.0</v>
      </c>
      <c r="O82" s="212">
        <f t="shared" si="5"/>
        <v>0</v>
      </c>
      <c r="P82" s="212">
        <v>0.0</v>
      </c>
      <c r="Q82" s="212">
        <f t="shared" si="6"/>
        <v>0</v>
      </c>
      <c r="R82" s="212"/>
      <c r="S82" s="212" t="s">
        <v>178</v>
      </c>
      <c r="T82" s="212" t="s">
        <v>179</v>
      </c>
      <c r="U82" s="212">
        <v>0.0</v>
      </c>
      <c r="V82" s="212">
        <f t="shared" si="7"/>
        <v>0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04">
        <v>23.0</v>
      </c>
      <c r="B83" s="205" t="s">
        <v>646</v>
      </c>
      <c r="C83" s="206" t="s">
        <v>821</v>
      </c>
      <c r="D83" s="207" t="s">
        <v>372</v>
      </c>
      <c r="E83" s="208">
        <v>1.0</v>
      </c>
      <c r="F83" s="209">
        <v>5410.59</v>
      </c>
      <c r="G83" s="210">
        <f t="shared" si="1"/>
        <v>5410.59</v>
      </c>
      <c r="H83" s="211"/>
      <c r="I83" s="212">
        <f t="shared" si="2"/>
        <v>0</v>
      </c>
      <c r="J83" s="211"/>
      <c r="K83" s="212">
        <f t="shared" si="3"/>
        <v>0</v>
      </c>
      <c r="L83" s="212">
        <v>21.0</v>
      </c>
      <c r="M83" s="212">
        <f t="shared" si="4"/>
        <v>6546.8139</v>
      </c>
      <c r="N83" s="212">
        <v>0.0</v>
      </c>
      <c r="O83" s="212">
        <f t="shared" si="5"/>
        <v>0</v>
      </c>
      <c r="P83" s="212">
        <v>0.0</v>
      </c>
      <c r="Q83" s="212">
        <f t="shared" si="6"/>
        <v>0</v>
      </c>
      <c r="R83" s="212"/>
      <c r="S83" s="212" t="s">
        <v>178</v>
      </c>
      <c r="T83" s="212" t="s">
        <v>179</v>
      </c>
      <c r="U83" s="212">
        <v>0.0</v>
      </c>
      <c r="V83" s="212">
        <f t="shared" si="7"/>
        <v>0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04">
        <v>24.0</v>
      </c>
      <c r="B84" s="205" t="s">
        <v>648</v>
      </c>
      <c r="C84" s="206" t="s">
        <v>822</v>
      </c>
      <c r="D84" s="207" t="s">
        <v>372</v>
      </c>
      <c r="E84" s="208">
        <v>1.0</v>
      </c>
      <c r="F84" s="209">
        <v>86053.93</v>
      </c>
      <c r="G84" s="210">
        <f t="shared" si="1"/>
        <v>86053.93</v>
      </c>
      <c r="H84" s="211"/>
      <c r="I84" s="212">
        <f t="shared" si="2"/>
        <v>0</v>
      </c>
      <c r="J84" s="211"/>
      <c r="K84" s="212">
        <f t="shared" si="3"/>
        <v>0</v>
      </c>
      <c r="L84" s="212">
        <v>21.0</v>
      </c>
      <c r="M84" s="212">
        <f t="shared" si="4"/>
        <v>104125.2553</v>
      </c>
      <c r="N84" s="212">
        <v>0.0</v>
      </c>
      <c r="O84" s="212">
        <f t="shared" si="5"/>
        <v>0</v>
      </c>
      <c r="P84" s="212">
        <v>0.0</v>
      </c>
      <c r="Q84" s="212">
        <f t="shared" si="6"/>
        <v>0</v>
      </c>
      <c r="R84" s="212"/>
      <c r="S84" s="212" t="s">
        <v>178</v>
      </c>
      <c r="T84" s="212" t="s">
        <v>179</v>
      </c>
      <c r="U84" s="212">
        <v>0.0</v>
      </c>
      <c r="V84" s="212">
        <f t="shared" si="7"/>
        <v>0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04">
        <v>25.0</v>
      </c>
      <c r="B85" s="205" t="s">
        <v>650</v>
      </c>
      <c r="C85" s="206" t="s">
        <v>651</v>
      </c>
      <c r="D85" s="207" t="s">
        <v>372</v>
      </c>
      <c r="E85" s="208">
        <v>1.0</v>
      </c>
      <c r="F85" s="209">
        <v>1704.5</v>
      </c>
      <c r="G85" s="210">
        <f t="shared" si="1"/>
        <v>1704.5</v>
      </c>
      <c r="H85" s="211"/>
      <c r="I85" s="212">
        <f t="shared" si="2"/>
        <v>0</v>
      </c>
      <c r="J85" s="211"/>
      <c r="K85" s="212">
        <f t="shared" si="3"/>
        <v>0</v>
      </c>
      <c r="L85" s="212">
        <v>21.0</v>
      </c>
      <c r="M85" s="212">
        <f t="shared" si="4"/>
        <v>2062.445</v>
      </c>
      <c r="N85" s="212">
        <v>0.0</v>
      </c>
      <c r="O85" s="212">
        <f t="shared" si="5"/>
        <v>0</v>
      </c>
      <c r="P85" s="212">
        <v>0.0</v>
      </c>
      <c r="Q85" s="212">
        <f t="shared" si="6"/>
        <v>0</v>
      </c>
      <c r="R85" s="212"/>
      <c r="S85" s="212" t="s">
        <v>178</v>
      </c>
      <c r="T85" s="212" t="s">
        <v>179</v>
      </c>
      <c r="U85" s="212">
        <v>0.0</v>
      </c>
      <c r="V85" s="212">
        <f t="shared" si="7"/>
        <v>0</v>
      </c>
      <c r="W85" s="212"/>
      <c r="X85" s="212" t="s">
        <v>225</v>
      </c>
      <c r="Y85" s="213"/>
      <c r="Z85" s="213"/>
      <c r="AA85" s="213"/>
      <c r="AB85" s="213"/>
      <c r="AC85" s="213"/>
      <c r="AD85" s="213"/>
      <c r="AE85" s="213"/>
      <c r="AF85" s="213"/>
      <c r="AG85" s="213" t="s">
        <v>226</v>
      </c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04">
        <v>26.0</v>
      </c>
      <c r="B86" s="205" t="s">
        <v>652</v>
      </c>
      <c r="C86" s="206" t="s">
        <v>823</v>
      </c>
      <c r="D86" s="207" t="s">
        <v>372</v>
      </c>
      <c r="E86" s="208">
        <v>1.0</v>
      </c>
      <c r="F86" s="209">
        <v>1909.31</v>
      </c>
      <c r="G86" s="210">
        <f t="shared" si="1"/>
        <v>1909.31</v>
      </c>
      <c r="H86" s="211"/>
      <c r="I86" s="212">
        <f t="shared" si="2"/>
        <v>0</v>
      </c>
      <c r="J86" s="211"/>
      <c r="K86" s="212">
        <f t="shared" si="3"/>
        <v>0</v>
      </c>
      <c r="L86" s="212">
        <v>21.0</v>
      </c>
      <c r="M86" s="212">
        <f t="shared" si="4"/>
        <v>2310.2651</v>
      </c>
      <c r="N86" s="212">
        <v>0.0</v>
      </c>
      <c r="O86" s="212">
        <f t="shared" si="5"/>
        <v>0</v>
      </c>
      <c r="P86" s="212">
        <v>0.0</v>
      </c>
      <c r="Q86" s="212">
        <f t="shared" si="6"/>
        <v>0</v>
      </c>
      <c r="R86" s="212"/>
      <c r="S86" s="212" t="s">
        <v>178</v>
      </c>
      <c r="T86" s="212" t="s">
        <v>179</v>
      </c>
      <c r="U86" s="212">
        <v>0.0</v>
      </c>
      <c r="V86" s="212">
        <f t="shared" si="7"/>
        <v>0</v>
      </c>
      <c r="W86" s="212"/>
      <c r="X86" s="212" t="s">
        <v>225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226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04">
        <v>27.0</v>
      </c>
      <c r="B87" s="205" t="s">
        <v>654</v>
      </c>
      <c r="C87" s="206" t="s">
        <v>655</v>
      </c>
      <c r="D87" s="207" t="s">
        <v>372</v>
      </c>
      <c r="E87" s="208">
        <v>1.0</v>
      </c>
      <c r="F87" s="209">
        <v>631.0</v>
      </c>
      <c r="G87" s="210">
        <f t="shared" si="1"/>
        <v>631</v>
      </c>
      <c r="H87" s="211"/>
      <c r="I87" s="212">
        <f t="shared" si="2"/>
        <v>0</v>
      </c>
      <c r="J87" s="211"/>
      <c r="K87" s="212">
        <f t="shared" si="3"/>
        <v>0</v>
      </c>
      <c r="L87" s="212">
        <v>21.0</v>
      </c>
      <c r="M87" s="212">
        <f t="shared" si="4"/>
        <v>763.51</v>
      </c>
      <c r="N87" s="212">
        <v>0.0</v>
      </c>
      <c r="O87" s="212">
        <f t="shared" si="5"/>
        <v>0</v>
      </c>
      <c r="P87" s="212">
        <v>0.0</v>
      </c>
      <c r="Q87" s="212">
        <f t="shared" si="6"/>
        <v>0</v>
      </c>
      <c r="R87" s="212"/>
      <c r="S87" s="212" t="s">
        <v>178</v>
      </c>
      <c r="T87" s="212" t="s">
        <v>179</v>
      </c>
      <c r="U87" s="212">
        <v>0.0</v>
      </c>
      <c r="V87" s="212">
        <f t="shared" si="7"/>
        <v>0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04">
        <v>28.0</v>
      </c>
      <c r="B88" s="205" t="s">
        <v>656</v>
      </c>
      <c r="C88" s="206" t="s">
        <v>824</v>
      </c>
      <c r="D88" s="207" t="s">
        <v>372</v>
      </c>
      <c r="E88" s="208">
        <v>3.0</v>
      </c>
      <c r="F88" s="209">
        <v>697.5</v>
      </c>
      <c r="G88" s="210">
        <f t="shared" si="1"/>
        <v>2092.5</v>
      </c>
      <c r="H88" s="211"/>
      <c r="I88" s="212">
        <f t="shared" si="2"/>
        <v>0</v>
      </c>
      <c r="J88" s="211"/>
      <c r="K88" s="212">
        <f t="shared" si="3"/>
        <v>0</v>
      </c>
      <c r="L88" s="212">
        <v>21.0</v>
      </c>
      <c r="M88" s="212">
        <f t="shared" si="4"/>
        <v>2531.925</v>
      </c>
      <c r="N88" s="212">
        <v>0.0</v>
      </c>
      <c r="O88" s="212">
        <f t="shared" si="5"/>
        <v>0</v>
      </c>
      <c r="P88" s="212">
        <v>0.0</v>
      </c>
      <c r="Q88" s="212">
        <f t="shared" si="6"/>
        <v>0</v>
      </c>
      <c r="R88" s="212"/>
      <c r="S88" s="212" t="s">
        <v>178</v>
      </c>
      <c r="T88" s="212" t="s">
        <v>179</v>
      </c>
      <c r="U88" s="212">
        <v>0.0</v>
      </c>
      <c r="V88" s="212">
        <f t="shared" si="7"/>
        <v>0</v>
      </c>
      <c r="W88" s="212"/>
      <c r="X88" s="212" t="s">
        <v>225</v>
      </c>
      <c r="Y88" s="213"/>
      <c r="Z88" s="213"/>
      <c r="AA88" s="213"/>
      <c r="AB88" s="213"/>
      <c r="AC88" s="213"/>
      <c r="AD88" s="213"/>
      <c r="AE88" s="213"/>
      <c r="AF88" s="213"/>
      <c r="AG88" s="213" t="s">
        <v>226</v>
      </c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04">
        <v>29.0</v>
      </c>
      <c r="B89" s="205" t="s">
        <v>658</v>
      </c>
      <c r="C89" s="206" t="s">
        <v>659</v>
      </c>
      <c r="D89" s="207" t="s">
        <v>372</v>
      </c>
      <c r="E89" s="208">
        <v>4.0</v>
      </c>
      <c r="F89" s="209">
        <v>591.0</v>
      </c>
      <c r="G89" s="210">
        <f t="shared" si="1"/>
        <v>2364</v>
      </c>
      <c r="H89" s="211"/>
      <c r="I89" s="212">
        <f t="shared" si="2"/>
        <v>0</v>
      </c>
      <c r="J89" s="211"/>
      <c r="K89" s="212">
        <f t="shared" si="3"/>
        <v>0</v>
      </c>
      <c r="L89" s="212">
        <v>21.0</v>
      </c>
      <c r="M89" s="212">
        <f t="shared" si="4"/>
        <v>2860.44</v>
      </c>
      <c r="N89" s="212">
        <v>0.0</v>
      </c>
      <c r="O89" s="212">
        <f t="shared" si="5"/>
        <v>0</v>
      </c>
      <c r="P89" s="212">
        <v>0.0</v>
      </c>
      <c r="Q89" s="212">
        <f t="shared" si="6"/>
        <v>0</v>
      </c>
      <c r="R89" s="212"/>
      <c r="S89" s="212" t="s">
        <v>178</v>
      </c>
      <c r="T89" s="212" t="s">
        <v>179</v>
      </c>
      <c r="U89" s="212">
        <v>0.0</v>
      </c>
      <c r="V89" s="212">
        <f t="shared" si="7"/>
        <v>0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04">
        <v>30.0</v>
      </c>
      <c r="B90" s="205" t="s">
        <v>660</v>
      </c>
      <c r="C90" s="206" t="s">
        <v>825</v>
      </c>
      <c r="D90" s="207" t="s">
        <v>372</v>
      </c>
      <c r="E90" s="208">
        <v>2.0</v>
      </c>
      <c r="F90" s="209">
        <v>533.5</v>
      </c>
      <c r="G90" s="210">
        <f t="shared" si="1"/>
        <v>1067</v>
      </c>
      <c r="H90" s="211"/>
      <c r="I90" s="212">
        <f t="shared" si="2"/>
        <v>0</v>
      </c>
      <c r="J90" s="211"/>
      <c r="K90" s="212">
        <f t="shared" si="3"/>
        <v>0</v>
      </c>
      <c r="L90" s="212">
        <v>21.0</v>
      </c>
      <c r="M90" s="212">
        <f t="shared" si="4"/>
        <v>1291.07</v>
      </c>
      <c r="N90" s="212">
        <v>0.0</v>
      </c>
      <c r="O90" s="212">
        <f t="shared" si="5"/>
        <v>0</v>
      </c>
      <c r="P90" s="212">
        <v>0.0</v>
      </c>
      <c r="Q90" s="212">
        <f t="shared" si="6"/>
        <v>0</v>
      </c>
      <c r="R90" s="212"/>
      <c r="S90" s="212" t="s">
        <v>178</v>
      </c>
      <c r="T90" s="212" t="s">
        <v>179</v>
      </c>
      <c r="U90" s="212">
        <v>0.0</v>
      </c>
      <c r="V90" s="212">
        <f t="shared" si="7"/>
        <v>0</v>
      </c>
      <c r="W90" s="212"/>
      <c r="X90" s="212" t="s">
        <v>225</v>
      </c>
      <c r="Y90" s="213"/>
      <c r="Z90" s="213"/>
      <c r="AA90" s="213"/>
      <c r="AB90" s="213"/>
      <c r="AC90" s="213"/>
      <c r="AD90" s="213"/>
      <c r="AE90" s="213"/>
      <c r="AF90" s="213"/>
      <c r="AG90" s="213" t="s">
        <v>226</v>
      </c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04">
        <v>31.0</v>
      </c>
      <c r="B91" s="205" t="s">
        <v>826</v>
      </c>
      <c r="C91" s="206" t="s">
        <v>827</v>
      </c>
      <c r="D91" s="207" t="s">
        <v>372</v>
      </c>
      <c r="E91" s="208">
        <v>1.0</v>
      </c>
      <c r="F91" s="209">
        <v>571.5</v>
      </c>
      <c r="G91" s="210">
        <f t="shared" si="1"/>
        <v>571.5</v>
      </c>
      <c r="H91" s="211"/>
      <c r="I91" s="212">
        <f t="shared" si="2"/>
        <v>0</v>
      </c>
      <c r="J91" s="211"/>
      <c r="K91" s="212">
        <f t="shared" si="3"/>
        <v>0</v>
      </c>
      <c r="L91" s="212">
        <v>21.0</v>
      </c>
      <c r="M91" s="212">
        <f t="shared" si="4"/>
        <v>691.515</v>
      </c>
      <c r="N91" s="212">
        <v>0.0</v>
      </c>
      <c r="O91" s="212">
        <f t="shared" si="5"/>
        <v>0</v>
      </c>
      <c r="P91" s="212">
        <v>0.0</v>
      </c>
      <c r="Q91" s="212">
        <f t="shared" si="6"/>
        <v>0</v>
      </c>
      <c r="R91" s="212"/>
      <c r="S91" s="212" t="s">
        <v>178</v>
      </c>
      <c r="T91" s="212" t="s">
        <v>179</v>
      </c>
      <c r="U91" s="212">
        <v>0.0</v>
      </c>
      <c r="V91" s="212">
        <f t="shared" si="7"/>
        <v>0</v>
      </c>
      <c r="W91" s="212"/>
      <c r="X91" s="212" t="s">
        <v>225</v>
      </c>
      <c r="Y91" s="213"/>
      <c r="Z91" s="213"/>
      <c r="AA91" s="213"/>
      <c r="AB91" s="213"/>
      <c r="AC91" s="213"/>
      <c r="AD91" s="213"/>
      <c r="AE91" s="213"/>
      <c r="AF91" s="213"/>
      <c r="AG91" s="213" t="s">
        <v>226</v>
      </c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04">
        <v>32.0</v>
      </c>
      <c r="B92" s="205" t="s">
        <v>828</v>
      </c>
      <c r="C92" s="206" t="s">
        <v>829</v>
      </c>
      <c r="D92" s="207" t="s">
        <v>372</v>
      </c>
      <c r="E92" s="208">
        <v>1.0</v>
      </c>
      <c r="F92" s="209">
        <v>384.0</v>
      </c>
      <c r="G92" s="210">
        <f t="shared" si="1"/>
        <v>384</v>
      </c>
      <c r="H92" s="211"/>
      <c r="I92" s="212">
        <f t="shared" si="2"/>
        <v>0</v>
      </c>
      <c r="J92" s="211"/>
      <c r="K92" s="212">
        <f t="shared" si="3"/>
        <v>0</v>
      </c>
      <c r="L92" s="212">
        <v>21.0</v>
      </c>
      <c r="M92" s="212">
        <f t="shared" si="4"/>
        <v>464.64</v>
      </c>
      <c r="N92" s="212">
        <v>0.0</v>
      </c>
      <c r="O92" s="212">
        <f t="shared" si="5"/>
        <v>0</v>
      </c>
      <c r="P92" s="212">
        <v>0.0</v>
      </c>
      <c r="Q92" s="212">
        <f t="shared" si="6"/>
        <v>0</v>
      </c>
      <c r="R92" s="212"/>
      <c r="S92" s="212" t="s">
        <v>178</v>
      </c>
      <c r="T92" s="212" t="s">
        <v>179</v>
      </c>
      <c r="U92" s="212">
        <v>0.0</v>
      </c>
      <c r="V92" s="212">
        <f t="shared" si="7"/>
        <v>0</v>
      </c>
      <c r="W92" s="212"/>
      <c r="X92" s="212" t="s">
        <v>225</v>
      </c>
      <c r="Y92" s="213"/>
      <c r="Z92" s="213"/>
      <c r="AA92" s="213"/>
      <c r="AB92" s="213"/>
      <c r="AC92" s="213"/>
      <c r="AD92" s="213"/>
      <c r="AE92" s="213"/>
      <c r="AF92" s="213"/>
      <c r="AG92" s="213" t="s">
        <v>226</v>
      </c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04">
        <v>33.0</v>
      </c>
      <c r="B93" s="205" t="s">
        <v>830</v>
      </c>
      <c r="C93" s="206" t="s">
        <v>831</v>
      </c>
      <c r="D93" s="207" t="s">
        <v>372</v>
      </c>
      <c r="E93" s="208">
        <v>1.0</v>
      </c>
      <c r="F93" s="209">
        <v>1147.0</v>
      </c>
      <c r="G93" s="210">
        <f t="shared" si="1"/>
        <v>1147</v>
      </c>
      <c r="H93" s="211"/>
      <c r="I93" s="212">
        <f t="shared" si="2"/>
        <v>0</v>
      </c>
      <c r="J93" s="211"/>
      <c r="K93" s="212">
        <f t="shared" si="3"/>
        <v>0</v>
      </c>
      <c r="L93" s="212">
        <v>21.0</v>
      </c>
      <c r="M93" s="212">
        <f t="shared" si="4"/>
        <v>1387.87</v>
      </c>
      <c r="N93" s="212">
        <v>0.0</v>
      </c>
      <c r="O93" s="212">
        <f t="shared" si="5"/>
        <v>0</v>
      </c>
      <c r="P93" s="212">
        <v>0.0</v>
      </c>
      <c r="Q93" s="212">
        <f t="shared" si="6"/>
        <v>0</v>
      </c>
      <c r="R93" s="212"/>
      <c r="S93" s="212" t="s">
        <v>178</v>
      </c>
      <c r="T93" s="212" t="s">
        <v>179</v>
      </c>
      <c r="U93" s="212">
        <v>0.0</v>
      </c>
      <c r="V93" s="212">
        <f t="shared" si="7"/>
        <v>0</v>
      </c>
      <c r="W93" s="212"/>
      <c r="X93" s="212" t="s">
        <v>225</v>
      </c>
      <c r="Y93" s="213"/>
      <c r="Z93" s="213"/>
      <c r="AA93" s="213"/>
      <c r="AB93" s="213"/>
      <c r="AC93" s="213"/>
      <c r="AD93" s="213"/>
      <c r="AE93" s="213"/>
      <c r="AF93" s="213"/>
      <c r="AG93" s="213" t="s">
        <v>226</v>
      </c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04">
        <v>34.0</v>
      </c>
      <c r="B94" s="205" t="s">
        <v>832</v>
      </c>
      <c r="C94" s="206" t="s">
        <v>833</v>
      </c>
      <c r="D94" s="207" t="s">
        <v>372</v>
      </c>
      <c r="E94" s="208">
        <v>2.0</v>
      </c>
      <c r="F94" s="209">
        <v>340.0</v>
      </c>
      <c r="G94" s="210">
        <f t="shared" si="1"/>
        <v>680</v>
      </c>
      <c r="H94" s="211"/>
      <c r="I94" s="212">
        <f t="shared" si="2"/>
        <v>0</v>
      </c>
      <c r="J94" s="211"/>
      <c r="K94" s="212">
        <f t="shared" si="3"/>
        <v>0</v>
      </c>
      <c r="L94" s="212">
        <v>21.0</v>
      </c>
      <c r="M94" s="212">
        <f t="shared" si="4"/>
        <v>822.8</v>
      </c>
      <c r="N94" s="212">
        <v>0.0</v>
      </c>
      <c r="O94" s="212">
        <f t="shared" si="5"/>
        <v>0</v>
      </c>
      <c r="P94" s="212">
        <v>0.0</v>
      </c>
      <c r="Q94" s="212">
        <f t="shared" si="6"/>
        <v>0</v>
      </c>
      <c r="R94" s="212"/>
      <c r="S94" s="212" t="s">
        <v>178</v>
      </c>
      <c r="T94" s="212" t="s">
        <v>179</v>
      </c>
      <c r="U94" s="212">
        <v>0.0</v>
      </c>
      <c r="V94" s="212">
        <f t="shared" si="7"/>
        <v>0</v>
      </c>
      <c r="W94" s="212"/>
      <c r="X94" s="212" t="s">
        <v>225</v>
      </c>
      <c r="Y94" s="213"/>
      <c r="Z94" s="213"/>
      <c r="AA94" s="213"/>
      <c r="AB94" s="213"/>
      <c r="AC94" s="213"/>
      <c r="AD94" s="213"/>
      <c r="AE94" s="213"/>
      <c r="AF94" s="213"/>
      <c r="AG94" s="213" t="s">
        <v>226</v>
      </c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04">
        <v>35.0</v>
      </c>
      <c r="B95" s="205" t="s">
        <v>834</v>
      </c>
      <c r="C95" s="206" t="s">
        <v>835</v>
      </c>
      <c r="D95" s="207" t="s">
        <v>372</v>
      </c>
      <c r="E95" s="208">
        <v>4.0</v>
      </c>
      <c r="F95" s="209">
        <v>796.0</v>
      </c>
      <c r="G95" s="210">
        <f t="shared" si="1"/>
        <v>3184</v>
      </c>
      <c r="H95" s="211"/>
      <c r="I95" s="212">
        <f t="shared" si="2"/>
        <v>0</v>
      </c>
      <c r="J95" s="211"/>
      <c r="K95" s="212">
        <f t="shared" si="3"/>
        <v>0</v>
      </c>
      <c r="L95" s="212">
        <v>21.0</v>
      </c>
      <c r="M95" s="212">
        <f t="shared" si="4"/>
        <v>3852.64</v>
      </c>
      <c r="N95" s="212">
        <v>0.0</v>
      </c>
      <c r="O95" s="212">
        <f t="shared" si="5"/>
        <v>0</v>
      </c>
      <c r="P95" s="212">
        <v>0.0</v>
      </c>
      <c r="Q95" s="212">
        <f t="shared" si="6"/>
        <v>0</v>
      </c>
      <c r="R95" s="212"/>
      <c r="S95" s="212" t="s">
        <v>178</v>
      </c>
      <c r="T95" s="212" t="s">
        <v>179</v>
      </c>
      <c r="U95" s="212">
        <v>0.0</v>
      </c>
      <c r="V95" s="212">
        <f t="shared" si="7"/>
        <v>0</v>
      </c>
      <c r="W95" s="212"/>
      <c r="X95" s="212" t="s">
        <v>225</v>
      </c>
      <c r="Y95" s="213"/>
      <c r="Z95" s="213"/>
      <c r="AA95" s="213"/>
      <c r="AB95" s="213"/>
      <c r="AC95" s="213"/>
      <c r="AD95" s="213"/>
      <c r="AE95" s="213"/>
      <c r="AF95" s="213"/>
      <c r="AG95" s="213" t="s">
        <v>226</v>
      </c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04">
        <v>36.0</v>
      </c>
      <c r="B96" s="205" t="s">
        <v>836</v>
      </c>
      <c r="C96" s="206" t="s">
        <v>837</v>
      </c>
      <c r="D96" s="207" t="s">
        <v>372</v>
      </c>
      <c r="E96" s="208">
        <v>1.0</v>
      </c>
      <c r="F96" s="209">
        <v>6320.0</v>
      </c>
      <c r="G96" s="210">
        <f t="shared" si="1"/>
        <v>6320</v>
      </c>
      <c r="H96" s="211"/>
      <c r="I96" s="212">
        <f t="shared" si="2"/>
        <v>0</v>
      </c>
      <c r="J96" s="211"/>
      <c r="K96" s="212">
        <f t="shared" si="3"/>
        <v>0</v>
      </c>
      <c r="L96" s="212">
        <v>21.0</v>
      </c>
      <c r="M96" s="212">
        <f t="shared" si="4"/>
        <v>7647.2</v>
      </c>
      <c r="N96" s="212">
        <v>0.0</v>
      </c>
      <c r="O96" s="212">
        <f t="shared" si="5"/>
        <v>0</v>
      </c>
      <c r="P96" s="212">
        <v>0.0</v>
      </c>
      <c r="Q96" s="212">
        <f t="shared" si="6"/>
        <v>0</v>
      </c>
      <c r="R96" s="212"/>
      <c r="S96" s="212" t="s">
        <v>178</v>
      </c>
      <c r="T96" s="212" t="s">
        <v>179</v>
      </c>
      <c r="U96" s="212">
        <v>0.0</v>
      </c>
      <c r="V96" s="212">
        <f t="shared" si="7"/>
        <v>0</v>
      </c>
      <c r="W96" s="212"/>
      <c r="X96" s="212" t="s">
        <v>225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226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04">
        <v>37.0</v>
      </c>
      <c r="B97" s="205" t="s">
        <v>838</v>
      </c>
      <c r="C97" s="206" t="s">
        <v>839</v>
      </c>
      <c r="D97" s="207" t="s">
        <v>251</v>
      </c>
      <c r="E97" s="208">
        <v>6.5</v>
      </c>
      <c r="F97" s="209">
        <v>245.5</v>
      </c>
      <c r="G97" s="210">
        <f t="shared" si="1"/>
        <v>1595.75</v>
      </c>
      <c r="H97" s="211"/>
      <c r="I97" s="212">
        <f t="shared" si="2"/>
        <v>0</v>
      </c>
      <c r="J97" s="211"/>
      <c r="K97" s="212">
        <f t="shared" si="3"/>
        <v>0</v>
      </c>
      <c r="L97" s="212">
        <v>21.0</v>
      </c>
      <c r="M97" s="212">
        <f t="shared" si="4"/>
        <v>1930.8575</v>
      </c>
      <c r="N97" s="212">
        <v>0.0</v>
      </c>
      <c r="O97" s="212">
        <f t="shared" si="5"/>
        <v>0</v>
      </c>
      <c r="P97" s="212">
        <v>0.0</v>
      </c>
      <c r="Q97" s="212">
        <f t="shared" si="6"/>
        <v>0</v>
      </c>
      <c r="R97" s="212"/>
      <c r="S97" s="212" t="s">
        <v>184</v>
      </c>
      <c r="T97" s="212" t="s">
        <v>184</v>
      </c>
      <c r="U97" s="212">
        <v>0.044</v>
      </c>
      <c r="V97" s="212">
        <f t="shared" si="7"/>
        <v>0.29</v>
      </c>
      <c r="W97" s="212"/>
      <c r="X97" s="212" t="s">
        <v>225</v>
      </c>
      <c r="Y97" s="213"/>
      <c r="Z97" s="213"/>
      <c r="AA97" s="213"/>
      <c r="AB97" s="213"/>
      <c r="AC97" s="213"/>
      <c r="AD97" s="213"/>
      <c r="AE97" s="213"/>
      <c r="AF97" s="213"/>
      <c r="AG97" s="213" t="s">
        <v>226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04">
        <v>38.0</v>
      </c>
      <c r="B98" s="205" t="s">
        <v>840</v>
      </c>
      <c r="C98" s="206" t="s">
        <v>841</v>
      </c>
      <c r="D98" s="207" t="s">
        <v>251</v>
      </c>
      <c r="E98" s="208">
        <v>6.5</v>
      </c>
      <c r="F98" s="209">
        <v>224.0</v>
      </c>
      <c r="G98" s="210">
        <f t="shared" si="1"/>
        <v>1456</v>
      </c>
      <c r="H98" s="211"/>
      <c r="I98" s="212">
        <f t="shared" si="2"/>
        <v>0</v>
      </c>
      <c r="J98" s="211"/>
      <c r="K98" s="212">
        <f t="shared" si="3"/>
        <v>0</v>
      </c>
      <c r="L98" s="212">
        <v>21.0</v>
      </c>
      <c r="M98" s="212">
        <f t="shared" si="4"/>
        <v>1761.76</v>
      </c>
      <c r="N98" s="212">
        <v>0.0</v>
      </c>
      <c r="O98" s="212">
        <f t="shared" si="5"/>
        <v>0</v>
      </c>
      <c r="P98" s="212">
        <v>0.0</v>
      </c>
      <c r="Q98" s="212">
        <f t="shared" si="6"/>
        <v>0</v>
      </c>
      <c r="R98" s="212"/>
      <c r="S98" s="212" t="s">
        <v>184</v>
      </c>
      <c r="T98" s="212" t="s">
        <v>184</v>
      </c>
      <c r="U98" s="212">
        <v>0.21</v>
      </c>
      <c r="V98" s="212">
        <f t="shared" si="7"/>
        <v>1.37</v>
      </c>
      <c r="W98" s="212"/>
      <c r="X98" s="212" t="s">
        <v>225</v>
      </c>
      <c r="Y98" s="213"/>
      <c r="Z98" s="213"/>
      <c r="AA98" s="213"/>
      <c r="AB98" s="213"/>
      <c r="AC98" s="213"/>
      <c r="AD98" s="213"/>
      <c r="AE98" s="213"/>
      <c r="AF98" s="213"/>
      <c r="AG98" s="213" t="s">
        <v>226</v>
      </c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14">
        <v>39.0</v>
      </c>
      <c r="B99" s="215" t="s">
        <v>666</v>
      </c>
      <c r="C99" s="216" t="s">
        <v>667</v>
      </c>
      <c r="D99" s="217" t="s">
        <v>251</v>
      </c>
      <c r="E99" s="218">
        <v>7.15</v>
      </c>
      <c r="F99" s="219">
        <v>26.0</v>
      </c>
      <c r="G99" s="220">
        <f t="shared" si="1"/>
        <v>185.9</v>
      </c>
      <c r="H99" s="211"/>
      <c r="I99" s="212">
        <f t="shared" si="2"/>
        <v>0</v>
      </c>
      <c r="J99" s="211"/>
      <c r="K99" s="212">
        <f t="shared" si="3"/>
        <v>0</v>
      </c>
      <c r="L99" s="212">
        <v>21.0</v>
      </c>
      <c r="M99" s="212">
        <f t="shared" si="4"/>
        <v>224.939</v>
      </c>
      <c r="N99" s="212">
        <v>0.0</v>
      </c>
      <c r="O99" s="212">
        <f t="shared" si="5"/>
        <v>0</v>
      </c>
      <c r="P99" s="212">
        <v>0.0</v>
      </c>
      <c r="Q99" s="212">
        <f t="shared" si="6"/>
        <v>0</v>
      </c>
      <c r="R99" s="212"/>
      <c r="S99" s="212" t="s">
        <v>184</v>
      </c>
      <c r="T99" s="212" t="s">
        <v>184</v>
      </c>
      <c r="U99" s="212">
        <v>0.026</v>
      </c>
      <c r="V99" s="212">
        <f t="shared" si="7"/>
        <v>0.19</v>
      </c>
      <c r="W99" s="212"/>
      <c r="X99" s="212" t="s">
        <v>225</v>
      </c>
      <c r="Y99" s="213"/>
      <c r="Z99" s="213"/>
      <c r="AA99" s="213"/>
      <c r="AB99" s="213"/>
      <c r="AC99" s="213"/>
      <c r="AD99" s="213"/>
      <c r="AE99" s="213"/>
      <c r="AF99" s="213"/>
      <c r="AG99" s="213" t="s">
        <v>226</v>
      </c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35"/>
      <c r="B100" s="236"/>
      <c r="C100" s="237" t="s">
        <v>842</v>
      </c>
      <c r="D100" s="238"/>
      <c r="E100" s="239">
        <v>7.15</v>
      </c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3"/>
      <c r="Z100" s="213"/>
      <c r="AA100" s="213"/>
      <c r="AB100" s="213"/>
      <c r="AC100" s="213"/>
      <c r="AD100" s="213"/>
      <c r="AE100" s="213"/>
      <c r="AF100" s="213"/>
      <c r="AG100" s="213" t="s">
        <v>228</v>
      </c>
      <c r="AH100" s="213">
        <v>0.0</v>
      </c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14">
        <v>40.0</v>
      </c>
      <c r="B101" s="215" t="s">
        <v>572</v>
      </c>
      <c r="C101" s="216" t="s">
        <v>843</v>
      </c>
      <c r="D101" s="217" t="s">
        <v>251</v>
      </c>
      <c r="E101" s="218">
        <v>6.825</v>
      </c>
      <c r="F101" s="219">
        <v>2110.0</v>
      </c>
      <c r="G101" s="220">
        <f>ROUND(E101*F101,2)</f>
        <v>14400.75</v>
      </c>
      <c r="H101" s="211"/>
      <c r="I101" s="212">
        <f>ROUND(E101*H101,2)</f>
        <v>0</v>
      </c>
      <c r="J101" s="211"/>
      <c r="K101" s="212">
        <f>ROUND(E101*J101,2)</f>
        <v>0</v>
      </c>
      <c r="L101" s="212">
        <v>21.0</v>
      </c>
      <c r="M101" s="212">
        <f>G101*(1+L101/100)</f>
        <v>17424.9075</v>
      </c>
      <c r="N101" s="212">
        <v>0.028</v>
      </c>
      <c r="O101" s="212">
        <f>ROUND(E101*N101,2)</f>
        <v>0.19</v>
      </c>
      <c r="P101" s="212">
        <v>0.0</v>
      </c>
      <c r="Q101" s="212">
        <f>ROUND(E101*P101,2)</f>
        <v>0</v>
      </c>
      <c r="R101" s="212"/>
      <c r="S101" s="212" t="s">
        <v>178</v>
      </c>
      <c r="T101" s="212" t="s">
        <v>179</v>
      </c>
      <c r="U101" s="212">
        <v>0.0</v>
      </c>
      <c r="V101" s="212">
        <f>ROUND(E101*U101,2)</f>
        <v>0</v>
      </c>
      <c r="W101" s="212"/>
      <c r="X101" s="212" t="s">
        <v>225</v>
      </c>
      <c r="Y101" s="213"/>
      <c r="Z101" s="213"/>
      <c r="AA101" s="213"/>
      <c r="AB101" s="213"/>
      <c r="AC101" s="213"/>
      <c r="AD101" s="213"/>
      <c r="AE101" s="213"/>
      <c r="AF101" s="213"/>
      <c r="AG101" s="213" t="s">
        <v>226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37" t="s">
        <v>812</v>
      </c>
      <c r="D102" s="238"/>
      <c r="E102" s="239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0.0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35"/>
      <c r="B103" s="236"/>
      <c r="C103" s="237" t="s">
        <v>844</v>
      </c>
      <c r="D103" s="238"/>
      <c r="E103" s="239">
        <v>6.83</v>
      </c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3"/>
      <c r="Z103" s="213"/>
      <c r="AA103" s="213"/>
      <c r="AB103" s="213"/>
      <c r="AC103" s="213"/>
      <c r="AD103" s="213"/>
      <c r="AE103" s="213"/>
      <c r="AF103" s="213"/>
      <c r="AG103" s="213" t="s">
        <v>228</v>
      </c>
      <c r="AH103" s="213">
        <v>0.0</v>
      </c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04">
        <v>41.0</v>
      </c>
      <c r="B104" s="205" t="s">
        <v>670</v>
      </c>
      <c r="C104" s="206" t="s">
        <v>845</v>
      </c>
      <c r="D104" s="207" t="s">
        <v>372</v>
      </c>
      <c r="E104" s="208">
        <v>1.0</v>
      </c>
      <c r="F104" s="209">
        <v>1077.5</v>
      </c>
      <c r="G104" s="210">
        <f t="shared" ref="G104:G113" si="8">ROUND(E104*F104,2)</f>
        <v>1077.5</v>
      </c>
      <c r="H104" s="211"/>
      <c r="I104" s="212">
        <f t="shared" ref="I104:I113" si="9">ROUND(E104*H104,2)</f>
        <v>0</v>
      </c>
      <c r="J104" s="211"/>
      <c r="K104" s="212">
        <f t="shared" ref="K104:K113" si="10">ROUND(E104*J104,2)</f>
        <v>0</v>
      </c>
      <c r="L104" s="212">
        <v>21.0</v>
      </c>
      <c r="M104" s="212">
        <f t="shared" ref="M104:M113" si="11">G104*(1+L104/100)</f>
        <v>1303.775</v>
      </c>
      <c r="N104" s="212">
        <v>0.0</v>
      </c>
      <c r="O104" s="212">
        <f t="shared" ref="O104:O113" si="12">ROUND(E104*N104,2)</f>
        <v>0</v>
      </c>
      <c r="P104" s="212">
        <v>0.0</v>
      </c>
      <c r="Q104" s="212">
        <f t="shared" ref="Q104:Q113" si="13">ROUND(E104*P104,2)</f>
        <v>0</v>
      </c>
      <c r="R104" s="212"/>
      <c r="S104" s="212" t="s">
        <v>178</v>
      </c>
      <c r="T104" s="212" t="s">
        <v>179</v>
      </c>
      <c r="U104" s="212">
        <v>0.0</v>
      </c>
      <c r="V104" s="212">
        <f t="shared" ref="V104:V113" si="14">ROUND(E104*U104,2)</f>
        <v>0</v>
      </c>
      <c r="W104" s="212"/>
      <c r="X104" s="212" t="s">
        <v>225</v>
      </c>
      <c r="Y104" s="213"/>
      <c r="Z104" s="213"/>
      <c r="AA104" s="213"/>
      <c r="AB104" s="213"/>
      <c r="AC104" s="213"/>
      <c r="AD104" s="213"/>
      <c r="AE104" s="213"/>
      <c r="AF104" s="213"/>
      <c r="AG104" s="213" t="s">
        <v>226</v>
      </c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04">
        <v>42.0</v>
      </c>
      <c r="B105" s="205" t="s">
        <v>672</v>
      </c>
      <c r="C105" s="206" t="s">
        <v>846</v>
      </c>
      <c r="D105" s="207" t="s">
        <v>372</v>
      </c>
      <c r="E105" s="208">
        <v>1.0</v>
      </c>
      <c r="F105" s="209">
        <v>1798.5</v>
      </c>
      <c r="G105" s="210">
        <f t="shared" si="8"/>
        <v>1798.5</v>
      </c>
      <c r="H105" s="211"/>
      <c r="I105" s="212">
        <f t="shared" si="9"/>
        <v>0</v>
      </c>
      <c r="J105" s="211"/>
      <c r="K105" s="212">
        <f t="shared" si="10"/>
        <v>0</v>
      </c>
      <c r="L105" s="212">
        <v>21.0</v>
      </c>
      <c r="M105" s="212">
        <f t="shared" si="11"/>
        <v>2176.185</v>
      </c>
      <c r="N105" s="212">
        <v>0.0</v>
      </c>
      <c r="O105" s="212">
        <f t="shared" si="12"/>
        <v>0</v>
      </c>
      <c r="P105" s="212">
        <v>0.0</v>
      </c>
      <c r="Q105" s="212">
        <f t="shared" si="13"/>
        <v>0</v>
      </c>
      <c r="R105" s="212"/>
      <c r="S105" s="212" t="s">
        <v>178</v>
      </c>
      <c r="T105" s="212" t="s">
        <v>179</v>
      </c>
      <c r="U105" s="212">
        <v>0.0</v>
      </c>
      <c r="V105" s="212">
        <f t="shared" si="14"/>
        <v>0</v>
      </c>
      <c r="W105" s="212"/>
      <c r="X105" s="212" t="s">
        <v>225</v>
      </c>
      <c r="Y105" s="213"/>
      <c r="Z105" s="213"/>
      <c r="AA105" s="213"/>
      <c r="AB105" s="213"/>
      <c r="AC105" s="213"/>
      <c r="AD105" s="213"/>
      <c r="AE105" s="213"/>
      <c r="AF105" s="213"/>
      <c r="AG105" s="213" t="s">
        <v>226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04">
        <v>43.0</v>
      </c>
      <c r="B106" s="205" t="s">
        <v>674</v>
      </c>
      <c r="C106" s="206" t="s">
        <v>847</v>
      </c>
      <c r="D106" s="207" t="s">
        <v>372</v>
      </c>
      <c r="E106" s="208">
        <v>2.0</v>
      </c>
      <c r="F106" s="209">
        <v>3500.0</v>
      </c>
      <c r="G106" s="210">
        <f t="shared" si="8"/>
        <v>7000</v>
      </c>
      <c r="H106" s="211"/>
      <c r="I106" s="212">
        <f t="shared" si="9"/>
        <v>0</v>
      </c>
      <c r="J106" s="211"/>
      <c r="K106" s="212">
        <f t="shared" si="10"/>
        <v>0</v>
      </c>
      <c r="L106" s="212">
        <v>21.0</v>
      </c>
      <c r="M106" s="212">
        <f t="shared" si="11"/>
        <v>8470</v>
      </c>
      <c r="N106" s="212">
        <v>0.0</v>
      </c>
      <c r="O106" s="212">
        <f t="shared" si="12"/>
        <v>0</v>
      </c>
      <c r="P106" s="212">
        <v>0.0</v>
      </c>
      <c r="Q106" s="212">
        <f t="shared" si="13"/>
        <v>0</v>
      </c>
      <c r="R106" s="212"/>
      <c r="S106" s="212" t="s">
        <v>178</v>
      </c>
      <c r="T106" s="212" t="s">
        <v>179</v>
      </c>
      <c r="U106" s="212">
        <v>0.0</v>
      </c>
      <c r="V106" s="212">
        <f t="shared" si="14"/>
        <v>0</v>
      </c>
      <c r="W106" s="212"/>
      <c r="X106" s="212" t="s">
        <v>225</v>
      </c>
      <c r="Y106" s="213"/>
      <c r="Z106" s="213"/>
      <c r="AA106" s="213"/>
      <c r="AB106" s="213"/>
      <c r="AC106" s="213"/>
      <c r="AD106" s="213"/>
      <c r="AE106" s="213"/>
      <c r="AF106" s="213"/>
      <c r="AG106" s="213" t="s">
        <v>226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04">
        <v>44.0</v>
      </c>
      <c r="B107" s="205" t="s">
        <v>676</v>
      </c>
      <c r="C107" s="206" t="s">
        <v>848</v>
      </c>
      <c r="D107" s="207" t="s">
        <v>372</v>
      </c>
      <c r="E107" s="208">
        <v>1.0</v>
      </c>
      <c r="F107" s="209">
        <v>5650.0</v>
      </c>
      <c r="G107" s="210">
        <f t="shared" si="8"/>
        <v>5650</v>
      </c>
      <c r="H107" s="211"/>
      <c r="I107" s="212">
        <f t="shared" si="9"/>
        <v>0</v>
      </c>
      <c r="J107" s="211"/>
      <c r="K107" s="212">
        <f t="shared" si="10"/>
        <v>0</v>
      </c>
      <c r="L107" s="212">
        <v>21.0</v>
      </c>
      <c r="M107" s="212">
        <f t="shared" si="11"/>
        <v>6836.5</v>
      </c>
      <c r="N107" s="212">
        <v>0.0</v>
      </c>
      <c r="O107" s="212">
        <f t="shared" si="12"/>
        <v>0</v>
      </c>
      <c r="P107" s="212">
        <v>0.0</v>
      </c>
      <c r="Q107" s="212">
        <f t="shared" si="13"/>
        <v>0</v>
      </c>
      <c r="R107" s="212"/>
      <c r="S107" s="212" t="s">
        <v>178</v>
      </c>
      <c r="T107" s="212" t="s">
        <v>179</v>
      </c>
      <c r="U107" s="212">
        <v>0.0</v>
      </c>
      <c r="V107" s="212">
        <f t="shared" si="14"/>
        <v>0</v>
      </c>
      <c r="W107" s="212"/>
      <c r="X107" s="212" t="s">
        <v>225</v>
      </c>
      <c r="Y107" s="213"/>
      <c r="Z107" s="213"/>
      <c r="AA107" s="213"/>
      <c r="AB107" s="213"/>
      <c r="AC107" s="213"/>
      <c r="AD107" s="213"/>
      <c r="AE107" s="213"/>
      <c r="AF107" s="213"/>
      <c r="AG107" s="213" t="s">
        <v>226</v>
      </c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04">
        <v>45.0</v>
      </c>
      <c r="B108" s="205" t="s">
        <v>678</v>
      </c>
      <c r="C108" s="206" t="s">
        <v>849</v>
      </c>
      <c r="D108" s="207" t="s">
        <v>372</v>
      </c>
      <c r="E108" s="208">
        <v>1.0</v>
      </c>
      <c r="F108" s="209">
        <v>1362.5</v>
      </c>
      <c r="G108" s="210">
        <f t="shared" si="8"/>
        <v>1362.5</v>
      </c>
      <c r="H108" s="211"/>
      <c r="I108" s="212">
        <f t="shared" si="9"/>
        <v>0</v>
      </c>
      <c r="J108" s="211"/>
      <c r="K108" s="212">
        <f t="shared" si="10"/>
        <v>0</v>
      </c>
      <c r="L108" s="212">
        <v>21.0</v>
      </c>
      <c r="M108" s="212">
        <f t="shared" si="11"/>
        <v>1648.625</v>
      </c>
      <c r="N108" s="212">
        <v>0.0</v>
      </c>
      <c r="O108" s="212">
        <f t="shared" si="12"/>
        <v>0</v>
      </c>
      <c r="P108" s="212">
        <v>0.0</v>
      </c>
      <c r="Q108" s="212">
        <f t="shared" si="13"/>
        <v>0</v>
      </c>
      <c r="R108" s="212"/>
      <c r="S108" s="212" t="s">
        <v>178</v>
      </c>
      <c r="T108" s="212" t="s">
        <v>179</v>
      </c>
      <c r="U108" s="212">
        <v>0.0</v>
      </c>
      <c r="V108" s="212">
        <f t="shared" si="14"/>
        <v>0</v>
      </c>
      <c r="W108" s="212"/>
      <c r="X108" s="212" t="s">
        <v>225</v>
      </c>
      <c r="Y108" s="213"/>
      <c r="Z108" s="213"/>
      <c r="AA108" s="213"/>
      <c r="AB108" s="213"/>
      <c r="AC108" s="213"/>
      <c r="AD108" s="213"/>
      <c r="AE108" s="213"/>
      <c r="AF108" s="213"/>
      <c r="AG108" s="213" t="s">
        <v>226</v>
      </c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04">
        <v>46.0</v>
      </c>
      <c r="B109" s="205" t="s">
        <v>680</v>
      </c>
      <c r="C109" s="206" t="s">
        <v>850</v>
      </c>
      <c r="D109" s="207" t="s">
        <v>372</v>
      </c>
      <c r="E109" s="208">
        <v>1.0</v>
      </c>
      <c r="F109" s="209">
        <v>1567.0</v>
      </c>
      <c r="G109" s="210">
        <f t="shared" si="8"/>
        <v>1567</v>
      </c>
      <c r="H109" s="211"/>
      <c r="I109" s="212">
        <f t="shared" si="9"/>
        <v>0</v>
      </c>
      <c r="J109" s="211"/>
      <c r="K109" s="212">
        <f t="shared" si="10"/>
        <v>0</v>
      </c>
      <c r="L109" s="212">
        <v>21.0</v>
      </c>
      <c r="M109" s="212">
        <f t="shared" si="11"/>
        <v>1896.07</v>
      </c>
      <c r="N109" s="212">
        <v>0.0</v>
      </c>
      <c r="O109" s="212">
        <f t="shared" si="12"/>
        <v>0</v>
      </c>
      <c r="P109" s="212">
        <v>0.0</v>
      </c>
      <c r="Q109" s="212">
        <f t="shared" si="13"/>
        <v>0</v>
      </c>
      <c r="R109" s="212"/>
      <c r="S109" s="212" t="s">
        <v>178</v>
      </c>
      <c r="T109" s="212" t="s">
        <v>179</v>
      </c>
      <c r="U109" s="212">
        <v>0.0</v>
      </c>
      <c r="V109" s="212">
        <f t="shared" si="14"/>
        <v>0</v>
      </c>
      <c r="W109" s="212"/>
      <c r="X109" s="212" t="s">
        <v>225</v>
      </c>
      <c r="Y109" s="213"/>
      <c r="Z109" s="213"/>
      <c r="AA109" s="213"/>
      <c r="AB109" s="213"/>
      <c r="AC109" s="213"/>
      <c r="AD109" s="213"/>
      <c r="AE109" s="213"/>
      <c r="AF109" s="213"/>
      <c r="AG109" s="213" t="s">
        <v>226</v>
      </c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04">
        <v>47.0</v>
      </c>
      <c r="B110" s="205" t="s">
        <v>682</v>
      </c>
      <c r="C110" s="206" t="s">
        <v>851</v>
      </c>
      <c r="D110" s="207" t="s">
        <v>372</v>
      </c>
      <c r="E110" s="208">
        <v>2.0</v>
      </c>
      <c r="F110" s="209">
        <v>1098.5</v>
      </c>
      <c r="G110" s="210">
        <f t="shared" si="8"/>
        <v>2197</v>
      </c>
      <c r="H110" s="211"/>
      <c r="I110" s="212">
        <f t="shared" si="9"/>
        <v>0</v>
      </c>
      <c r="J110" s="211"/>
      <c r="K110" s="212">
        <f t="shared" si="10"/>
        <v>0</v>
      </c>
      <c r="L110" s="212">
        <v>21.0</v>
      </c>
      <c r="M110" s="212">
        <f t="shared" si="11"/>
        <v>2658.37</v>
      </c>
      <c r="N110" s="212">
        <v>0.0</v>
      </c>
      <c r="O110" s="212">
        <f t="shared" si="12"/>
        <v>0</v>
      </c>
      <c r="P110" s="212">
        <v>0.0</v>
      </c>
      <c r="Q110" s="212">
        <f t="shared" si="13"/>
        <v>0</v>
      </c>
      <c r="R110" s="212"/>
      <c r="S110" s="212" t="s">
        <v>178</v>
      </c>
      <c r="T110" s="212" t="s">
        <v>179</v>
      </c>
      <c r="U110" s="212">
        <v>0.0</v>
      </c>
      <c r="V110" s="212">
        <f t="shared" si="14"/>
        <v>0</v>
      </c>
      <c r="W110" s="212"/>
      <c r="X110" s="212" t="s">
        <v>225</v>
      </c>
      <c r="Y110" s="213"/>
      <c r="Z110" s="213"/>
      <c r="AA110" s="213"/>
      <c r="AB110" s="213"/>
      <c r="AC110" s="213"/>
      <c r="AD110" s="213"/>
      <c r="AE110" s="213"/>
      <c r="AF110" s="213"/>
      <c r="AG110" s="213" t="s">
        <v>226</v>
      </c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04">
        <v>48.0</v>
      </c>
      <c r="B111" s="205" t="s">
        <v>684</v>
      </c>
      <c r="C111" s="206" t="s">
        <v>852</v>
      </c>
      <c r="D111" s="207" t="s">
        <v>372</v>
      </c>
      <c r="E111" s="208">
        <v>2.0</v>
      </c>
      <c r="F111" s="209">
        <v>1072.5</v>
      </c>
      <c r="G111" s="210">
        <f t="shared" si="8"/>
        <v>2145</v>
      </c>
      <c r="H111" s="211"/>
      <c r="I111" s="212">
        <f t="shared" si="9"/>
        <v>0</v>
      </c>
      <c r="J111" s="211"/>
      <c r="K111" s="212">
        <f t="shared" si="10"/>
        <v>0</v>
      </c>
      <c r="L111" s="212">
        <v>21.0</v>
      </c>
      <c r="M111" s="212">
        <f t="shared" si="11"/>
        <v>2595.45</v>
      </c>
      <c r="N111" s="212">
        <v>0.0</v>
      </c>
      <c r="O111" s="212">
        <f t="shared" si="12"/>
        <v>0</v>
      </c>
      <c r="P111" s="212">
        <v>0.0</v>
      </c>
      <c r="Q111" s="212">
        <f t="shared" si="13"/>
        <v>0</v>
      </c>
      <c r="R111" s="212"/>
      <c r="S111" s="212" t="s">
        <v>178</v>
      </c>
      <c r="T111" s="212" t="s">
        <v>179</v>
      </c>
      <c r="U111" s="212">
        <v>0.0</v>
      </c>
      <c r="V111" s="212">
        <f t="shared" si="14"/>
        <v>0</v>
      </c>
      <c r="W111" s="212"/>
      <c r="X111" s="212" t="s">
        <v>225</v>
      </c>
      <c r="Y111" s="213"/>
      <c r="Z111" s="213"/>
      <c r="AA111" s="213"/>
      <c r="AB111" s="213"/>
      <c r="AC111" s="213"/>
      <c r="AD111" s="213"/>
      <c r="AE111" s="213"/>
      <c r="AF111" s="213"/>
      <c r="AG111" s="213" t="s">
        <v>226</v>
      </c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04">
        <v>49.0</v>
      </c>
      <c r="B112" s="205" t="s">
        <v>686</v>
      </c>
      <c r="C112" s="206" t="s">
        <v>853</v>
      </c>
      <c r="D112" s="207" t="s">
        <v>372</v>
      </c>
      <c r="E112" s="208">
        <v>2.0</v>
      </c>
      <c r="F112" s="209">
        <v>1320.5</v>
      </c>
      <c r="G112" s="210">
        <f t="shared" si="8"/>
        <v>2641</v>
      </c>
      <c r="H112" s="211"/>
      <c r="I112" s="212">
        <f t="shared" si="9"/>
        <v>0</v>
      </c>
      <c r="J112" s="211"/>
      <c r="K112" s="212">
        <f t="shared" si="10"/>
        <v>0</v>
      </c>
      <c r="L112" s="212">
        <v>21.0</v>
      </c>
      <c r="M112" s="212">
        <f t="shared" si="11"/>
        <v>3195.61</v>
      </c>
      <c r="N112" s="212">
        <v>0.0</v>
      </c>
      <c r="O112" s="212">
        <f t="shared" si="12"/>
        <v>0</v>
      </c>
      <c r="P112" s="212">
        <v>0.0</v>
      </c>
      <c r="Q112" s="212">
        <f t="shared" si="13"/>
        <v>0</v>
      </c>
      <c r="R112" s="212"/>
      <c r="S112" s="212" t="s">
        <v>178</v>
      </c>
      <c r="T112" s="212" t="s">
        <v>179</v>
      </c>
      <c r="U112" s="212">
        <v>0.0</v>
      </c>
      <c r="V112" s="212">
        <f t="shared" si="14"/>
        <v>0</v>
      </c>
      <c r="W112" s="212"/>
      <c r="X112" s="212" t="s">
        <v>225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226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04">
        <v>50.0</v>
      </c>
      <c r="B113" s="205" t="s">
        <v>854</v>
      </c>
      <c r="C113" s="206" t="s">
        <v>855</v>
      </c>
      <c r="D113" s="207" t="s">
        <v>372</v>
      </c>
      <c r="E113" s="208">
        <v>2.0</v>
      </c>
      <c r="F113" s="209">
        <v>1036.5</v>
      </c>
      <c r="G113" s="210">
        <f t="shared" si="8"/>
        <v>2073</v>
      </c>
      <c r="H113" s="211"/>
      <c r="I113" s="212">
        <f t="shared" si="9"/>
        <v>0</v>
      </c>
      <c r="J113" s="211"/>
      <c r="K113" s="212">
        <f t="shared" si="10"/>
        <v>0</v>
      </c>
      <c r="L113" s="212">
        <v>21.0</v>
      </c>
      <c r="M113" s="212">
        <f t="shared" si="11"/>
        <v>2508.33</v>
      </c>
      <c r="N113" s="212">
        <v>0.0</v>
      </c>
      <c r="O113" s="212">
        <f t="shared" si="12"/>
        <v>0</v>
      </c>
      <c r="P113" s="212">
        <v>0.0</v>
      </c>
      <c r="Q113" s="212">
        <f t="shared" si="13"/>
        <v>0</v>
      </c>
      <c r="R113" s="212"/>
      <c r="S113" s="212" t="s">
        <v>178</v>
      </c>
      <c r="T113" s="212" t="s">
        <v>179</v>
      </c>
      <c r="U113" s="212">
        <v>0.0</v>
      </c>
      <c r="V113" s="212">
        <f t="shared" si="14"/>
        <v>0</v>
      </c>
      <c r="W113" s="212"/>
      <c r="X113" s="212" t="s">
        <v>225</v>
      </c>
      <c r="Y113" s="213"/>
      <c r="Z113" s="213"/>
      <c r="AA113" s="213"/>
      <c r="AB113" s="213"/>
      <c r="AC113" s="213"/>
      <c r="AD113" s="213"/>
      <c r="AE113" s="213"/>
      <c r="AF113" s="213"/>
      <c r="AG113" s="213" t="s">
        <v>226</v>
      </c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>
      <c r="A114" s="196" t="s">
        <v>173</v>
      </c>
      <c r="B114" s="197" t="s">
        <v>122</v>
      </c>
      <c r="C114" s="198" t="s">
        <v>123</v>
      </c>
      <c r="D114" s="199"/>
      <c r="E114" s="200"/>
      <c r="F114" s="201"/>
      <c r="G114" s="202">
        <f>SUMIF(AG115:AG118,"&lt;&gt;NOR",G115:G118)</f>
        <v>904.23</v>
      </c>
      <c r="H114" s="203"/>
      <c r="I114" s="203">
        <f>SUM(I115:I118)</f>
        <v>0</v>
      </c>
      <c r="J114" s="203"/>
      <c r="K114" s="203">
        <f>SUM(K115:K118)</f>
        <v>0</v>
      </c>
      <c r="L114" s="203"/>
      <c r="M114" s="203">
        <f>SUM(M115:M118)</f>
        <v>1094.1183</v>
      </c>
      <c r="N114" s="203"/>
      <c r="O114" s="203">
        <f>SUM(O115:O118)</f>
        <v>0</v>
      </c>
      <c r="P114" s="203"/>
      <c r="Q114" s="203">
        <f>SUM(Q115:Q118)</f>
        <v>0</v>
      </c>
      <c r="R114" s="203"/>
      <c r="S114" s="203"/>
      <c r="T114" s="203"/>
      <c r="U114" s="203"/>
      <c r="V114" s="203">
        <f>SUM(V115:V118)</f>
        <v>3.32</v>
      </c>
      <c r="W114" s="203"/>
      <c r="X114" s="203"/>
      <c r="AG114" s="184" t="s">
        <v>174</v>
      </c>
    </row>
    <row r="115" ht="12.75" customHeight="1" outlineLevel="1">
      <c r="A115" s="214">
        <v>51.0</v>
      </c>
      <c r="B115" s="215" t="s">
        <v>395</v>
      </c>
      <c r="C115" s="216" t="s">
        <v>396</v>
      </c>
      <c r="D115" s="217" t="s">
        <v>316</v>
      </c>
      <c r="E115" s="218">
        <v>7.34015</v>
      </c>
      <c r="F115" s="219">
        <v>123.19</v>
      </c>
      <c r="G115" s="220">
        <f>ROUND(E115*F115,2)</f>
        <v>904.23</v>
      </c>
      <c r="H115" s="211"/>
      <c r="I115" s="212">
        <f>ROUND(E115*H115,2)</f>
        <v>0</v>
      </c>
      <c r="J115" s="211"/>
      <c r="K115" s="212">
        <f>ROUND(E115*J115,2)</f>
        <v>0</v>
      </c>
      <c r="L115" s="212">
        <v>21.0</v>
      </c>
      <c r="M115" s="212">
        <f>G115*(1+L115/100)</f>
        <v>1094.1183</v>
      </c>
      <c r="N115" s="212">
        <v>0.0</v>
      </c>
      <c r="O115" s="212">
        <f>ROUND(E115*N115,2)</f>
        <v>0</v>
      </c>
      <c r="P115" s="212">
        <v>0.0</v>
      </c>
      <c r="Q115" s="212">
        <f>ROUND(E115*P115,2)</f>
        <v>0</v>
      </c>
      <c r="R115" s="212"/>
      <c r="S115" s="212" t="s">
        <v>184</v>
      </c>
      <c r="T115" s="212" t="s">
        <v>184</v>
      </c>
      <c r="U115" s="212">
        <v>0.4518</v>
      </c>
      <c r="V115" s="212">
        <f>ROUND(E115*U115,2)</f>
        <v>3.32</v>
      </c>
      <c r="W115" s="212"/>
      <c r="X115" s="212" t="s">
        <v>397</v>
      </c>
      <c r="Y115" s="213"/>
      <c r="Z115" s="213"/>
      <c r="AA115" s="213"/>
      <c r="AB115" s="213"/>
      <c r="AC115" s="213"/>
      <c r="AD115" s="213"/>
      <c r="AE115" s="213"/>
      <c r="AF115" s="213"/>
      <c r="AG115" s="213" t="s">
        <v>398</v>
      </c>
      <c r="AH115" s="213"/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35"/>
      <c r="B116" s="236"/>
      <c r="C116" s="237" t="s">
        <v>399</v>
      </c>
      <c r="D116" s="238"/>
      <c r="E116" s="239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3"/>
      <c r="Z116" s="213"/>
      <c r="AA116" s="213"/>
      <c r="AB116" s="213"/>
      <c r="AC116" s="213"/>
      <c r="AD116" s="213"/>
      <c r="AE116" s="213"/>
      <c r="AF116" s="213"/>
      <c r="AG116" s="213" t="s">
        <v>228</v>
      </c>
      <c r="AH116" s="213">
        <v>0.0</v>
      </c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856</v>
      </c>
      <c r="D117" s="238"/>
      <c r="E117" s="239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35"/>
      <c r="B118" s="236"/>
      <c r="C118" s="237" t="s">
        <v>857</v>
      </c>
      <c r="D118" s="238"/>
      <c r="E118" s="239">
        <v>7.34015</v>
      </c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3"/>
      <c r="Z118" s="213"/>
      <c r="AA118" s="213"/>
      <c r="AB118" s="213"/>
      <c r="AC118" s="213"/>
      <c r="AD118" s="213"/>
      <c r="AE118" s="213"/>
      <c r="AF118" s="213"/>
      <c r="AG118" s="213" t="s">
        <v>228</v>
      </c>
      <c r="AH118" s="213">
        <v>0.0</v>
      </c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>
      <c r="A119" s="196" t="s">
        <v>173</v>
      </c>
      <c r="B119" s="197" t="s">
        <v>126</v>
      </c>
      <c r="C119" s="198" t="s">
        <v>127</v>
      </c>
      <c r="D119" s="199"/>
      <c r="E119" s="200"/>
      <c r="F119" s="201"/>
      <c r="G119" s="202">
        <f>SUMIF(AG120:AG122,"&lt;&gt;NOR",G120:G122)</f>
        <v>347.13</v>
      </c>
      <c r="H119" s="203"/>
      <c r="I119" s="203">
        <f>SUM(I120:I122)</f>
        <v>0</v>
      </c>
      <c r="J119" s="203"/>
      <c r="K119" s="203">
        <f>SUM(K120:K122)</f>
        <v>0</v>
      </c>
      <c r="L119" s="203"/>
      <c r="M119" s="203">
        <f>SUM(M120:M122)</f>
        <v>420.0273</v>
      </c>
      <c r="N119" s="203"/>
      <c r="O119" s="203">
        <f>SUM(O120:O122)</f>
        <v>0</v>
      </c>
      <c r="P119" s="203"/>
      <c r="Q119" s="203">
        <f>SUM(Q120:Q122)</f>
        <v>0</v>
      </c>
      <c r="R119" s="203"/>
      <c r="S119" s="203"/>
      <c r="T119" s="203"/>
      <c r="U119" s="203"/>
      <c r="V119" s="203">
        <f>SUM(V120:V122)</f>
        <v>0.42</v>
      </c>
      <c r="W119" s="203"/>
      <c r="X119" s="203"/>
      <c r="AG119" s="184" t="s">
        <v>174</v>
      </c>
    </row>
    <row r="120" ht="12.75" customHeight="1" outlineLevel="1">
      <c r="A120" s="214">
        <v>52.0</v>
      </c>
      <c r="B120" s="215" t="s">
        <v>690</v>
      </c>
      <c r="C120" s="216" t="s">
        <v>691</v>
      </c>
      <c r="D120" s="217" t="s">
        <v>251</v>
      </c>
      <c r="E120" s="218">
        <v>9.0</v>
      </c>
      <c r="F120" s="219">
        <v>38.57</v>
      </c>
      <c r="G120" s="220">
        <f>ROUND(E120*F120,2)</f>
        <v>347.13</v>
      </c>
      <c r="H120" s="211"/>
      <c r="I120" s="212">
        <f>ROUND(E120*H120,2)</f>
        <v>0</v>
      </c>
      <c r="J120" s="211"/>
      <c r="K120" s="212">
        <f>ROUND(E120*J120,2)</f>
        <v>0</v>
      </c>
      <c r="L120" s="212">
        <v>21.0</v>
      </c>
      <c r="M120" s="212">
        <f>G120*(1+L120/100)</f>
        <v>420.0273</v>
      </c>
      <c r="N120" s="212">
        <v>4.0E-5</v>
      </c>
      <c r="O120" s="212">
        <f>ROUND(E120*N120,2)</f>
        <v>0</v>
      </c>
      <c r="P120" s="212">
        <v>0.0</v>
      </c>
      <c r="Q120" s="212">
        <f>ROUND(E120*P120,2)</f>
        <v>0</v>
      </c>
      <c r="R120" s="212"/>
      <c r="S120" s="212" t="s">
        <v>184</v>
      </c>
      <c r="T120" s="212" t="s">
        <v>184</v>
      </c>
      <c r="U120" s="212">
        <v>0.04633</v>
      </c>
      <c r="V120" s="212">
        <f>ROUND(E120*U120,2)</f>
        <v>0.42</v>
      </c>
      <c r="W120" s="212"/>
      <c r="X120" s="212" t="s">
        <v>225</v>
      </c>
      <c r="Y120" s="213"/>
      <c r="Z120" s="213"/>
      <c r="AA120" s="213"/>
      <c r="AB120" s="213"/>
      <c r="AC120" s="213"/>
      <c r="AD120" s="213"/>
      <c r="AE120" s="213"/>
      <c r="AF120" s="213"/>
      <c r="AG120" s="213" t="s">
        <v>408</v>
      </c>
      <c r="AH120" s="213"/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35"/>
      <c r="B121" s="236"/>
      <c r="C121" s="237" t="s">
        <v>692</v>
      </c>
      <c r="D121" s="238"/>
      <c r="E121" s="239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3"/>
      <c r="Z121" s="213"/>
      <c r="AA121" s="213"/>
      <c r="AB121" s="213"/>
      <c r="AC121" s="213"/>
      <c r="AD121" s="213"/>
      <c r="AE121" s="213"/>
      <c r="AF121" s="213"/>
      <c r="AG121" s="213" t="s">
        <v>228</v>
      </c>
      <c r="AH121" s="213">
        <v>0.0</v>
      </c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 outlineLevel="1">
      <c r="A122" s="235"/>
      <c r="B122" s="236"/>
      <c r="C122" s="237" t="s">
        <v>858</v>
      </c>
      <c r="D122" s="238"/>
      <c r="E122" s="239">
        <v>9.0</v>
      </c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3"/>
      <c r="Z122" s="213"/>
      <c r="AA122" s="213"/>
      <c r="AB122" s="213"/>
      <c r="AC122" s="213"/>
      <c r="AD122" s="213"/>
      <c r="AE122" s="213"/>
      <c r="AF122" s="213"/>
      <c r="AG122" s="213" t="s">
        <v>228</v>
      </c>
      <c r="AH122" s="213">
        <v>0.0</v>
      </c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>
      <c r="A123" s="175"/>
      <c r="B123" s="179"/>
      <c r="C123" s="221"/>
      <c r="D123" s="181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AE123" s="184">
        <v>15.0</v>
      </c>
      <c r="AF123" s="184">
        <v>21.0</v>
      </c>
      <c r="AG123" s="184" t="s">
        <v>160</v>
      </c>
    </row>
    <row r="124" ht="12.75" customHeight="1">
      <c r="A124" s="222"/>
      <c r="B124" s="223" t="s">
        <v>24</v>
      </c>
      <c r="C124" s="224"/>
      <c r="D124" s="225"/>
      <c r="E124" s="226"/>
      <c r="F124" s="226"/>
      <c r="G124" s="227">
        <f>G8+G58+G72+G114+G119</f>
        <v>233593.41</v>
      </c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AE124" s="184">
        <f>SUMIF(L7:L122,AE123,G7:G122)</f>
        <v>0</v>
      </c>
      <c r="AF124" s="184">
        <f>SUMIF(L7:L122,AF123,G7:G122)</f>
        <v>233593.41</v>
      </c>
      <c r="AG124" s="184" t="s">
        <v>218</v>
      </c>
    </row>
    <row r="125" ht="12.75" customHeight="1">
      <c r="A125" s="175"/>
      <c r="B125" s="179"/>
      <c r="C125" s="221"/>
      <c r="D125" s="181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 ht="12.75" customHeight="1">
      <c r="A126" s="175"/>
      <c r="B126" s="179"/>
      <c r="C126" s="221"/>
      <c r="D126" s="181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</row>
    <row r="127" ht="12.75" customHeight="1">
      <c r="A127" s="175" t="s">
        <v>219</v>
      </c>
      <c r="D127" s="181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</row>
    <row r="128" ht="12.75" customHeight="1">
      <c r="A128" s="228"/>
      <c r="B128" s="27"/>
      <c r="C128" s="27"/>
      <c r="D128" s="27"/>
      <c r="E128" s="27"/>
      <c r="F128" s="27"/>
      <c r="G128" s="229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AG128" s="184" t="s">
        <v>220</v>
      </c>
    </row>
    <row r="129" ht="12.75" customHeight="1">
      <c r="A129" s="230"/>
      <c r="G129" s="231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</row>
    <row r="130" ht="12.75" customHeight="1">
      <c r="A130" s="230"/>
      <c r="G130" s="231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</row>
    <row r="131" ht="12.75" customHeight="1">
      <c r="A131" s="230"/>
      <c r="G131" s="231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</row>
    <row r="132" ht="12.75" customHeight="1">
      <c r="A132" s="232"/>
      <c r="B132" s="38"/>
      <c r="C132" s="38"/>
      <c r="D132" s="38"/>
      <c r="E132" s="38"/>
      <c r="F132" s="38"/>
      <c r="G132" s="233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</row>
    <row r="133" ht="12.75" customHeight="1">
      <c r="A133" s="175"/>
      <c r="B133" s="179"/>
      <c r="C133" s="221"/>
      <c r="D133" s="181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</row>
    <row r="134" ht="12.75" customHeight="1">
      <c r="B134" s="185"/>
      <c r="C134" s="234"/>
      <c r="D134" s="126"/>
      <c r="AG134" s="184" t="s">
        <v>221</v>
      </c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  <c r="D331" s="126"/>
    </row>
    <row r="332" ht="12.75" customHeight="1">
      <c r="B332" s="185"/>
      <c r="C332" s="185"/>
      <c r="D332" s="126"/>
    </row>
    <row r="333" ht="12.75" customHeight="1">
      <c r="B333" s="185"/>
      <c r="C333" s="185"/>
      <c r="D333" s="126"/>
    </row>
    <row r="334" ht="12.75" customHeight="1">
      <c r="B334" s="185"/>
      <c r="C334" s="185"/>
      <c r="D334" s="126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27:C127"/>
    <mergeCell ref="A128:G132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68</v>
      </c>
      <c r="C3" s="177" t="s">
        <v>69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68</v>
      </c>
      <c r="C4" s="188" t="s">
        <v>69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126</v>
      </c>
      <c r="C8" s="198" t="s">
        <v>127</v>
      </c>
      <c r="D8" s="199"/>
      <c r="E8" s="200"/>
      <c r="F8" s="201"/>
      <c r="G8" s="202">
        <f>SUMIF(AG9:AG10,"&lt;&gt;NOR",G9:G10)</f>
        <v>56226</v>
      </c>
      <c r="H8" s="203"/>
      <c r="I8" s="203">
        <f>SUM(I9:I10)</f>
        <v>0</v>
      </c>
      <c r="J8" s="203"/>
      <c r="K8" s="203">
        <f>SUM(K9:K10)</f>
        <v>0</v>
      </c>
      <c r="L8" s="203"/>
      <c r="M8" s="203">
        <f>SUM(M9:M10)</f>
        <v>68033.46</v>
      </c>
      <c r="N8" s="203"/>
      <c r="O8" s="203">
        <f>SUM(O9:O10)</f>
        <v>0</v>
      </c>
      <c r="P8" s="203"/>
      <c r="Q8" s="203">
        <f>SUM(Q9:Q10)</f>
        <v>0</v>
      </c>
      <c r="R8" s="203"/>
      <c r="S8" s="203"/>
      <c r="T8" s="203"/>
      <c r="U8" s="203"/>
      <c r="V8" s="203">
        <f>SUM(V9:V10)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694</v>
      </c>
      <c r="C9" s="206" t="s">
        <v>859</v>
      </c>
      <c r="D9" s="207" t="s">
        <v>372</v>
      </c>
      <c r="E9" s="208">
        <v>2.0</v>
      </c>
      <c r="F9" s="209">
        <v>2268.0</v>
      </c>
      <c r="G9" s="210">
        <f t="shared" ref="G9:G10" si="1">ROUND(E9*F9,2)</f>
        <v>4536</v>
      </c>
      <c r="H9" s="211"/>
      <c r="I9" s="212">
        <f t="shared" ref="I9:I10" si="2">ROUND(E9*H9,2)</f>
        <v>0</v>
      </c>
      <c r="J9" s="211"/>
      <c r="K9" s="212">
        <f t="shared" ref="K9:K10" si="3">ROUND(E9*J9,2)</f>
        <v>0</v>
      </c>
      <c r="L9" s="212">
        <v>21.0</v>
      </c>
      <c r="M9" s="212">
        <f t="shared" ref="M9:M10" si="4">G9*(1+L9/100)</f>
        <v>5488.56</v>
      </c>
      <c r="N9" s="212">
        <v>0.0</v>
      </c>
      <c r="O9" s="212">
        <f t="shared" ref="O9:O10" si="5">ROUND(E9*N9,2)</f>
        <v>0</v>
      </c>
      <c r="P9" s="212">
        <v>0.0</v>
      </c>
      <c r="Q9" s="212">
        <f t="shared" ref="Q9:Q10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10" si="7">ROUND(E9*U9,2)</f>
        <v>0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04">
        <v>2.0</v>
      </c>
      <c r="B10" s="205" t="s">
        <v>696</v>
      </c>
      <c r="C10" s="206" t="s">
        <v>860</v>
      </c>
      <c r="D10" s="207" t="s">
        <v>372</v>
      </c>
      <c r="E10" s="208">
        <v>2.0</v>
      </c>
      <c r="F10" s="209">
        <v>25845.0</v>
      </c>
      <c r="G10" s="210">
        <f t="shared" si="1"/>
        <v>51690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62544.9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178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>
      <c r="A11" s="196" t="s">
        <v>173</v>
      </c>
      <c r="B11" s="197" t="s">
        <v>132</v>
      </c>
      <c r="C11" s="198" t="s">
        <v>133</v>
      </c>
      <c r="D11" s="199"/>
      <c r="E11" s="200"/>
      <c r="F11" s="201"/>
      <c r="G11" s="202">
        <f>SUMIF(AG12:AG27,"&lt;&gt;NOR",G12:G27)</f>
        <v>161935.81</v>
      </c>
      <c r="H11" s="203"/>
      <c r="I11" s="203">
        <f>SUM(I12:I27)</f>
        <v>0</v>
      </c>
      <c r="J11" s="203"/>
      <c r="K11" s="203">
        <f>SUM(K12:K27)</f>
        <v>0</v>
      </c>
      <c r="L11" s="203"/>
      <c r="M11" s="203">
        <f>SUM(M12:M27)</f>
        <v>195942.3301</v>
      </c>
      <c r="N11" s="203"/>
      <c r="O11" s="203">
        <f>SUM(O12:O27)</f>
        <v>0</v>
      </c>
      <c r="P11" s="203"/>
      <c r="Q11" s="203">
        <f>SUM(Q12:Q27)</f>
        <v>0</v>
      </c>
      <c r="R11" s="203"/>
      <c r="S11" s="203"/>
      <c r="T11" s="203"/>
      <c r="U11" s="203"/>
      <c r="V11" s="203">
        <f>SUM(V12:V27)</f>
        <v>0</v>
      </c>
      <c r="W11" s="203"/>
      <c r="X11" s="203"/>
      <c r="AG11" s="184" t="s">
        <v>174</v>
      </c>
    </row>
    <row r="12" ht="12.75" customHeight="1" outlineLevel="1">
      <c r="A12" s="214">
        <v>3.0</v>
      </c>
      <c r="B12" s="215" t="s">
        <v>411</v>
      </c>
      <c r="C12" s="216" t="s">
        <v>861</v>
      </c>
      <c r="D12" s="217" t="s">
        <v>251</v>
      </c>
      <c r="E12" s="218">
        <v>888.0</v>
      </c>
      <c r="F12" s="219">
        <v>91.57</v>
      </c>
      <c r="G12" s="220">
        <f>ROUND(E12*F12,2)</f>
        <v>81314.16</v>
      </c>
      <c r="H12" s="211"/>
      <c r="I12" s="212">
        <f>ROUND(E12*H12,2)</f>
        <v>0</v>
      </c>
      <c r="J12" s="211"/>
      <c r="K12" s="212">
        <f>ROUND(E12*J12,2)</f>
        <v>0</v>
      </c>
      <c r="L12" s="212">
        <v>21.0</v>
      </c>
      <c r="M12" s="212">
        <f>G12*(1+L12/100)</f>
        <v>98390.1336</v>
      </c>
      <c r="N12" s="212">
        <v>0.0</v>
      </c>
      <c r="O12" s="212">
        <f>ROUND(E12*N12,2)</f>
        <v>0</v>
      </c>
      <c r="P12" s="212">
        <v>0.0</v>
      </c>
      <c r="Q12" s="212">
        <f>ROUND(E12*P12,2)</f>
        <v>0</v>
      </c>
      <c r="R12" s="212"/>
      <c r="S12" s="212" t="s">
        <v>178</v>
      </c>
      <c r="T12" s="212" t="s">
        <v>179</v>
      </c>
      <c r="U12" s="212">
        <v>0.0</v>
      </c>
      <c r="V12" s="212">
        <f>ROUND(E12*U12,2)</f>
        <v>0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37" t="s">
        <v>862</v>
      </c>
      <c r="D13" s="238"/>
      <c r="E13" s="239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>
        <v>0.0</v>
      </c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863</v>
      </c>
      <c r="D14" s="238"/>
      <c r="E14" s="239">
        <v>592.0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35"/>
      <c r="B15" s="236"/>
      <c r="C15" s="237" t="s">
        <v>864</v>
      </c>
      <c r="D15" s="238"/>
      <c r="E15" s="239">
        <v>296.0</v>
      </c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3"/>
      <c r="Z15" s="213"/>
      <c r="AA15" s="213"/>
      <c r="AB15" s="213"/>
      <c r="AC15" s="213"/>
      <c r="AD15" s="213"/>
      <c r="AE15" s="213"/>
      <c r="AF15" s="213"/>
      <c r="AG15" s="213" t="s">
        <v>228</v>
      </c>
      <c r="AH15" s="213">
        <v>0.0</v>
      </c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14">
        <v>4.0</v>
      </c>
      <c r="B16" s="215" t="s">
        <v>415</v>
      </c>
      <c r="C16" s="216" t="s">
        <v>865</v>
      </c>
      <c r="D16" s="217" t="s">
        <v>251</v>
      </c>
      <c r="E16" s="218">
        <v>592.0</v>
      </c>
      <c r="F16" s="219">
        <v>61.28</v>
      </c>
      <c r="G16" s="220">
        <f>ROUND(E16*F16,2)</f>
        <v>36277.76</v>
      </c>
      <c r="H16" s="211"/>
      <c r="I16" s="212">
        <f>ROUND(E16*H16,2)</f>
        <v>0</v>
      </c>
      <c r="J16" s="211"/>
      <c r="K16" s="212">
        <f>ROUND(E16*J16,2)</f>
        <v>0</v>
      </c>
      <c r="L16" s="212">
        <v>21.0</v>
      </c>
      <c r="M16" s="212">
        <f>G16*(1+L16/100)</f>
        <v>43896.0896</v>
      </c>
      <c r="N16" s="212">
        <v>0.0</v>
      </c>
      <c r="O16" s="212">
        <f>ROUND(E16*N16,2)</f>
        <v>0</v>
      </c>
      <c r="P16" s="212">
        <v>0.0</v>
      </c>
      <c r="Q16" s="212">
        <f>ROUND(E16*P16,2)</f>
        <v>0</v>
      </c>
      <c r="R16" s="212"/>
      <c r="S16" s="212" t="s">
        <v>178</v>
      </c>
      <c r="T16" s="212" t="s">
        <v>179</v>
      </c>
      <c r="U16" s="212">
        <v>0.0</v>
      </c>
      <c r="V16" s="212">
        <f>ROUND(E16*U16,2)</f>
        <v>0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866</v>
      </c>
      <c r="D17" s="238"/>
      <c r="E17" s="239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35"/>
      <c r="B18" s="236"/>
      <c r="C18" s="237" t="s">
        <v>863</v>
      </c>
      <c r="D18" s="238"/>
      <c r="E18" s="239">
        <v>592.0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/>
      <c r="AG18" s="213" t="s">
        <v>228</v>
      </c>
      <c r="AH18" s="213">
        <v>0.0</v>
      </c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14">
        <v>5.0</v>
      </c>
      <c r="B19" s="215" t="s">
        <v>419</v>
      </c>
      <c r="C19" s="216" t="s">
        <v>867</v>
      </c>
      <c r="D19" s="217" t="s">
        <v>251</v>
      </c>
      <c r="E19" s="218">
        <v>195.0</v>
      </c>
      <c r="F19" s="219">
        <v>116.4</v>
      </c>
      <c r="G19" s="220">
        <f>ROUND(E19*F19,2)</f>
        <v>22698</v>
      </c>
      <c r="H19" s="211"/>
      <c r="I19" s="212">
        <f>ROUND(E19*H19,2)</f>
        <v>0</v>
      </c>
      <c r="J19" s="211"/>
      <c r="K19" s="212">
        <f>ROUND(E19*J19,2)</f>
        <v>0</v>
      </c>
      <c r="L19" s="212">
        <v>21.0</v>
      </c>
      <c r="M19" s="212">
        <f>G19*(1+L19/100)</f>
        <v>27464.58</v>
      </c>
      <c r="N19" s="212">
        <v>0.0</v>
      </c>
      <c r="O19" s="212">
        <f>ROUND(E19*N19,2)</f>
        <v>0</v>
      </c>
      <c r="P19" s="212">
        <v>0.0</v>
      </c>
      <c r="Q19" s="212">
        <f>ROUND(E19*P19,2)</f>
        <v>0</v>
      </c>
      <c r="R19" s="212"/>
      <c r="S19" s="212" t="s">
        <v>178</v>
      </c>
      <c r="T19" s="212" t="s">
        <v>179</v>
      </c>
      <c r="U19" s="212">
        <v>0.0</v>
      </c>
      <c r="V19" s="212">
        <f>ROUND(E19*U19,2)</f>
        <v>0</v>
      </c>
      <c r="W19" s="212"/>
      <c r="X19" s="212" t="s">
        <v>225</v>
      </c>
      <c r="Y19" s="213"/>
      <c r="Z19" s="213"/>
      <c r="AA19" s="213"/>
      <c r="AB19" s="213"/>
      <c r="AC19" s="213"/>
      <c r="AD19" s="213"/>
      <c r="AE19" s="213"/>
      <c r="AF19" s="213"/>
      <c r="AG19" s="213" t="s">
        <v>226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868</v>
      </c>
      <c r="D20" s="238"/>
      <c r="E20" s="239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35"/>
      <c r="B21" s="236"/>
      <c r="C21" s="237" t="s">
        <v>869</v>
      </c>
      <c r="D21" s="238"/>
      <c r="E21" s="239">
        <v>135.0</v>
      </c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3"/>
      <c r="Z21" s="213"/>
      <c r="AA21" s="213"/>
      <c r="AB21" s="213"/>
      <c r="AC21" s="213"/>
      <c r="AD21" s="213"/>
      <c r="AE21" s="213"/>
      <c r="AF21" s="213"/>
      <c r="AG21" s="213" t="s">
        <v>228</v>
      </c>
      <c r="AH21" s="213">
        <v>0.0</v>
      </c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870</v>
      </c>
      <c r="D22" s="238"/>
      <c r="E22" s="239">
        <v>60.0</v>
      </c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14">
        <v>6.0</v>
      </c>
      <c r="B23" s="215" t="s">
        <v>424</v>
      </c>
      <c r="C23" s="216" t="s">
        <v>871</v>
      </c>
      <c r="D23" s="217" t="s">
        <v>251</v>
      </c>
      <c r="E23" s="218">
        <v>162.8</v>
      </c>
      <c r="F23" s="219">
        <v>132.96</v>
      </c>
      <c r="G23" s="220">
        <f>ROUND(E23*F23,2)</f>
        <v>21645.89</v>
      </c>
      <c r="H23" s="211"/>
      <c r="I23" s="212">
        <f>ROUND(E23*H23,2)</f>
        <v>0</v>
      </c>
      <c r="J23" s="211"/>
      <c r="K23" s="212">
        <f>ROUND(E23*J23,2)</f>
        <v>0</v>
      </c>
      <c r="L23" s="212">
        <v>21.0</v>
      </c>
      <c r="M23" s="212">
        <f>G23*(1+L23/100)</f>
        <v>26191.5269</v>
      </c>
      <c r="N23" s="212">
        <v>0.0</v>
      </c>
      <c r="O23" s="212">
        <f>ROUND(E23*N23,2)</f>
        <v>0</v>
      </c>
      <c r="P23" s="212">
        <v>0.0</v>
      </c>
      <c r="Q23" s="212">
        <f>ROUND(E23*P23,2)</f>
        <v>0</v>
      </c>
      <c r="R23" s="212"/>
      <c r="S23" s="212" t="s">
        <v>178</v>
      </c>
      <c r="T23" s="212" t="s">
        <v>179</v>
      </c>
      <c r="U23" s="212">
        <v>0.0</v>
      </c>
      <c r="V23" s="212">
        <f>ROUND(E23*U23,2)</f>
        <v>0</v>
      </c>
      <c r="W23" s="212"/>
      <c r="X23" s="212" t="s">
        <v>225</v>
      </c>
      <c r="Y23" s="213"/>
      <c r="Z23" s="213"/>
      <c r="AA23" s="213"/>
      <c r="AB23" s="213"/>
      <c r="AC23" s="213"/>
      <c r="AD23" s="213"/>
      <c r="AE23" s="213"/>
      <c r="AF23" s="213"/>
      <c r="AG23" s="213" t="s">
        <v>226</v>
      </c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40" t="s">
        <v>236</v>
      </c>
      <c r="D24" s="241"/>
      <c r="E24" s="24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43" t="s">
        <v>872</v>
      </c>
      <c r="D25" s="241"/>
      <c r="E25" s="242">
        <v>148.0</v>
      </c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2.0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40" t="s">
        <v>238</v>
      </c>
      <c r="D26" s="241"/>
      <c r="E26" s="24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873</v>
      </c>
      <c r="D27" s="238"/>
      <c r="E27" s="239">
        <v>162.8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>
      <c r="A28" s="196" t="s">
        <v>173</v>
      </c>
      <c r="B28" s="197" t="s">
        <v>136</v>
      </c>
      <c r="C28" s="198" t="s">
        <v>137</v>
      </c>
      <c r="D28" s="199"/>
      <c r="E28" s="200"/>
      <c r="F28" s="201"/>
      <c r="G28" s="202">
        <f>SUMIF(AG29:AG44,"&lt;&gt;NOR",G29:G44)</f>
        <v>46885.61</v>
      </c>
      <c r="H28" s="203"/>
      <c r="I28" s="203">
        <f>SUM(I29:I44)</f>
        <v>0</v>
      </c>
      <c r="J28" s="203"/>
      <c r="K28" s="203">
        <f>SUM(K29:K44)</f>
        <v>0</v>
      </c>
      <c r="L28" s="203"/>
      <c r="M28" s="203">
        <f>SUM(M29:M44)</f>
        <v>56731.5881</v>
      </c>
      <c r="N28" s="203"/>
      <c r="O28" s="203">
        <f>SUM(O29:O44)</f>
        <v>48.34</v>
      </c>
      <c r="P28" s="203"/>
      <c r="Q28" s="203">
        <f>SUM(Q29:Q44)</f>
        <v>0</v>
      </c>
      <c r="R28" s="203"/>
      <c r="S28" s="203"/>
      <c r="T28" s="203"/>
      <c r="U28" s="203"/>
      <c r="V28" s="203">
        <f>SUM(V29:V44)</f>
        <v>118.12</v>
      </c>
      <c r="W28" s="203"/>
      <c r="X28" s="203"/>
      <c r="AG28" s="184" t="s">
        <v>174</v>
      </c>
    </row>
    <row r="29" ht="12.75" customHeight="1" outlineLevel="1">
      <c r="A29" s="214">
        <v>7.0</v>
      </c>
      <c r="B29" s="215" t="s">
        <v>874</v>
      </c>
      <c r="C29" s="216" t="s">
        <v>875</v>
      </c>
      <c r="D29" s="217" t="s">
        <v>372</v>
      </c>
      <c r="E29" s="218">
        <v>2.0</v>
      </c>
      <c r="F29" s="219">
        <v>642.0</v>
      </c>
      <c r="G29" s="220">
        <f>ROUND(E29*F29,2)</f>
        <v>1284</v>
      </c>
      <c r="H29" s="211"/>
      <c r="I29" s="212">
        <f>ROUND(E29*H29,2)</f>
        <v>0</v>
      </c>
      <c r="J29" s="211"/>
      <c r="K29" s="212">
        <f>ROUND(E29*J29,2)</f>
        <v>0</v>
      </c>
      <c r="L29" s="212">
        <v>21.0</v>
      </c>
      <c r="M29" s="212">
        <f>G29*(1+L29/100)</f>
        <v>1553.64</v>
      </c>
      <c r="N29" s="212">
        <v>4.5459</v>
      </c>
      <c r="O29" s="212">
        <f>ROUND(E29*N29,2)</f>
        <v>9.09</v>
      </c>
      <c r="P29" s="212">
        <v>0.0</v>
      </c>
      <c r="Q29" s="212">
        <f>ROUND(E29*P29,2)</f>
        <v>0</v>
      </c>
      <c r="R29" s="212"/>
      <c r="S29" s="212" t="s">
        <v>184</v>
      </c>
      <c r="T29" s="212" t="s">
        <v>184</v>
      </c>
      <c r="U29" s="212">
        <v>17.5</v>
      </c>
      <c r="V29" s="212">
        <f>ROUND(E29*U29,2)</f>
        <v>35</v>
      </c>
      <c r="W29" s="212"/>
      <c r="X29" s="212" t="s">
        <v>225</v>
      </c>
      <c r="Y29" s="213"/>
      <c r="Z29" s="213"/>
      <c r="AA29" s="213"/>
      <c r="AB29" s="213"/>
      <c r="AC29" s="213"/>
      <c r="AD29" s="213"/>
      <c r="AE29" s="213"/>
      <c r="AF29" s="213"/>
      <c r="AG29" s="213" t="s">
        <v>408</v>
      </c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35"/>
      <c r="B30" s="236"/>
      <c r="C30" s="237" t="s">
        <v>876</v>
      </c>
      <c r="D30" s="238"/>
      <c r="E30" s="239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213"/>
      <c r="AA30" s="213"/>
      <c r="AB30" s="213"/>
      <c r="AC30" s="213"/>
      <c r="AD30" s="213"/>
      <c r="AE30" s="213"/>
      <c r="AF30" s="213"/>
      <c r="AG30" s="213" t="s">
        <v>228</v>
      </c>
      <c r="AH30" s="213">
        <v>0.0</v>
      </c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456</v>
      </c>
      <c r="D31" s="238"/>
      <c r="E31" s="239">
        <v>2.0</v>
      </c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14">
        <v>8.0</v>
      </c>
      <c r="B32" s="215" t="s">
        <v>747</v>
      </c>
      <c r="C32" s="216" t="s">
        <v>748</v>
      </c>
      <c r="D32" s="217" t="s">
        <v>251</v>
      </c>
      <c r="E32" s="218">
        <v>148.0</v>
      </c>
      <c r="F32" s="219">
        <v>102.0</v>
      </c>
      <c r="G32" s="220">
        <f>ROUND(E32*F32,2)</f>
        <v>15096</v>
      </c>
      <c r="H32" s="211"/>
      <c r="I32" s="212">
        <f>ROUND(E32*H32,2)</f>
        <v>0</v>
      </c>
      <c r="J32" s="211"/>
      <c r="K32" s="212">
        <f>ROUND(E32*J32,2)</f>
        <v>0</v>
      </c>
      <c r="L32" s="212">
        <v>21.0</v>
      </c>
      <c r="M32" s="212">
        <f>G32*(1+L32/100)</f>
        <v>18266.16</v>
      </c>
      <c r="N32" s="212">
        <v>0.0</v>
      </c>
      <c r="O32" s="212">
        <f>ROUND(E32*N32,2)</f>
        <v>0</v>
      </c>
      <c r="P32" s="212">
        <v>0.0</v>
      </c>
      <c r="Q32" s="212">
        <f>ROUND(E32*P32,2)</f>
        <v>0</v>
      </c>
      <c r="R32" s="212"/>
      <c r="S32" s="212" t="s">
        <v>184</v>
      </c>
      <c r="T32" s="212" t="s">
        <v>184</v>
      </c>
      <c r="U32" s="212">
        <v>0.146</v>
      </c>
      <c r="V32" s="212">
        <f>ROUND(E32*U32,2)</f>
        <v>21.61</v>
      </c>
      <c r="W32" s="212"/>
      <c r="X32" s="212" t="s">
        <v>225</v>
      </c>
      <c r="Y32" s="213"/>
      <c r="Z32" s="213"/>
      <c r="AA32" s="213"/>
      <c r="AB32" s="213"/>
      <c r="AC32" s="213"/>
      <c r="AD32" s="213"/>
      <c r="AE32" s="213"/>
      <c r="AF32" s="213"/>
      <c r="AG32" s="213" t="s">
        <v>408</v>
      </c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35"/>
      <c r="B33" s="236"/>
      <c r="C33" s="237" t="s">
        <v>877</v>
      </c>
      <c r="D33" s="238"/>
      <c r="E33" s="239">
        <v>148.0</v>
      </c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3"/>
      <c r="Z33" s="213"/>
      <c r="AA33" s="213"/>
      <c r="AB33" s="213"/>
      <c r="AC33" s="213"/>
      <c r="AD33" s="213"/>
      <c r="AE33" s="213"/>
      <c r="AF33" s="213"/>
      <c r="AG33" s="213" t="s">
        <v>228</v>
      </c>
      <c r="AH33" s="213">
        <v>0.0</v>
      </c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14">
        <v>9.0</v>
      </c>
      <c r="B34" s="215" t="s">
        <v>750</v>
      </c>
      <c r="C34" s="216" t="s">
        <v>751</v>
      </c>
      <c r="D34" s="217" t="s">
        <v>251</v>
      </c>
      <c r="E34" s="218">
        <v>148.0</v>
      </c>
      <c r="F34" s="219">
        <v>114.0</v>
      </c>
      <c r="G34" s="220">
        <f>ROUND(E34*F34,2)</f>
        <v>16872</v>
      </c>
      <c r="H34" s="211"/>
      <c r="I34" s="212">
        <f>ROUND(E34*H34,2)</f>
        <v>0</v>
      </c>
      <c r="J34" s="211"/>
      <c r="K34" s="212">
        <f>ROUND(E34*J34,2)</f>
        <v>0</v>
      </c>
      <c r="L34" s="212">
        <v>21.0</v>
      </c>
      <c r="M34" s="212">
        <f>G34*(1+L34/100)</f>
        <v>20415.12</v>
      </c>
      <c r="N34" s="212">
        <v>0.26486</v>
      </c>
      <c r="O34" s="212">
        <f>ROUND(E34*N34,2)</f>
        <v>39.2</v>
      </c>
      <c r="P34" s="212">
        <v>0.0</v>
      </c>
      <c r="Q34" s="212">
        <f>ROUND(E34*P34,2)</f>
        <v>0</v>
      </c>
      <c r="R34" s="212"/>
      <c r="S34" s="212" t="s">
        <v>184</v>
      </c>
      <c r="T34" s="212" t="s">
        <v>184</v>
      </c>
      <c r="U34" s="212">
        <v>0.111</v>
      </c>
      <c r="V34" s="212">
        <f>ROUND(E34*U34,2)</f>
        <v>16.43</v>
      </c>
      <c r="W34" s="212"/>
      <c r="X34" s="212" t="s">
        <v>225</v>
      </c>
      <c r="Y34" s="213"/>
      <c r="Z34" s="213"/>
      <c r="AA34" s="213"/>
      <c r="AB34" s="213"/>
      <c r="AC34" s="213"/>
      <c r="AD34" s="213"/>
      <c r="AE34" s="213"/>
      <c r="AF34" s="213"/>
      <c r="AG34" s="213" t="s">
        <v>408</v>
      </c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752</v>
      </c>
      <c r="D35" s="238"/>
      <c r="E35" s="239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35"/>
      <c r="B36" s="236"/>
      <c r="C36" s="237" t="s">
        <v>877</v>
      </c>
      <c r="D36" s="238"/>
      <c r="E36" s="239">
        <v>148.0</v>
      </c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3"/>
      <c r="Z36" s="213"/>
      <c r="AA36" s="213"/>
      <c r="AB36" s="213"/>
      <c r="AC36" s="213"/>
      <c r="AD36" s="213"/>
      <c r="AE36" s="213"/>
      <c r="AF36" s="213"/>
      <c r="AG36" s="213" t="s">
        <v>228</v>
      </c>
      <c r="AH36" s="213">
        <v>0.0</v>
      </c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14">
        <v>10.0</v>
      </c>
      <c r="B37" s="215" t="s">
        <v>753</v>
      </c>
      <c r="C37" s="216" t="s">
        <v>754</v>
      </c>
      <c r="D37" s="217" t="s">
        <v>251</v>
      </c>
      <c r="E37" s="218">
        <v>162.8</v>
      </c>
      <c r="F37" s="219">
        <v>42.29</v>
      </c>
      <c r="G37" s="220">
        <f>ROUND(E37*F37,2)</f>
        <v>6884.81</v>
      </c>
      <c r="H37" s="211"/>
      <c r="I37" s="212">
        <f>ROUND(E37*H37,2)</f>
        <v>0</v>
      </c>
      <c r="J37" s="211"/>
      <c r="K37" s="212">
        <f>ROUND(E37*J37,2)</f>
        <v>0</v>
      </c>
      <c r="L37" s="212">
        <v>21.0</v>
      </c>
      <c r="M37" s="212">
        <f>G37*(1+L37/100)</f>
        <v>8330.6201</v>
      </c>
      <c r="N37" s="212">
        <v>3.1E-4</v>
      </c>
      <c r="O37" s="212">
        <f>ROUND(E37*N37,2)</f>
        <v>0.05</v>
      </c>
      <c r="P37" s="212">
        <v>0.0</v>
      </c>
      <c r="Q37" s="212">
        <f>ROUND(E37*P37,2)</f>
        <v>0</v>
      </c>
      <c r="R37" s="212"/>
      <c r="S37" s="212" t="s">
        <v>184</v>
      </c>
      <c r="T37" s="212" t="s">
        <v>184</v>
      </c>
      <c r="U37" s="212">
        <v>0.026</v>
      </c>
      <c r="V37" s="212">
        <f>ROUND(E37*U37,2)</f>
        <v>4.23</v>
      </c>
      <c r="W37" s="212"/>
      <c r="X37" s="212" t="s">
        <v>225</v>
      </c>
      <c r="Y37" s="213"/>
      <c r="Z37" s="213"/>
      <c r="AA37" s="213"/>
      <c r="AB37" s="213"/>
      <c r="AC37" s="213"/>
      <c r="AD37" s="213"/>
      <c r="AE37" s="213"/>
      <c r="AF37" s="213"/>
      <c r="AG37" s="213" t="s">
        <v>408</v>
      </c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878</v>
      </c>
      <c r="D38" s="238"/>
      <c r="E38" s="239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40" t="s">
        <v>236</v>
      </c>
      <c r="D39" s="241"/>
      <c r="E39" s="24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43" t="s">
        <v>872</v>
      </c>
      <c r="D40" s="241"/>
      <c r="E40" s="242">
        <v>148.0</v>
      </c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2.0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40" t="s">
        <v>238</v>
      </c>
      <c r="D41" s="241"/>
      <c r="E41" s="24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873</v>
      </c>
      <c r="D42" s="238"/>
      <c r="E42" s="239">
        <v>162.8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14">
        <v>11.0</v>
      </c>
      <c r="B43" s="215" t="s">
        <v>759</v>
      </c>
      <c r="C43" s="216" t="s">
        <v>760</v>
      </c>
      <c r="D43" s="217" t="s">
        <v>251</v>
      </c>
      <c r="E43" s="218">
        <v>148.0</v>
      </c>
      <c r="F43" s="219">
        <v>45.6</v>
      </c>
      <c r="G43" s="220">
        <f>ROUND(E43*F43,2)</f>
        <v>6748.8</v>
      </c>
      <c r="H43" s="211"/>
      <c r="I43" s="212">
        <f>ROUND(E43*H43,2)</f>
        <v>0</v>
      </c>
      <c r="J43" s="211"/>
      <c r="K43" s="212">
        <f>ROUND(E43*J43,2)</f>
        <v>0</v>
      </c>
      <c r="L43" s="212">
        <v>21.0</v>
      </c>
      <c r="M43" s="212">
        <f>G43*(1+L43/100)</f>
        <v>8166.048</v>
      </c>
      <c r="N43" s="212">
        <v>0.0</v>
      </c>
      <c r="O43" s="212">
        <f>ROUND(E43*N43,2)</f>
        <v>0</v>
      </c>
      <c r="P43" s="212">
        <v>0.0</v>
      </c>
      <c r="Q43" s="212">
        <f>ROUND(E43*P43,2)</f>
        <v>0</v>
      </c>
      <c r="R43" s="212"/>
      <c r="S43" s="212" t="s">
        <v>184</v>
      </c>
      <c r="T43" s="212" t="s">
        <v>184</v>
      </c>
      <c r="U43" s="212">
        <v>0.276</v>
      </c>
      <c r="V43" s="212">
        <f>ROUND(E43*U43,2)</f>
        <v>40.85</v>
      </c>
      <c r="W43" s="212"/>
      <c r="X43" s="212" t="s">
        <v>225</v>
      </c>
      <c r="Y43" s="213"/>
      <c r="Z43" s="213"/>
      <c r="AA43" s="213"/>
      <c r="AB43" s="213"/>
      <c r="AC43" s="213"/>
      <c r="AD43" s="213"/>
      <c r="AE43" s="213"/>
      <c r="AF43" s="213"/>
      <c r="AG43" s="213" t="s">
        <v>408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877</v>
      </c>
      <c r="D44" s="238"/>
      <c r="E44" s="239">
        <v>148.0</v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>
      <c r="A45" s="175"/>
      <c r="B45" s="179"/>
      <c r="C45" s="221"/>
      <c r="D45" s="181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AE45" s="184">
        <v>15.0</v>
      </c>
      <c r="AF45" s="184">
        <v>21.0</v>
      </c>
      <c r="AG45" s="184" t="s">
        <v>160</v>
      </c>
    </row>
    <row r="46" ht="12.75" customHeight="1">
      <c r="A46" s="222"/>
      <c r="B46" s="223" t="s">
        <v>24</v>
      </c>
      <c r="C46" s="224"/>
      <c r="D46" s="225"/>
      <c r="E46" s="226"/>
      <c r="F46" s="226"/>
      <c r="G46" s="227">
        <f>G8+G11+G28</f>
        <v>265047.42</v>
      </c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AE46" s="184">
        <f>SUMIF(L7:L44,AE45,G7:G44)</f>
        <v>0</v>
      </c>
      <c r="AF46" s="184">
        <f>SUMIF(L7:L44,AF45,G7:G44)</f>
        <v>265047.42</v>
      </c>
      <c r="AG46" s="184" t="s">
        <v>218</v>
      </c>
    </row>
    <row r="47" ht="12.75" customHeight="1">
      <c r="A47" s="175"/>
      <c r="B47" s="179"/>
      <c r="C47" s="221"/>
      <c r="D47" s="181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 ht="12.75" customHeight="1">
      <c r="A48" s="175"/>
      <c r="B48" s="179"/>
      <c r="C48" s="221"/>
      <c r="D48" s="181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 ht="12.75" customHeight="1">
      <c r="A49" s="175" t="s">
        <v>219</v>
      </c>
      <c r="D49" s="181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</row>
    <row r="50" ht="12.75" customHeight="1">
      <c r="A50" s="228"/>
      <c r="B50" s="27"/>
      <c r="C50" s="27"/>
      <c r="D50" s="27"/>
      <c r="E50" s="27"/>
      <c r="F50" s="27"/>
      <c r="G50" s="229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AG50" s="184" t="s">
        <v>220</v>
      </c>
    </row>
    <row r="51" ht="12.75" customHeight="1">
      <c r="A51" s="230"/>
      <c r="G51" s="231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</row>
    <row r="52" ht="12.75" customHeight="1">
      <c r="A52" s="230"/>
      <c r="G52" s="231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</row>
    <row r="53" ht="12.75" customHeight="1">
      <c r="A53" s="230"/>
      <c r="G53" s="231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 ht="12.75" customHeight="1">
      <c r="A54" s="232"/>
      <c r="B54" s="38"/>
      <c r="C54" s="38"/>
      <c r="D54" s="38"/>
      <c r="E54" s="38"/>
      <c r="F54" s="38"/>
      <c r="G54" s="233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</row>
    <row r="55" ht="12.75" customHeight="1">
      <c r="A55" s="175"/>
      <c r="B55" s="179"/>
      <c r="C55" s="221"/>
      <c r="D55" s="181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</row>
    <row r="56" ht="12.75" customHeight="1">
      <c r="B56" s="185"/>
      <c r="C56" s="234"/>
      <c r="D56" s="126"/>
      <c r="AG56" s="184" t="s">
        <v>221</v>
      </c>
    </row>
    <row r="57" ht="12.75" customHeight="1">
      <c r="B57" s="185"/>
      <c r="C57" s="185"/>
      <c r="D57" s="126"/>
    </row>
    <row r="58" ht="12.75" customHeight="1">
      <c r="B58" s="185"/>
      <c r="C58" s="185"/>
      <c r="D58" s="126"/>
    </row>
    <row r="59" ht="12.75" customHeight="1">
      <c r="B59" s="185"/>
      <c r="C59" s="185"/>
      <c r="D59" s="126"/>
    </row>
    <row r="60" ht="12.75" customHeight="1">
      <c r="B60" s="185"/>
      <c r="C60" s="185"/>
      <c r="D60" s="126"/>
    </row>
    <row r="61" ht="12.75" customHeight="1">
      <c r="B61" s="185"/>
      <c r="C61" s="185"/>
      <c r="D61" s="126"/>
    </row>
    <row r="62" ht="12.75" customHeight="1">
      <c r="B62" s="185"/>
      <c r="C62" s="185"/>
      <c r="D62" s="126"/>
    </row>
    <row r="63" ht="12.75" customHeight="1">
      <c r="B63" s="185"/>
      <c r="C63" s="185"/>
      <c r="D63" s="126"/>
    </row>
    <row r="64" ht="12.75" customHeight="1">
      <c r="B64" s="185"/>
      <c r="C64" s="185"/>
      <c r="D64" s="126"/>
    </row>
    <row r="65" ht="12.75" customHeight="1">
      <c r="B65" s="185"/>
      <c r="C65" s="185"/>
      <c r="D65" s="126"/>
    </row>
    <row r="66" ht="12.75" customHeight="1">
      <c r="B66" s="185"/>
      <c r="C66" s="185"/>
      <c r="D66" s="126"/>
    </row>
    <row r="67" ht="12.75" customHeight="1">
      <c r="B67" s="185"/>
      <c r="C67" s="185"/>
      <c r="D67" s="126"/>
    </row>
    <row r="68" ht="12.75" customHeight="1">
      <c r="B68" s="185"/>
      <c r="C68" s="185"/>
      <c r="D68" s="126"/>
    </row>
    <row r="69" ht="12.75" customHeight="1">
      <c r="B69" s="185"/>
      <c r="C69" s="185"/>
      <c r="D69" s="126"/>
    </row>
    <row r="70" ht="12.75" customHeight="1">
      <c r="B70" s="185"/>
      <c r="C70" s="185"/>
      <c r="D70" s="126"/>
    </row>
    <row r="71" ht="12.75" customHeight="1">
      <c r="B71" s="185"/>
      <c r="C71" s="185"/>
      <c r="D71" s="126"/>
    </row>
    <row r="72" ht="12.75" customHeight="1">
      <c r="B72" s="185"/>
      <c r="C72" s="185"/>
      <c r="D72" s="126"/>
    </row>
    <row r="73" ht="12.75" customHeight="1">
      <c r="B73" s="185"/>
      <c r="C73" s="185"/>
      <c r="D73" s="126"/>
    </row>
    <row r="74" ht="12.75" customHeight="1">
      <c r="B74" s="185"/>
      <c r="C74" s="185"/>
      <c r="D74" s="126"/>
    </row>
    <row r="75" ht="12.75" customHeight="1">
      <c r="B75" s="185"/>
      <c r="C75" s="185"/>
      <c r="D75" s="126"/>
    </row>
    <row r="76" ht="12.75" customHeight="1">
      <c r="B76" s="185"/>
      <c r="C76" s="185"/>
      <c r="D76" s="126"/>
    </row>
    <row r="77" ht="12.75" customHeight="1">
      <c r="B77" s="185"/>
      <c r="C77" s="185"/>
      <c r="D77" s="126"/>
    </row>
    <row r="78" ht="12.75" customHeight="1">
      <c r="B78" s="185"/>
      <c r="C78" s="185"/>
      <c r="D78" s="126"/>
    </row>
    <row r="79" ht="12.75" customHeight="1">
      <c r="B79" s="185"/>
      <c r="C79" s="185"/>
      <c r="D79" s="126"/>
    </row>
    <row r="80" ht="12.75" customHeight="1">
      <c r="B80" s="185"/>
      <c r="C80" s="185"/>
      <c r="D80" s="126"/>
    </row>
    <row r="81" ht="12.75" customHeight="1">
      <c r="B81" s="185"/>
      <c r="C81" s="185"/>
      <c r="D81" s="126"/>
    </row>
    <row r="82" ht="12.75" customHeight="1">
      <c r="B82" s="185"/>
      <c r="C82" s="185"/>
      <c r="D82" s="126"/>
    </row>
    <row r="83" ht="12.75" customHeight="1">
      <c r="B83" s="185"/>
      <c r="C83" s="185"/>
      <c r="D83" s="126"/>
    </row>
    <row r="84" ht="12.75" customHeight="1">
      <c r="B84" s="185"/>
      <c r="C84" s="185"/>
      <c r="D84" s="126"/>
    </row>
    <row r="85" ht="12.75" customHeight="1">
      <c r="B85" s="185"/>
      <c r="C85" s="185"/>
      <c r="D85" s="126"/>
    </row>
    <row r="86" ht="12.75" customHeight="1">
      <c r="B86" s="185"/>
      <c r="C86" s="185"/>
      <c r="D86" s="126"/>
    </row>
    <row r="87" ht="12.75" customHeight="1">
      <c r="B87" s="185"/>
      <c r="C87" s="185"/>
      <c r="D87" s="126"/>
    </row>
    <row r="88" ht="12.75" customHeight="1">
      <c r="B88" s="185"/>
      <c r="C88" s="185"/>
      <c r="D88" s="126"/>
    </row>
    <row r="89" ht="12.75" customHeight="1">
      <c r="B89" s="185"/>
      <c r="C89" s="185"/>
      <c r="D89" s="126"/>
    </row>
    <row r="90" ht="12.75" customHeight="1">
      <c r="B90" s="185"/>
      <c r="C90" s="185"/>
      <c r="D90" s="126"/>
    </row>
    <row r="91" ht="12.75" customHeight="1">
      <c r="B91" s="185"/>
      <c r="C91" s="185"/>
      <c r="D91" s="126"/>
    </row>
    <row r="92" ht="12.75" customHeight="1">
      <c r="B92" s="185"/>
      <c r="C92" s="185"/>
      <c r="D92" s="126"/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</row>
    <row r="258" ht="12.75" customHeight="1">
      <c r="B258" s="185"/>
      <c r="C258" s="185"/>
    </row>
    <row r="259" ht="12.75" customHeight="1">
      <c r="B259" s="185"/>
      <c r="C259" s="185"/>
    </row>
    <row r="260" ht="12.75" customHeight="1">
      <c r="B260" s="185"/>
      <c r="C260" s="185"/>
    </row>
    <row r="261" ht="12.75" customHeight="1">
      <c r="B261" s="185"/>
      <c r="C261" s="185"/>
    </row>
    <row r="262" ht="12.75" customHeight="1">
      <c r="B262" s="185"/>
      <c r="C262" s="185"/>
    </row>
    <row r="263" ht="12.75" customHeight="1">
      <c r="B263" s="185"/>
      <c r="C263" s="185"/>
    </row>
    <row r="264" ht="12.75" customHeight="1">
      <c r="B264" s="185"/>
      <c r="C264" s="185"/>
    </row>
    <row r="265" ht="12.75" customHeight="1">
      <c r="B265" s="185"/>
      <c r="C265" s="185"/>
    </row>
    <row r="266" ht="12.75" customHeight="1">
      <c r="B266" s="185"/>
      <c r="C266" s="185"/>
    </row>
    <row r="267" ht="12.75" customHeight="1">
      <c r="B267" s="185"/>
      <c r="C267" s="185"/>
    </row>
    <row r="268" ht="12.75" customHeight="1">
      <c r="B268" s="185"/>
      <c r="C268" s="185"/>
    </row>
    <row r="269" ht="12.75" customHeight="1">
      <c r="B269" s="185"/>
      <c r="C269" s="185"/>
    </row>
    <row r="270" ht="12.75" customHeight="1">
      <c r="B270" s="185"/>
      <c r="C270" s="185"/>
    </row>
    <row r="271" ht="12.75" customHeight="1">
      <c r="B271" s="185"/>
      <c r="C271" s="185"/>
    </row>
    <row r="272" ht="12.75" customHeight="1">
      <c r="B272" s="185"/>
      <c r="C272" s="185"/>
    </row>
    <row r="273" ht="12.75" customHeight="1">
      <c r="B273" s="185"/>
      <c r="C273" s="185"/>
    </row>
    <row r="274" ht="12.75" customHeight="1">
      <c r="B274" s="185"/>
      <c r="C274" s="185"/>
    </row>
    <row r="275" ht="12.75" customHeight="1">
      <c r="B275" s="185"/>
      <c r="C275" s="185"/>
    </row>
    <row r="276" ht="12.75" customHeight="1">
      <c r="B276" s="185"/>
      <c r="C276" s="185"/>
    </row>
    <row r="277" ht="12.75" customHeight="1">
      <c r="B277" s="185"/>
      <c r="C277" s="185"/>
    </row>
    <row r="278" ht="12.75" customHeight="1">
      <c r="B278" s="185"/>
      <c r="C278" s="185"/>
    </row>
    <row r="279" ht="12.75" customHeight="1">
      <c r="B279" s="185"/>
      <c r="C279" s="185"/>
    </row>
    <row r="280" ht="12.75" customHeight="1">
      <c r="B280" s="185"/>
      <c r="C280" s="185"/>
    </row>
    <row r="281" ht="12.75" customHeight="1">
      <c r="B281" s="185"/>
      <c r="C281" s="185"/>
    </row>
    <row r="282" ht="12.75" customHeight="1">
      <c r="B282" s="185"/>
      <c r="C282" s="185"/>
    </row>
    <row r="283" ht="12.75" customHeight="1">
      <c r="B283" s="185"/>
      <c r="C283" s="185"/>
    </row>
    <row r="284" ht="12.75" customHeight="1">
      <c r="B284" s="185"/>
      <c r="C284" s="185"/>
    </row>
    <row r="285" ht="12.75" customHeight="1">
      <c r="B285" s="185"/>
      <c r="C285" s="185"/>
    </row>
    <row r="286" ht="12.75" customHeight="1">
      <c r="B286" s="185"/>
      <c r="C286" s="185"/>
    </row>
    <row r="287" ht="12.75" customHeight="1">
      <c r="B287" s="185"/>
      <c r="C287" s="185"/>
    </row>
    <row r="288" ht="12.75" customHeight="1">
      <c r="B288" s="185"/>
      <c r="C288" s="185"/>
    </row>
    <row r="289" ht="12.75" customHeight="1">
      <c r="B289" s="185"/>
      <c r="C289" s="185"/>
    </row>
    <row r="290" ht="12.75" customHeight="1">
      <c r="B290" s="185"/>
      <c r="C290" s="185"/>
    </row>
    <row r="291" ht="12.75" customHeight="1">
      <c r="B291" s="185"/>
      <c r="C291" s="185"/>
    </row>
    <row r="292" ht="12.75" customHeight="1">
      <c r="B292" s="185"/>
      <c r="C292" s="185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49:C49"/>
    <mergeCell ref="A50:G54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70</v>
      </c>
      <c r="C3" s="177" t="s">
        <v>71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70</v>
      </c>
      <c r="C4" s="188" t="s">
        <v>71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SUMIF(AG9:AG74,"&lt;&gt;NOR",G9:G74)</f>
        <v>17562475.42</v>
      </c>
      <c r="H8" s="203"/>
      <c r="I8" s="203">
        <f>SUM(I9:I74)</f>
        <v>0</v>
      </c>
      <c r="J8" s="203"/>
      <c r="K8" s="203">
        <f>SUM(K9:K74)</f>
        <v>0</v>
      </c>
      <c r="L8" s="203"/>
      <c r="M8" s="203">
        <f>SUM(M9:M74)</f>
        <v>21250595.26</v>
      </c>
      <c r="N8" s="203"/>
      <c r="O8" s="203">
        <f>SUM(O9:O74)</f>
        <v>0</v>
      </c>
      <c r="P8" s="203"/>
      <c r="Q8" s="203">
        <f>SUM(Q9:Q74)</f>
        <v>0</v>
      </c>
      <c r="R8" s="203"/>
      <c r="S8" s="203"/>
      <c r="T8" s="203"/>
      <c r="U8" s="203"/>
      <c r="V8" s="203">
        <f>SUM(V9:V74)</f>
        <v>6483.93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879</v>
      </c>
      <c r="C9" s="206" t="s">
        <v>880</v>
      </c>
      <c r="D9" s="207" t="s">
        <v>881</v>
      </c>
      <c r="E9" s="208">
        <v>600.0</v>
      </c>
      <c r="F9" s="209">
        <v>155.5</v>
      </c>
      <c r="G9" s="210">
        <f t="shared" ref="G9:G11" si="1">ROUND(E9*F9,2)</f>
        <v>93300</v>
      </c>
      <c r="H9" s="211"/>
      <c r="I9" s="212">
        <f t="shared" ref="I9:I11" si="2">ROUND(E9*H9,2)</f>
        <v>0</v>
      </c>
      <c r="J9" s="211"/>
      <c r="K9" s="212">
        <f t="shared" ref="K9:K11" si="3">ROUND(E9*J9,2)</f>
        <v>0</v>
      </c>
      <c r="L9" s="212">
        <v>21.0</v>
      </c>
      <c r="M9" s="212">
        <f t="shared" ref="M9:M11" si="4">G9*(1+L9/100)</f>
        <v>112893</v>
      </c>
      <c r="N9" s="212">
        <v>0.0</v>
      </c>
      <c r="O9" s="212">
        <f t="shared" ref="O9:O11" si="5">ROUND(E9*N9,2)</f>
        <v>0</v>
      </c>
      <c r="P9" s="212">
        <v>0.0</v>
      </c>
      <c r="Q9" s="212">
        <f t="shared" ref="Q9:Q11" si="6">ROUND(E9*P9,2)</f>
        <v>0</v>
      </c>
      <c r="R9" s="212"/>
      <c r="S9" s="212" t="s">
        <v>184</v>
      </c>
      <c r="T9" s="212" t="s">
        <v>184</v>
      </c>
      <c r="U9" s="212">
        <v>0.605</v>
      </c>
      <c r="V9" s="212">
        <f t="shared" ref="V9:V11" si="7">ROUND(E9*U9,2)</f>
        <v>363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04">
        <v>2.0</v>
      </c>
      <c r="B10" s="205" t="s">
        <v>882</v>
      </c>
      <c r="C10" s="206" t="s">
        <v>883</v>
      </c>
      <c r="D10" s="207" t="s">
        <v>884</v>
      </c>
      <c r="E10" s="208">
        <v>200.0</v>
      </c>
      <c r="F10" s="209">
        <v>70.5</v>
      </c>
      <c r="G10" s="210">
        <f t="shared" si="1"/>
        <v>14100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17061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184</v>
      </c>
      <c r="T10" s="212" t="s">
        <v>184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14">
        <v>3.0</v>
      </c>
      <c r="B11" s="215" t="s">
        <v>253</v>
      </c>
      <c r="C11" s="216" t="s">
        <v>254</v>
      </c>
      <c r="D11" s="217" t="s">
        <v>234</v>
      </c>
      <c r="E11" s="218">
        <v>2337.0</v>
      </c>
      <c r="F11" s="219">
        <v>75.65</v>
      </c>
      <c r="G11" s="220">
        <f t="shared" si="1"/>
        <v>176794.05</v>
      </c>
      <c r="H11" s="211"/>
      <c r="I11" s="212">
        <f t="shared" si="2"/>
        <v>0</v>
      </c>
      <c r="J11" s="211"/>
      <c r="K11" s="212">
        <f t="shared" si="3"/>
        <v>0</v>
      </c>
      <c r="L11" s="212">
        <v>21.0</v>
      </c>
      <c r="M11" s="212">
        <f t="shared" si="4"/>
        <v>213920.8005</v>
      </c>
      <c r="N11" s="212">
        <v>0.0</v>
      </c>
      <c r="O11" s="212">
        <f t="shared" si="5"/>
        <v>0</v>
      </c>
      <c r="P11" s="212">
        <v>0.0</v>
      </c>
      <c r="Q11" s="212">
        <f t="shared" si="6"/>
        <v>0</v>
      </c>
      <c r="R11" s="212"/>
      <c r="S11" s="212" t="s">
        <v>184</v>
      </c>
      <c r="T11" s="212" t="s">
        <v>184</v>
      </c>
      <c r="U11" s="212">
        <v>0.0134</v>
      </c>
      <c r="V11" s="212">
        <f t="shared" si="7"/>
        <v>31.32</v>
      </c>
      <c r="W11" s="212"/>
      <c r="X11" s="212" t="s">
        <v>225</v>
      </c>
      <c r="Y11" s="213"/>
      <c r="Z11" s="213"/>
      <c r="AA11" s="213"/>
      <c r="AB11" s="213"/>
      <c r="AC11" s="213"/>
      <c r="AD11" s="213"/>
      <c r="AE11" s="213"/>
      <c r="AF11" s="213"/>
      <c r="AG11" s="213" t="s">
        <v>226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37" t="s">
        <v>885</v>
      </c>
      <c r="D12" s="238"/>
      <c r="E12" s="239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0.0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37" t="s">
        <v>886</v>
      </c>
      <c r="D13" s="238"/>
      <c r="E13" s="239">
        <v>2337.0</v>
      </c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>
        <v>0.0</v>
      </c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14">
        <v>4.0</v>
      </c>
      <c r="B14" s="215" t="s">
        <v>887</v>
      </c>
      <c r="C14" s="216" t="s">
        <v>888</v>
      </c>
      <c r="D14" s="217" t="s">
        <v>234</v>
      </c>
      <c r="E14" s="218">
        <v>20747.18</v>
      </c>
      <c r="F14" s="219">
        <v>87.0</v>
      </c>
      <c r="G14" s="220">
        <f>ROUND(E14*F14,2)</f>
        <v>1805004.66</v>
      </c>
      <c r="H14" s="211"/>
      <c r="I14" s="212">
        <f>ROUND(E14*H14,2)</f>
        <v>0</v>
      </c>
      <c r="J14" s="211"/>
      <c r="K14" s="212">
        <f>ROUND(E14*J14,2)</f>
        <v>0</v>
      </c>
      <c r="L14" s="212">
        <v>21.0</v>
      </c>
      <c r="M14" s="212">
        <f>G14*(1+L14/100)</f>
        <v>2184055.639</v>
      </c>
      <c r="N14" s="212">
        <v>0.0</v>
      </c>
      <c r="O14" s="212">
        <f>ROUND(E14*N14,2)</f>
        <v>0</v>
      </c>
      <c r="P14" s="212">
        <v>0.0</v>
      </c>
      <c r="Q14" s="212">
        <f>ROUND(E14*P14,2)</f>
        <v>0</v>
      </c>
      <c r="R14" s="212"/>
      <c r="S14" s="212" t="s">
        <v>184</v>
      </c>
      <c r="T14" s="212" t="s">
        <v>184</v>
      </c>
      <c r="U14" s="212">
        <v>0.1</v>
      </c>
      <c r="V14" s="212">
        <f>ROUND(E14*U14,2)</f>
        <v>2074.72</v>
      </c>
      <c r="W14" s="212"/>
      <c r="X14" s="212" t="s">
        <v>225</v>
      </c>
      <c r="Y14" s="213"/>
      <c r="Z14" s="213"/>
      <c r="AA14" s="213"/>
      <c r="AB14" s="213"/>
      <c r="AC14" s="213"/>
      <c r="AD14" s="213"/>
      <c r="AE14" s="213"/>
      <c r="AF14" s="213"/>
      <c r="AG14" s="213" t="s">
        <v>226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35"/>
      <c r="B15" s="236"/>
      <c r="C15" s="237" t="s">
        <v>889</v>
      </c>
      <c r="D15" s="238"/>
      <c r="E15" s="239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3"/>
      <c r="Z15" s="213"/>
      <c r="AA15" s="213"/>
      <c r="AB15" s="213"/>
      <c r="AC15" s="213"/>
      <c r="AD15" s="213"/>
      <c r="AE15" s="213"/>
      <c r="AF15" s="213"/>
      <c r="AG15" s="213" t="s">
        <v>228</v>
      </c>
      <c r="AH15" s="213">
        <v>0.0</v>
      </c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890</v>
      </c>
      <c r="D16" s="238"/>
      <c r="E16" s="239">
        <v>19647.18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891</v>
      </c>
      <c r="D17" s="238"/>
      <c r="E17" s="239">
        <v>1100.0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5.0</v>
      </c>
      <c r="B18" s="215" t="s">
        <v>892</v>
      </c>
      <c r="C18" s="216" t="s">
        <v>893</v>
      </c>
      <c r="D18" s="217" t="s">
        <v>234</v>
      </c>
      <c r="E18" s="218">
        <v>47.412</v>
      </c>
      <c r="F18" s="219">
        <v>192.5</v>
      </c>
      <c r="G18" s="220">
        <f>ROUND(E18*F18,2)</f>
        <v>9126.81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11043.4401</v>
      </c>
      <c r="N18" s="212">
        <v>0.0</v>
      </c>
      <c r="O18" s="212">
        <f>ROUND(E18*N18,2)</f>
        <v>0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0.28</v>
      </c>
      <c r="V18" s="212">
        <f>ROUND(E18*U18,2)</f>
        <v>13.28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894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895</v>
      </c>
      <c r="D20" s="238"/>
      <c r="E20" s="239">
        <v>47.41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6.0</v>
      </c>
      <c r="B21" s="215" t="s">
        <v>896</v>
      </c>
      <c r="C21" s="216" t="s">
        <v>897</v>
      </c>
      <c r="D21" s="217" t="s">
        <v>234</v>
      </c>
      <c r="E21" s="218">
        <v>4158.9184</v>
      </c>
      <c r="F21" s="219">
        <v>75.0</v>
      </c>
      <c r="G21" s="220">
        <f>ROUND(E21*F21,2)</f>
        <v>311918.88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377421.8448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0.831</v>
      </c>
      <c r="V21" s="212">
        <f>ROUND(E21*U21,2)</f>
        <v>3456.06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292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889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40" t="s">
        <v>236</v>
      </c>
      <c r="D23" s="241"/>
      <c r="E23" s="24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43" t="s">
        <v>898</v>
      </c>
      <c r="D24" s="241"/>
      <c r="E24" s="242">
        <v>19647.18</v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>
        <v>2.0</v>
      </c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43" t="s">
        <v>899</v>
      </c>
      <c r="D25" s="241"/>
      <c r="E25" s="242">
        <v>1100.0</v>
      </c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2.0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40" t="s">
        <v>238</v>
      </c>
      <c r="D26" s="241"/>
      <c r="E26" s="24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900</v>
      </c>
      <c r="D27" s="238"/>
      <c r="E27" s="239">
        <v>4149.44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894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40" t="s">
        <v>236</v>
      </c>
      <c r="D29" s="241"/>
      <c r="E29" s="24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35"/>
      <c r="B30" s="236"/>
      <c r="C30" s="243" t="s">
        <v>901</v>
      </c>
      <c r="D30" s="241"/>
      <c r="E30" s="242">
        <v>47.41</v>
      </c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213"/>
      <c r="AA30" s="213"/>
      <c r="AB30" s="213"/>
      <c r="AC30" s="213"/>
      <c r="AD30" s="213"/>
      <c r="AE30" s="213"/>
      <c r="AF30" s="213"/>
      <c r="AG30" s="213" t="s">
        <v>228</v>
      </c>
      <c r="AH30" s="213">
        <v>2.0</v>
      </c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40" t="s">
        <v>238</v>
      </c>
      <c r="D31" s="241"/>
      <c r="E31" s="24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902</v>
      </c>
      <c r="D32" s="238"/>
      <c r="E32" s="239">
        <v>9.48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7.0</v>
      </c>
      <c r="B33" s="215" t="s">
        <v>293</v>
      </c>
      <c r="C33" s="216" t="s">
        <v>294</v>
      </c>
      <c r="D33" s="217" t="s">
        <v>234</v>
      </c>
      <c r="E33" s="218">
        <v>21963.092</v>
      </c>
      <c r="F33" s="219">
        <v>145.49</v>
      </c>
      <c r="G33" s="220">
        <f>ROUND(E33*F33,2)</f>
        <v>3195410.26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3866446.415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0.011</v>
      </c>
      <c r="V33" s="212">
        <f>ROUND(E33*U33,2)</f>
        <v>241.59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903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904</v>
      </c>
      <c r="D35" s="238"/>
      <c r="E35" s="239">
        <v>1168.5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35"/>
      <c r="B36" s="236"/>
      <c r="C36" s="237" t="s">
        <v>905</v>
      </c>
      <c r="D36" s="238"/>
      <c r="E36" s="239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3"/>
      <c r="Z36" s="213"/>
      <c r="AA36" s="213"/>
      <c r="AB36" s="213"/>
      <c r="AC36" s="213"/>
      <c r="AD36" s="213"/>
      <c r="AE36" s="213"/>
      <c r="AF36" s="213"/>
      <c r="AG36" s="213" t="s">
        <v>228</v>
      </c>
      <c r="AH36" s="213">
        <v>0.0</v>
      </c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890</v>
      </c>
      <c r="D37" s="238"/>
      <c r="E37" s="239">
        <v>19647.18</v>
      </c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891</v>
      </c>
      <c r="D38" s="238"/>
      <c r="E38" s="239">
        <v>1100.0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37" t="s">
        <v>894</v>
      </c>
      <c r="D39" s="238"/>
      <c r="E39" s="239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>
        <v>0.0</v>
      </c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895</v>
      </c>
      <c r="D40" s="238"/>
      <c r="E40" s="239">
        <v>47.41</v>
      </c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14">
        <v>8.0</v>
      </c>
      <c r="B41" s="215" t="s">
        <v>299</v>
      </c>
      <c r="C41" s="216" t="s">
        <v>300</v>
      </c>
      <c r="D41" s="217" t="s">
        <v>234</v>
      </c>
      <c r="E41" s="218">
        <v>21963.092</v>
      </c>
      <c r="F41" s="219">
        <v>15.1</v>
      </c>
      <c r="G41" s="220">
        <f>ROUND(E41*F41,2)</f>
        <v>331642.69</v>
      </c>
      <c r="H41" s="211"/>
      <c r="I41" s="212">
        <f>ROUND(E41*H41,2)</f>
        <v>0</v>
      </c>
      <c r="J41" s="211"/>
      <c r="K41" s="212">
        <f>ROUND(E41*J41,2)</f>
        <v>0</v>
      </c>
      <c r="L41" s="212">
        <v>21.0</v>
      </c>
      <c r="M41" s="212">
        <f>G41*(1+L41/100)</f>
        <v>401287.6549</v>
      </c>
      <c r="N41" s="212">
        <v>0.0</v>
      </c>
      <c r="O41" s="212">
        <f>ROUND(E41*N41,2)</f>
        <v>0</v>
      </c>
      <c r="P41" s="212">
        <v>0.0</v>
      </c>
      <c r="Q41" s="212">
        <f>ROUND(E41*P41,2)</f>
        <v>0</v>
      </c>
      <c r="R41" s="212"/>
      <c r="S41" s="212" t="s">
        <v>184</v>
      </c>
      <c r="T41" s="212" t="s">
        <v>184</v>
      </c>
      <c r="U41" s="212">
        <v>0.009</v>
      </c>
      <c r="V41" s="212">
        <f>ROUND(E41*U41,2)</f>
        <v>197.67</v>
      </c>
      <c r="W41" s="212"/>
      <c r="X41" s="212" t="s">
        <v>225</v>
      </c>
      <c r="Y41" s="213"/>
      <c r="Z41" s="213"/>
      <c r="AA41" s="213"/>
      <c r="AB41" s="213"/>
      <c r="AC41" s="213"/>
      <c r="AD41" s="213"/>
      <c r="AE41" s="213"/>
      <c r="AF41" s="213"/>
      <c r="AG41" s="213" t="s">
        <v>226</v>
      </c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903</v>
      </c>
      <c r="D42" s="238"/>
      <c r="E42" s="239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904</v>
      </c>
      <c r="D43" s="238"/>
      <c r="E43" s="239">
        <v>1168.5</v>
      </c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905</v>
      </c>
      <c r="D44" s="238"/>
      <c r="E44" s="239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890</v>
      </c>
      <c r="D45" s="238"/>
      <c r="E45" s="239">
        <v>19647.18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37" t="s">
        <v>891</v>
      </c>
      <c r="D46" s="238"/>
      <c r="E46" s="239">
        <v>1100.0</v>
      </c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>
        <v>0.0</v>
      </c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894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37" t="s">
        <v>895</v>
      </c>
      <c r="D48" s="238"/>
      <c r="E48" s="239">
        <v>47.41</v>
      </c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>
        <v>0.0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14">
        <v>9.0</v>
      </c>
      <c r="B49" s="215" t="s">
        <v>906</v>
      </c>
      <c r="C49" s="216" t="s">
        <v>907</v>
      </c>
      <c r="D49" s="217" t="s">
        <v>224</v>
      </c>
      <c r="E49" s="218">
        <v>5905.0</v>
      </c>
      <c r="F49" s="219">
        <v>14.7</v>
      </c>
      <c r="G49" s="220">
        <f>ROUND(E49*F49,2)</f>
        <v>86803.5</v>
      </c>
      <c r="H49" s="211"/>
      <c r="I49" s="212">
        <f>ROUND(E49*H49,2)</f>
        <v>0</v>
      </c>
      <c r="J49" s="211"/>
      <c r="K49" s="212">
        <f>ROUND(E49*J49,2)</f>
        <v>0</v>
      </c>
      <c r="L49" s="212">
        <v>21.0</v>
      </c>
      <c r="M49" s="212">
        <f>G49*(1+L49/100)</f>
        <v>105032.235</v>
      </c>
      <c r="N49" s="212">
        <v>0.0</v>
      </c>
      <c r="O49" s="212">
        <f>ROUND(E49*N49,2)</f>
        <v>0</v>
      </c>
      <c r="P49" s="212">
        <v>0.0</v>
      </c>
      <c r="Q49" s="212">
        <f>ROUND(E49*P49,2)</f>
        <v>0</v>
      </c>
      <c r="R49" s="212"/>
      <c r="S49" s="212" t="s">
        <v>184</v>
      </c>
      <c r="T49" s="212" t="s">
        <v>184</v>
      </c>
      <c r="U49" s="212">
        <v>0.018</v>
      </c>
      <c r="V49" s="212">
        <f>ROUND(E49*U49,2)</f>
        <v>106.29</v>
      </c>
      <c r="W49" s="212"/>
      <c r="X49" s="212" t="s">
        <v>225</v>
      </c>
      <c r="Y49" s="213"/>
      <c r="Z49" s="213"/>
      <c r="AA49" s="213"/>
      <c r="AB49" s="213"/>
      <c r="AC49" s="213"/>
      <c r="AD49" s="213"/>
      <c r="AE49" s="213"/>
      <c r="AF49" s="213"/>
      <c r="AG49" s="213" t="s">
        <v>226</v>
      </c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908</v>
      </c>
      <c r="D50" s="238"/>
      <c r="E50" s="239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909</v>
      </c>
      <c r="D51" s="238"/>
      <c r="E51" s="239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35"/>
      <c r="B52" s="236"/>
      <c r="C52" s="237" t="s">
        <v>910</v>
      </c>
      <c r="D52" s="238"/>
      <c r="E52" s="239">
        <v>1015.0</v>
      </c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3"/>
      <c r="Z52" s="213"/>
      <c r="AA52" s="213"/>
      <c r="AB52" s="213"/>
      <c r="AC52" s="213"/>
      <c r="AD52" s="213"/>
      <c r="AE52" s="213"/>
      <c r="AF52" s="213"/>
      <c r="AG52" s="213" t="s">
        <v>228</v>
      </c>
      <c r="AH52" s="213">
        <v>0.0</v>
      </c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911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37" t="s">
        <v>912</v>
      </c>
      <c r="D54" s="238"/>
      <c r="E54" s="239">
        <v>2390.0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0.0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37" t="s">
        <v>913</v>
      </c>
      <c r="D55" s="238"/>
      <c r="E55" s="239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0.0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914</v>
      </c>
      <c r="D56" s="238"/>
      <c r="E56" s="239">
        <v>2500.0</v>
      </c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14">
        <v>10.0</v>
      </c>
      <c r="B57" s="215" t="s">
        <v>915</v>
      </c>
      <c r="C57" s="216" t="s">
        <v>916</v>
      </c>
      <c r="D57" s="217" t="s">
        <v>234</v>
      </c>
      <c r="E57" s="218">
        <v>1168.5</v>
      </c>
      <c r="F57" s="219">
        <v>238.0</v>
      </c>
      <c r="G57" s="220">
        <f>ROUND(E57*F57,2)</f>
        <v>278103</v>
      </c>
      <c r="H57" s="211"/>
      <c r="I57" s="212">
        <f>ROUND(E57*H57,2)</f>
        <v>0</v>
      </c>
      <c r="J57" s="211"/>
      <c r="K57" s="212">
        <f>ROUND(E57*J57,2)</f>
        <v>0</v>
      </c>
      <c r="L57" s="212">
        <v>21.0</v>
      </c>
      <c r="M57" s="212">
        <f>G57*(1+L57/100)</f>
        <v>336504.63</v>
      </c>
      <c r="N57" s="212">
        <v>0.0</v>
      </c>
      <c r="O57" s="212">
        <f>ROUND(E57*N57,2)</f>
        <v>0</v>
      </c>
      <c r="P57" s="212">
        <v>0.0</v>
      </c>
      <c r="Q57" s="212">
        <f>ROUND(E57*P57,2)</f>
        <v>0</v>
      </c>
      <c r="R57" s="212"/>
      <c r="S57" s="212" t="s">
        <v>184</v>
      </c>
      <c r="T57" s="212" t="s">
        <v>184</v>
      </c>
      <c r="U57" s="212">
        <v>0.0</v>
      </c>
      <c r="V57" s="212">
        <f>ROUND(E57*U57,2)</f>
        <v>0</v>
      </c>
      <c r="W57" s="212"/>
      <c r="X57" s="212" t="s">
        <v>225</v>
      </c>
      <c r="Y57" s="213"/>
      <c r="Z57" s="213"/>
      <c r="AA57" s="213"/>
      <c r="AB57" s="213"/>
      <c r="AC57" s="213"/>
      <c r="AD57" s="213"/>
      <c r="AE57" s="213"/>
      <c r="AF57" s="213"/>
      <c r="AG57" s="213" t="s">
        <v>226</v>
      </c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35"/>
      <c r="B58" s="236"/>
      <c r="C58" s="237" t="s">
        <v>917</v>
      </c>
      <c r="D58" s="238"/>
      <c r="E58" s="239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3"/>
      <c r="Z58" s="213"/>
      <c r="AA58" s="213"/>
      <c r="AB58" s="213"/>
      <c r="AC58" s="213"/>
      <c r="AD58" s="213"/>
      <c r="AE58" s="213"/>
      <c r="AF58" s="213"/>
      <c r="AG58" s="213" t="s">
        <v>228</v>
      </c>
      <c r="AH58" s="213">
        <v>0.0</v>
      </c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40" t="s">
        <v>236</v>
      </c>
      <c r="D59" s="241"/>
      <c r="E59" s="24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43" t="s">
        <v>918</v>
      </c>
      <c r="D60" s="241"/>
      <c r="E60" s="242">
        <v>2337.0</v>
      </c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2.0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40" t="s">
        <v>238</v>
      </c>
      <c r="D61" s="241"/>
      <c r="E61" s="24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35"/>
      <c r="B62" s="236"/>
      <c r="C62" s="237" t="s">
        <v>919</v>
      </c>
      <c r="D62" s="238"/>
      <c r="E62" s="239">
        <v>1168.5</v>
      </c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3"/>
      <c r="Z62" s="213"/>
      <c r="AA62" s="213"/>
      <c r="AB62" s="213"/>
      <c r="AC62" s="213"/>
      <c r="AD62" s="213"/>
      <c r="AE62" s="213"/>
      <c r="AF62" s="213"/>
      <c r="AG62" s="213" t="s">
        <v>228</v>
      </c>
      <c r="AH62" s="213">
        <v>0.0</v>
      </c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14">
        <v>11.0</v>
      </c>
      <c r="B63" s="215" t="s">
        <v>314</v>
      </c>
      <c r="C63" s="216" t="s">
        <v>315</v>
      </c>
      <c r="D63" s="217" t="s">
        <v>316</v>
      </c>
      <c r="E63" s="218">
        <v>39509.7248</v>
      </c>
      <c r="F63" s="219">
        <v>285.0</v>
      </c>
      <c r="G63" s="220">
        <f>ROUND(E63*F63,2)</f>
        <v>11260271.57</v>
      </c>
      <c r="H63" s="211"/>
      <c r="I63" s="212">
        <f>ROUND(E63*H63,2)</f>
        <v>0</v>
      </c>
      <c r="J63" s="211"/>
      <c r="K63" s="212">
        <f>ROUND(E63*J63,2)</f>
        <v>0</v>
      </c>
      <c r="L63" s="212">
        <v>21.0</v>
      </c>
      <c r="M63" s="212">
        <f>G63*(1+L63/100)</f>
        <v>13624928.6</v>
      </c>
      <c r="N63" s="212">
        <v>0.0</v>
      </c>
      <c r="O63" s="212">
        <f>ROUND(E63*N63,2)</f>
        <v>0</v>
      </c>
      <c r="P63" s="212">
        <v>0.0</v>
      </c>
      <c r="Q63" s="212">
        <f>ROUND(E63*P63,2)</f>
        <v>0</v>
      </c>
      <c r="R63" s="212"/>
      <c r="S63" s="212" t="s">
        <v>184</v>
      </c>
      <c r="T63" s="212" t="s">
        <v>184</v>
      </c>
      <c r="U63" s="212">
        <v>0.0</v>
      </c>
      <c r="V63" s="212">
        <f>ROUND(E63*U63,2)</f>
        <v>0</v>
      </c>
      <c r="W63" s="212"/>
      <c r="X63" s="212" t="s">
        <v>225</v>
      </c>
      <c r="Y63" s="213"/>
      <c r="Z63" s="213"/>
      <c r="AA63" s="213"/>
      <c r="AB63" s="213"/>
      <c r="AC63" s="213"/>
      <c r="AD63" s="213"/>
      <c r="AE63" s="213"/>
      <c r="AF63" s="213"/>
      <c r="AG63" s="213" t="s">
        <v>226</v>
      </c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905</v>
      </c>
      <c r="D64" s="238"/>
      <c r="E64" s="239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40" t="s">
        <v>236</v>
      </c>
      <c r="D65" s="241"/>
      <c r="E65" s="24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43" t="s">
        <v>898</v>
      </c>
      <c r="D66" s="241"/>
      <c r="E66" s="242">
        <v>19647.18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2.0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43" t="s">
        <v>899</v>
      </c>
      <c r="D67" s="241"/>
      <c r="E67" s="242">
        <v>1100.0</v>
      </c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2.0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40" t="s">
        <v>238</v>
      </c>
      <c r="D68" s="241"/>
      <c r="E68" s="24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920</v>
      </c>
      <c r="D69" s="238"/>
      <c r="E69" s="239">
        <v>39419.64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894</v>
      </c>
      <c r="D70" s="238"/>
      <c r="E70" s="239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40" t="s">
        <v>236</v>
      </c>
      <c r="D71" s="241"/>
      <c r="E71" s="24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35"/>
      <c r="B72" s="236"/>
      <c r="C72" s="243" t="s">
        <v>901</v>
      </c>
      <c r="D72" s="241"/>
      <c r="E72" s="242">
        <v>47.41</v>
      </c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3"/>
      <c r="Z72" s="213"/>
      <c r="AA72" s="213"/>
      <c r="AB72" s="213"/>
      <c r="AC72" s="213"/>
      <c r="AD72" s="213"/>
      <c r="AE72" s="213"/>
      <c r="AF72" s="213"/>
      <c r="AG72" s="213" t="s">
        <v>228</v>
      </c>
      <c r="AH72" s="213">
        <v>2.0</v>
      </c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40" t="s">
        <v>238</v>
      </c>
      <c r="D73" s="241"/>
      <c r="E73" s="24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921</v>
      </c>
      <c r="D74" s="238"/>
      <c r="E74" s="239">
        <v>90.08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>
      <c r="A75" s="196" t="s">
        <v>173</v>
      </c>
      <c r="B75" s="197" t="s">
        <v>96</v>
      </c>
      <c r="C75" s="198" t="s">
        <v>97</v>
      </c>
      <c r="D75" s="199"/>
      <c r="E75" s="200"/>
      <c r="F75" s="201"/>
      <c r="G75" s="202">
        <f>SUMIF(AG76:AG87,"&lt;&gt;NOR",G76:G87)</f>
        <v>535610.12</v>
      </c>
      <c r="H75" s="203"/>
      <c r="I75" s="203">
        <f>SUM(I76:I87)</f>
        <v>0</v>
      </c>
      <c r="J75" s="203"/>
      <c r="K75" s="203">
        <f>SUM(K76:K87)</f>
        <v>0</v>
      </c>
      <c r="L75" s="203"/>
      <c r="M75" s="203">
        <f>SUM(M76:M87)</f>
        <v>648088.2452</v>
      </c>
      <c r="N75" s="203"/>
      <c r="O75" s="203">
        <f>SUM(O76:O87)</f>
        <v>0</v>
      </c>
      <c r="P75" s="203"/>
      <c r="Q75" s="203">
        <f>SUM(Q76:Q87)</f>
        <v>0</v>
      </c>
      <c r="R75" s="203"/>
      <c r="S75" s="203"/>
      <c r="T75" s="203"/>
      <c r="U75" s="203"/>
      <c r="V75" s="203">
        <f>SUM(V76:V87)</f>
        <v>0</v>
      </c>
      <c r="W75" s="203"/>
      <c r="X75" s="203"/>
      <c r="AG75" s="184" t="s">
        <v>174</v>
      </c>
    </row>
    <row r="76" ht="12.75" customHeight="1" outlineLevel="1">
      <c r="A76" s="204">
        <v>12.0</v>
      </c>
      <c r="B76" s="205" t="s">
        <v>922</v>
      </c>
      <c r="C76" s="206" t="s">
        <v>923</v>
      </c>
      <c r="D76" s="207" t="s">
        <v>224</v>
      </c>
      <c r="E76" s="208">
        <v>2685.0</v>
      </c>
      <c r="F76" s="209">
        <v>100.0</v>
      </c>
      <c r="G76" s="210">
        <f t="shared" ref="G76:G87" si="8">ROUND(E76*F76,2)</f>
        <v>268500</v>
      </c>
      <c r="H76" s="211"/>
      <c r="I76" s="212">
        <f t="shared" ref="I76:I87" si="9">ROUND(E76*H76,2)</f>
        <v>0</v>
      </c>
      <c r="J76" s="211"/>
      <c r="K76" s="212">
        <f t="shared" ref="K76:K87" si="10">ROUND(E76*J76,2)</f>
        <v>0</v>
      </c>
      <c r="L76" s="212">
        <v>21.0</v>
      </c>
      <c r="M76" s="212">
        <f t="shared" ref="M76:M87" si="11">G76*(1+L76/100)</f>
        <v>324885</v>
      </c>
      <c r="N76" s="212">
        <v>0.0</v>
      </c>
      <c r="O76" s="212">
        <f t="shared" ref="O76:O87" si="12">ROUND(E76*N76,2)</f>
        <v>0</v>
      </c>
      <c r="P76" s="212">
        <v>0.0</v>
      </c>
      <c r="Q76" s="212">
        <f t="shared" ref="Q76:Q87" si="13">ROUND(E76*P76,2)</f>
        <v>0</v>
      </c>
      <c r="R76" s="212"/>
      <c r="S76" s="212" t="s">
        <v>178</v>
      </c>
      <c r="T76" s="212" t="s">
        <v>179</v>
      </c>
      <c r="U76" s="212">
        <v>0.0</v>
      </c>
      <c r="V76" s="212">
        <f t="shared" ref="V76:V87" si="14">ROUND(E76*U76,2)</f>
        <v>0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04">
        <v>13.0</v>
      </c>
      <c r="B77" s="205" t="s">
        <v>924</v>
      </c>
      <c r="C77" s="206" t="s">
        <v>925</v>
      </c>
      <c r="D77" s="207" t="s">
        <v>372</v>
      </c>
      <c r="E77" s="208">
        <v>66.0</v>
      </c>
      <c r="F77" s="209">
        <v>500.0</v>
      </c>
      <c r="G77" s="210">
        <f t="shared" si="8"/>
        <v>33000</v>
      </c>
      <c r="H77" s="211"/>
      <c r="I77" s="212">
        <f t="shared" si="9"/>
        <v>0</v>
      </c>
      <c r="J77" s="211"/>
      <c r="K77" s="212">
        <f t="shared" si="10"/>
        <v>0</v>
      </c>
      <c r="L77" s="212">
        <v>21.0</v>
      </c>
      <c r="M77" s="212">
        <f t="shared" si="11"/>
        <v>39930</v>
      </c>
      <c r="N77" s="212">
        <v>0.0</v>
      </c>
      <c r="O77" s="212">
        <f t="shared" si="12"/>
        <v>0</v>
      </c>
      <c r="P77" s="212">
        <v>0.0</v>
      </c>
      <c r="Q77" s="212">
        <f t="shared" si="13"/>
        <v>0</v>
      </c>
      <c r="R77" s="212"/>
      <c r="S77" s="212" t="s">
        <v>178</v>
      </c>
      <c r="T77" s="212" t="s">
        <v>179</v>
      </c>
      <c r="U77" s="212">
        <v>0.0</v>
      </c>
      <c r="V77" s="212">
        <f t="shared" si="14"/>
        <v>0</v>
      </c>
      <c r="W77" s="212"/>
      <c r="X77" s="212" t="s">
        <v>225</v>
      </c>
      <c r="Y77" s="213"/>
      <c r="Z77" s="213"/>
      <c r="AA77" s="213"/>
      <c r="AB77" s="213"/>
      <c r="AC77" s="213"/>
      <c r="AD77" s="213"/>
      <c r="AE77" s="213"/>
      <c r="AF77" s="213"/>
      <c r="AG77" s="213" t="s">
        <v>226</v>
      </c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04">
        <v>14.0</v>
      </c>
      <c r="B78" s="205" t="s">
        <v>926</v>
      </c>
      <c r="C78" s="206" t="s">
        <v>927</v>
      </c>
      <c r="D78" s="207" t="s">
        <v>372</v>
      </c>
      <c r="E78" s="208">
        <v>34.0</v>
      </c>
      <c r="F78" s="209">
        <v>700.0</v>
      </c>
      <c r="G78" s="210">
        <f t="shared" si="8"/>
        <v>23800</v>
      </c>
      <c r="H78" s="211"/>
      <c r="I78" s="212">
        <f t="shared" si="9"/>
        <v>0</v>
      </c>
      <c r="J78" s="211"/>
      <c r="K78" s="212">
        <f t="shared" si="10"/>
        <v>0</v>
      </c>
      <c r="L78" s="212">
        <v>21.0</v>
      </c>
      <c r="M78" s="212">
        <f t="shared" si="11"/>
        <v>28798</v>
      </c>
      <c r="N78" s="212">
        <v>0.0</v>
      </c>
      <c r="O78" s="212">
        <f t="shared" si="12"/>
        <v>0</v>
      </c>
      <c r="P78" s="212">
        <v>0.0</v>
      </c>
      <c r="Q78" s="212">
        <f t="shared" si="13"/>
        <v>0</v>
      </c>
      <c r="R78" s="212"/>
      <c r="S78" s="212" t="s">
        <v>178</v>
      </c>
      <c r="T78" s="212" t="s">
        <v>179</v>
      </c>
      <c r="U78" s="212">
        <v>0.0</v>
      </c>
      <c r="V78" s="212">
        <f t="shared" si="14"/>
        <v>0</v>
      </c>
      <c r="W78" s="212"/>
      <c r="X78" s="212" t="s">
        <v>225</v>
      </c>
      <c r="Y78" s="213"/>
      <c r="Z78" s="213"/>
      <c r="AA78" s="213"/>
      <c r="AB78" s="213"/>
      <c r="AC78" s="213"/>
      <c r="AD78" s="213"/>
      <c r="AE78" s="213"/>
      <c r="AF78" s="213"/>
      <c r="AG78" s="213" t="s">
        <v>226</v>
      </c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15.0</v>
      </c>
      <c r="B79" s="205" t="s">
        <v>928</v>
      </c>
      <c r="C79" s="206" t="s">
        <v>929</v>
      </c>
      <c r="D79" s="207" t="s">
        <v>372</v>
      </c>
      <c r="E79" s="208">
        <v>7.0</v>
      </c>
      <c r="F79" s="209">
        <v>900.0</v>
      </c>
      <c r="G79" s="210">
        <f t="shared" si="8"/>
        <v>6300</v>
      </c>
      <c r="H79" s="211"/>
      <c r="I79" s="212">
        <f t="shared" si="9"/>
        <v>0</v>
      </c>
      <c r="J79" s="211"/>
      <c r="K79" s="212">
        <f t="shared" si="10"/>
        <v>0</v>
      </c>
      <c r="L79" s="212">
        <v>21.0</v>
      </c>
      <c r="M79" s="212">
        <f t="shared" si="11"/>
        <v>7623</v>
      </c>
      <c r="N79" s="212">
        <v>0.0</v>
      </c>
      <c r="O79" s="212">
        <f t="shared" si="12"/>
        <v>0</v>
      </c>
      <c r="P79" s="212">
        <v>0.0</v>
      </c>
      <c r="Q79" s="212">
        <f t="shared" si="13"/>
        <v>0</v>
      </c>
      <c r="R79" s="212"/>
      <c r="S79" s="212" t="s">
        <v>178</v>
      </c>
      <c r="T79" s="212" t="s">
        <v>179</v>
      </c>
      <c r="U79" s="212">
        <v>0.0</v>
      </c>
      <c r="V79" s="212">
        <f t="shared" si="14"/>
        <v>0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04">
        <v>16.0</v>
      </c>
      <c r="B80" s="205" t="s">
        <v>930</v>
      </c>
      <c r="C80" s="206" t="s">
        <v>931</v>
      </c>
      <c r="D80" s="207" t="s">
        <v>372</v>
      </c>
      <c r="E80" s="208">
        <v>2.0</v>
      </c>
      <c r="F80" s="209">
        <v>1100.0</v>
      </c>
      <c r="G80" s="210">
        <f t="shared" si="8"/>
        <v>2200</v>
      </c>
      <c r="H80" s="211"/>
      <c r="I80" s="212">
        <f t="shared" si="9"/>
        <v>0</v>
      </c>
      <c r="J80" s="211"/>
      <c r="K80" s="212">
        <f t="shared" si="10"/>
        <v>0</v>
      </c>
      <c r="L80" s="212">
        <v>21.0</v>
      </c>
      <c r="M80" s="212">
        <f t="shared" si="11"/>
        <v>2662</v>
      </c>
      <c r="N80" s="212">
        <v>0.0</v>
      </c>
      <c r="O80" s="212">
        <f t="shared" si="12"/>
        <v>0</v>
      </c>
      <c r="P80" s="212">
        <v>0.0</v>
      </c>
      <c r="Q80" s="212">
        <f t="shared" si="13"/>
        <v>0</v>
      </c>
      <c r="R80" s="212"/>
      <c r="S80" s="212" t="s">
        <v>178</v>
      </c>
      <c r="T80" s="212" t="s">
        <v>179</v>
      </c>
      <c r="U80" s="212">
        <v>0.0</v>
      </c>
      <c r="V80" s="212">
        <f t="shared" si="14"/>
        <v>0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04">
        <v>17.0</v>
      </c>
      <c r="B81" s="205" t="s">
        <v>932</v>
      </c>
      <c r="C81" s="206" t="s">
        <v>933</v>
      </c>
      <c r="D81" s="207" t="s">
        <v>372</v>
      </c>
      <c r="E81" s="208">
        <v>1.0</v>
      </c>
      <c r="F81" s="209">
        <v>1400.0</v>
      </c>
      <c r="G81" s="210">
        <f t="shared" si="8"/>
        <v>1400</v>
      </c>
      <c r="H81" s="211"/>
      <c r="I81" s="212">
        <f t="shared" si="9"/>
        <v>0</v>
      </c>
      <c r="J81" s="211"/>
      <c r="K81" s="212">
        <f t="shared" si="10"/>
        <v>0</v>
      </c>
      <c r="L81" s="212">
        <v>21.0</v>
      </c>
      <c r="M81" s="212">
        <f t="shared" si="11"/>
        <v>1694</v>
      </c>
      <c r="N81" s="212">
        <v>0.0</v>
      </c>
      <c r="O81" s="212">
        <f t="shared" si="12"/>
        <v>0</v>
      </c>
      <c r="P81" s="212">
        <v>0.0</v>
      </c>
      <c r="Q81" s="212">
        <f t="shared" si="13"/>
        <v>0</v>
      </c>
      <c r="R81" s="212"/>
      <c r="S81" s="212" t="s">
        <v>178</v>
      </c>
      <c r="T81" s="212" t="s">
        <v>179</v>
      </c>
      <c r="U81" s="212">
        <v>0.0</v>
      </c>
      <c r="V81" s="212">
        <f t="shared" si="14"/>
        <v>0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04">
        <v>18.0</v>
      </c>
      <c r="B82" s="205" t="s">
        <v>934</v>
      </c>
      <c r="C82" s="206" t="s">
        <v>935</v>
      </c>
      <c r="D82" s="207" t="s">
        <v>372</v>
      </c>
      <c r="E82" s="208">
        <v>33.0</v>
      </c>
      <c r="F82" s="209">
        <v>900.0</v>
      </c>
      <c r="G82" s="210">
        <f t="shared" si="8"/>
        <v>29700</v>
      </c>
      <c r="H82" s="211"/>
      <c r="I82" s="212">
        <f t="shared" si="9"/>
        <v>0</v>
      </c>
      <c r="J82" s="211"/>
      <c r="K82" s="212">
        <f t="shared" si="10"/>
        <v>0</v>
      </c>
      <c r="L82" s="212">
        <v>21.0</v>
      </c>
      <c r="M82" s="212">
        <f t="shared" si="11"/>
        <v>35937</v>
      </c>
      <c r="N82" s="212">
        <v>0.0</v>
      </c>
      <c r="O82" s="212">
        <f t="shared" si="12"/>
        <v>0</v>
      </c>
      <c r="P82" s="212">
        <v>0.0</v>
      </c>
      <c r="Q82" s="212">
        <f t="shared" si="13"/>
        <v>0</v>
      </c>
      <c r="R82" s="212"/>
      <c r="S82" s="212" t="s">
        <v>178</v>
      </c>
      <c r="T82" s="212" t="s">
        <v>179</v>
      </c>
      <c r="U82" s="212">
        <v>0.0</v>
      </c>
      <c r="V82" s="212">
        <f t="shared" si="14"/>
        <v>0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04">
        <v>19.0</v>
      </c>
      <c r="B83" s="205" t="s">
        <v>936</v>
      </c>
      <c r="C83" s="206" t="s">
        <v>937</v>
      </c>
      <c r="D83" s="207" t="s">
        <v>372</v>
      </c>
      <c r="E83" s="208">
        <v>14.0</v>
      </c>
      <c r="F83" s="209">
        <v>1000.0</v>
      </c>
      <c r="G83" s="210">
        <f t="shared" si="8"/>
        <v>14000</v>
      </c>
      <c r="H83" s="211"/>
      <c r="I83" s="212">
        <f t="shared" si="9"/>
        <v>0</v>
      </c>
      <c r="J83" s="211"/>
      <c r="K83" s="212">
        <f t="shared" si="10"/>
        <v>0</v>
      </c>
      <c r="L83" s="212">
        <v>21.0</v>
      </c>
      <c r="M83" s="212">
        <f t="shared" si="11"/>
        <v>16940</v>
      </c>
      <c r="N83" s="212">
        <v>0.0</v>
      </c>
      <c r="O83" s="212">
        <f t="shared" si="12"/>
        <v>0</v>
      </c>
      <c r="P83" s="212">
        <v>0.0</v>
      </c>
      <c r="Q83" s="212">
        <f t="shared" si="13"/>
        <v>0</v>
      </c>
      <c r="R83" s="212"/>
      <c r="S83" s="212" t="s">
        <v>178</v>
      </c>
      <c r="T83" s="212" t="s">
        <v>179</v>
      </c>
      <c r="U83" s="212">
        <v>0.0</v>
      </c>
      <c r="V83" s="212">
        <f t="shared" si="14"/>
        <v>0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04">
        <v>20.0</v>
      </c>
      <c r="B84" s="205" t="s">
        <v>938</v>
      </c>
      <c r="C84" s="206" t="s">
        <v>939</v>
      </c>
      <c r="D84" s="207" t="s">
        <v>372</v>
      </c>
      <c r="E84" s="208">
        <v>3.0</v>
      </c>
      <c r="F84" s="209">
        <v>1400.0</v>
      </c>
      <c r="G84" s="210">
        <f t="shared" si="8"/>
        <v>4200</v>
      </c>
      <c r="H84" s="211"/>
      <c r="I84" s="212">
        <f t="shared" si="9"/>
        <v>0</v>
      </c>
      <c r="J84" s="211"/>
      <c r="K84" s="212">
        <f t="shared" si="10"/>
        <v>0</v>
      </c>
      <c r="L84" s="212">
        <v>21.0</v>
      </c>
      <c r="M84" s="212">
        <f t="shared" si="11"/>
        <v>5082</v>
      </c>
      <c r="N84" s="212">
        <v>0.0</v>
      </c>
      <c r="O84" s="212">
        <f t="shared" si="12"/>
        <v>0</v>
      </c>
      <c r="P84" s="212">
        <v>0.0</v>
      </c>
      <c r="Q84" s="212">
        <f t="shared" si="13"/>
        <v>0</v>
      </c>
      <c r="R84" s="212"/>
      <c r="S84" s="212" t="s">
        <v>178</v>
      </c>
      <c r="T84" s="212" t="s">
        <v>179</v>
      </c>
      <c r="U84" s="212">
        <v>0.0</v>
      </c>
      <c r="V84" s="212">
        <f t="shared" si="14"/>
        <v>0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04">
        <v>21.0</v>
      </c>
      <c r="B85" s="205" t="s">
        <v>940</v>
      </c>
      <c r="C85" s="206" t="s">
        <v>941</v>
      </c>
      <c r="D85" s="207" t="s">
        <v>234</v>
      </c>
      <c r="E85" s="208">
        <v>94.0</v>
      </c>
      <c r="F85" s="209">
        <v>1400.0</v>
      </c>
      <c r="G85" s="210">
        <f t="shared" si="8"/>
        <v>131600</v>
      </c>
      <c r="H85" s="211"/>
      <c r="I85" s="212">
        <f t="shared" si="9"/>
        <v>0</v>
      </c>
      <c r="J85" s="211"/>
      <c r="K85" s="212">
        <f t="shared" si="10"/>
        <v>0</v>
      </c>
      <c r="L85" s="212">
        <v>21.0</v>
      </c>
      <c r="M85" s="212">
        <f t="shared" si="11"/>
        <v>159236</v>
      </c>
      <c r="N85" s="212">
        <v>0.0</v>
      </c>
      <c r="O85" s="212">
        <f t="shared" si="12"/>
        <v>0</v>
      </c>
      <c r="P85" s="212">
        <v>0.0</v>
      </c>
      <c r="Q85" s="212">
        <f t="shared" si="13"/>
        <v>0</v>
      </c>
      <c r="R85" s="212"/>
      <c r="S85" s="212" t="s">
        <v>178</v>
      </c>
      <c r="T85" s="212" t="s">
        <v>179</v>
      </c>
      <c r="U85" s="212">
        <v>0.0</v>
      </c>
      <c r="V85" s="212">
        <f t="shared" si="14"/>
        <v>0</v>
      </c>
      <c r="W85" s="212"/>
      <c r="X85" s="212" t="s">
        <v>225</v>
      </c>
      <c r="Y85" s="213"/>
      <c r="Z85" s="213"/>
      <c r="AA85" s="213"/>
      <c r="AB85" s="213"/>
      <c r="AC85" s="213"/>
      <c r="AD85" s="213"/>
      <c r="AE85" s="213"/>
      <c r="AF85" s="213"/>
      <c r="AG85" s="213" t="s">
        <v>226</v>
      </c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04">
        <v>22.0</v>
      </c>
      <c r="B86" s="205" t="s">
        <v>942</v>
      </c>
      <c r="C86" s="206" t="s">
        <v>943</v>
      </c>
      <c r="D86" s="207" t="s">
        <v>316</v>
      </c>
      <c r="E86" s="208">
        <v>57.0</v>
      </c>
      <c r="F86" s="209">
        <v>193.16</v>
      </c>
      <c r="G86" s="210">
        <f t="shared" si="8"/>
        <v>11010.12</v>
      </c>
      <c r="H86" s="211"/>
      <c r="I86" s="212">
        <f t="shared" si="9"/>
        <v>0</v>
      </c>
      <c r="J86" s="211"/>
      <c r="K86" s="212">
        <f t="shared" si="10"/>
        <v>0</v>
      </c>
      <c r="L86" s="212">
        <v>21.0</v>
      </c>
      <c r="M86" s="212">
        <f t="shared" si="11"/>
        <v>13322.2452</v>
      </c>
      <c r="N86" s="212">
        <v>0.0</v>
      </c>
      <c r="O86" s="212">
        <f t="shared" si="12"/>
        <v>0</v>
      </c>
      <c r="P86" s="212">
        <v>0.0</v>
      </c>
      <c r="Q86" s="212">
        <f t="shared" si="13"/>
        <v>0</v>
      </c>
      <c r="R86" s="212"/>
      <c r="S86" s="212" t="s">
        <v>178</v>
      </c>
      <c r="T86" s="212" t="s">
        <v>179</v>
      </c>
      <c r="U86" s="212">
        <v>0.0</v>
      </c>
      <c r="V86" s="212">
        <f t="shared" si="14"/>
        <v>0</v>
      </c>
      <c r="W86" s="212"/>
      <c r="X86" s="212" t="s">
        <v>225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226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04">
        <v>23.0</v>
      </c>
      <c r="B87" s="205" t="s">
        <v>944</v>
      </c>
      <c r="C87" s="206" t="s">
        <v>945</v>
      </c>
      <c r="D87" s="207" t="s">
        <v>316</v>
      </c>
      <c r="E87" s="208">
        <v>9.9</v>
      </c>
      <c r="F87" s="209">
        <v>1000.0</v>
      </c>
      <c r="G87" s="210">
        <f t="shared" si="8"/>
        <v>9900</v>
      </c>
      <c r="H87" s="211"/>
      <c r="I87" s="212">
        <f t="shared" si="9"/>
        <v>0</v>
      </c>
      <c r="J87" s="211"/>
      <c r="K87" s="212">
        <f t="shared" si="10"/>
        <v>0</v>
      </c>
      <c r="L87" s="212">
        <v>21.0</v>
      </c>
      <c r="M87" s="212">
        <f t="shared" si="11"/>
        <v>11979</v>
      </c>
      <c r="N87" s="212">
        <v>0.0</v>
      </c>
      <c r="O87" s="212">
        <f t="shared" si="12"/>
        <v>0</v>
      </c>
      <c r="P87" s="212">
        <v>0.0</v>
      </c>
      <c r="Q87" s="212">
        <f t="shared" si="13"/>
        <v>0</v>
      </c>
      <c r="R87" s="212"/>
      <c r="S87" s="212" t="s">
        <v>178</v>
      </c>
      <c r="T87" s="212" t="s">
        <v>179</v>
      </c>
      <c r="U87" s="212">
        <v>0.0</v>
      </c>
      <c r="V87" s="212">
        <f t="shared" si="14"/>
        <v>0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>
      <c r="A88" s="196" t="s">
        <v>173</v>
      </c>
      <c r="B88" s="197" t="s">
        <v>98</v>
      </c>
      <c r="C88" s="198" t="s">
        <v>99</v>
      </c>
      <c r="D88" s="199"/>
      <c r="E88" s="200"/>
      <c r="F88" s="201"/>
      <c r="G88" s="202">
        <f>SUMIF(AG89:AG92,"&lt;&gt;NOR",G89:G92)</f>
        <v>635492</v>
      </c>
      <c r="H88" s="203"/>
      <c r="I88" s="203">
        <f>SUM(I89:I92)</f>
        <v>0</v>
      </c>
      <c r="J88" s="203"/>
      <c r="K88" s="203">
        <f>SUM(K89:K92)</f>
        <v>0</v>
      </c>
      <c r="L88" s="203"/>
      <c r="M88" s="203">
        <f>SUM(M89:M92)</f>
        <v>768945.32</v>
      </c>
      <c r="N88" s="203"/>
      <c r="O88" s="203">
        <f>SUM(O89:O92)</f>
        <v>1158.07</v>
      </c>
      <c r="P88" s="203"/>
      <c r="Q88" s="203">
        <f>SUM(Q89:Q92)</f>
        <v>0</v>
      </c>
      <c r="R88" s="203"/>
      <c r="S88" s="203"/>
      <c r="T88" s="203"/>
      <c r="U88" s="203"/>
      <c r="V88" s="203">
        <f>SUM(V89:V92)</f>
        <v>705.25</v>
      </c>
      <c r="W88" s="203"/>
      <c r="X88" s="203"/>
      <c r="AG88" s="184" t="s">
        <v>174</v>
      </c>
    </row>
    <row r="89" ht="12.75" customHeight="1" outlineLevel="1">
      <c r="A89" s="214">
        <v>24.0</v>
      </c>
      <c r="B89" s="215" t="s">
        <v>507</v>
      </c>
      <c r="C89" s="216" t="s">
        <v>508</v>
      </c>
      <c r="D89" s="217" t="s">
        <v>234</v>
      </c>
      <c r="E89" s="218">
        <v>650.0</v>
      </c>
      <c r="F89" s="219">
        <v>977.68</v>
      </c>
      <c r="G89" s="220">
        <f>ROUND(E89*F89,2)</f>
        <v>635492</v>
      </c>
      <c r="H89" s="211"/>
      <c r="I89" s="212">
        <f>ROUND(E89*H89,2)</f>
        <v>0</v>
      </c>
      <c r="J89" s="211"/>
      <c r="K89" s="212">
        <f>ROUND(E89*J89,2)</f>
        <v>0</v>
      </c>
      <c r="L89" s="212">
        <v>21.0</v>
      </c>
      <c r="M89" s="212">
        <f>G89*(1+L89/100)</f>
        <v>768945.32</v>
      </c>
      <c r="N89" s="212">
        <v>1.78164</v>
      </c>
      <c r="O89" s="212">
        <f>ROUND(E89*N89,2)</f>
        <v>1158.07</v>
      </c>
      <c r="P89" s="212">
        <v>0.0</v>
      </c>
      <c r="Q89" s="212">
        <f>ROUND(E89*P89,2)</f>
        <v>0</v>
      </c>
      <c r="R89" s="212"/>
      <c r="S89" s="212" t="s">
        <v>184</v>
      </c>
      <c r="T89" s="212" t="s">
        <v>184</v>
      </c>
      <c r="U89" s="212">
        <v>1.085</v>
      </c>
      <c r="V89" s="212">
        <f>ROUND(E89*U89,2)</f>
        <v>705.25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35"/>
      <c r="B90" s="236"/>
      <c r="C90" s="237" t="s">
        <v>946</v>
      </c>
      <c r="D90" s="238"/>
      <c r="E90" s="239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3"/>
      <c r="Z90" s="213"/>
      <c r="AA90" s="213"/>
      <c r="AB90" s="213"/>
      <c r="AC90" s="213"/>
      <c r="AD90" s="213"/>
      <c r="AE90" s="213"/>
      <c r="AF90" s="213"/>
      <c r="AG90" s="213" t="s">
        <v>228</v>
      </c>
      <c r="AH90" s="213">
        <v>0.0</v>
      </c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37" t="s">
        <v>947</v>
      </c>
      <c r="D91" s="238"/>
      <c r="E91" s="239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>
        <v>0.0</v>
      </c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948</v>
      </c>
      <c r="D92" s="238"/>
      <c r="E92" s="239">
        <v>650.0</v>
      </c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>
      <c r="A93" s="196" t="s">
        <v>173</v>
      </c>
      <c r="B93" s="197" t="s">
        <v>102</v>
      </c>
      <c r="C93" s="198" t="s">
        <v>103</v>
      </c>
      <c r="D93" s="199"/>
      <c r="E93" s="200"/>
      <c r="F93" s="201"/>
      <c r="G93" s="202">
        <f>SUMIF(AG94:AG99,"&lt;&gt;NOR",G94:G99)</f>
        <v>784682.25</v>
      </c>
      <c r="H93" s="203"/>
      <c r="I93" s="203">
        <f>SUM(I94:I99)</f>
        <v>0</v>
      </c>
      <c r="J93" s="203"/>
      <c r="K93" s="203">
        <f>SUM(K94:K99)</f>
        <v>0</v>
      </c>
      <c r="L93" s="203"/>
      <c r="M93" s="203">
        <f>SUM(M94:M99)</f>
        <v>949465.5225</v>
      </c>
      <c r="N93" s="203"/>
      <c r="O93" s="203">
        <f>SUM(O94:O99)</f>
        <v>2067.55</v>
      </c>
      <c r="P93" s="203"/>
      <c r="Q93" s="203">
        <f>SUM(Q94:Q99)</f>
        <v>0</v>
      </c>
      <c r="R93" s="203"/>
      <c r="S93" s="203"/>
      <c r="T93" s="203"/>
      <c r="U93" s="203"/>
      <c r="V93" s="203">
        <f>SUM(V94:V99)</f>
        <v>78.32</v>
      </c>
      <c r="W93" s="203"/>
      <c r="X93" s="203"/>
      <c r="AG93" s="184" t="s">
        <v>174</v>
      </c>
    </row>
    <row r="94" ht="12.75" customHeight="1" outlineLevel="1">
      <c r="A94" s="214">
        <v>25.0</v>
      </c>
      <c r="B94" s="215" t="s">
        <v>949</v>
      </c>
      <c r="C94" s="216" t="s">
        <v>950</v>
      </c>
      <c r="D94" s="217" t="s">
        <v>224</v>
      </c>
      <c r="E94" s="218">
        <v>3405.0</v>
      </c>
      <c r="F94" s="219">
        <v>230.45</v>
      </c>
      <c r="G94" s="220">
        <f>ROUND(E94*F94,2)</f>
        <v>784682.25</v>
      </c>
      <c r="H94" s="211"/>
      <c r="I94" s="212">
        <f>ROUND(E94*H94,2)</f>
        <v>0</v>
      </c>
      <c r="J94" s="211"/>
      <c r="K94" s="212">
        <f>ROUND(E94*J94,2)</f>
        <v>0</v>
      </c>
      <c r="L94" s="212">
        <v>21.0</v>
      </c>
      <c r="M94" s="212">
        <f>G94*(1+L94/100)</f>
        <v>949465.5225</v>
      </c>
      <c r="N94" s="212">
        <v>0.60721</v>
      </c>
      <c r="O94" s="212">
        <f>ROUND(E94*N94,2)</f>
        <v>2067.55</v>
      </c>
      <c r="P94" s="212">
        <v>0.0</v>
      </c>
      <c r="Q94" s="212">
        <f>ROUND(E94*P94,2)</f>
        <v>0</v>
      </c>
      <c r="R94" s="212"/>
      <c r="S94" s="212" t="s">
        <v>184</v>
      </c>
      <c r="T94" s="212" t="s">
        <v>184</v>
      </c>
      <c r="U94" s="212">
        <v>0.023</v>
      </c>
      <c r="V94" s="212">
        <f>ROUND(E94*U94,2)</f>
        <v>78.32</v>
      </c>
      <c r="W94" s="212"/>
      <c r="X94" s="212" t="s">
        <v>225</v>
      </c>
      <c r="Y94" s="213"/>
      <c r="Z94" s="213"/>
      <c r="AA94" s="213"/>
      <c r="AB94" s="213"/>
      <c r="AC94" s="213"/>
      <c r="AD94" s="213"/>
      <c r="AE94" s="213"/>
      <c r="AF94" s="213"/>
      <c r="AG94" s="213" t="s">
        <v>226</v>
      </c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35"/>
      <c r="B95" s="236"/>
      <c r="C95" s="237" t="s">
        <v>951</v>
      </c>
      <c r="D95" s="238"/>
      <c r="E95" s="239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3"/>
      <c r="Z95" s="213"/>
      <c r="AA95" s="213"/>
      <c r="AB95" s="213"/>
      <c r="AC95" s="213"/>
      <c r="AD95" s="213"/>
      <c r="AE95" s="213"/>
      <c r="AF95" s="213"/>
      <c r="AG95" s="213" t="s">
        <v>228</v>
      </c>
      <c r="AH95" s="213">
        <v>0.0</v>
      </c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35"/>
      <c r="B96" s="236"/>
      <c r="C96" s="237" t="s">
        <v>909</v>
      </c>
      <c r="D96" s="238"/>
      <c r="E96" s="239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3"/>
      <c r="Z96" s="213"/>
      <c r="AA96" s="213"/>
      <c r="AB96" s="213"/>
      <c r="AC96" s="213"/>
      <c r="AD96" s="213"/>
      <c r="AE96" s="213"/>
      <c r="AF96" s="213"/>
      <c r="AG96" s="213" t="s">
        <v>228</v>
      </c>
      <c r="AH96" s="213">
        <v>0.0</v>
      </c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35"/>
      <c r="B97" s="236"/>
      <c r="C97" s="237" t="s">
        <v>910</v>
      </c>
      <c r="D97" s="238"/>
      <c r="E97" s="239">
        <v>1015.0</v>
      </c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3"/>
      <c r="Z97" s="213"/>
      <c r="AA97" s="213"/>
      <c r="AB97" s="213"/>
      <c r="AC97" s="213"/>
      <c r="AD97" s="213"/>
      <c r="AE97" s="213"/>
      <c r="AF97" s="213"/>
      <c r="AG97" s="213" t="s">
        <v>228</v>
      </c>
      <c r="AH97" s="213">
        <v>0.0</v>
      </c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35"/>
      <c r="B98" s="236"/>
      <c r="C98" s="237" t="s">
        <v>911</v>
      </c>
      <c r="D98" s="238"/>
      <c r="E98" s="239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3"/>
      <c r="Z98" s="213"/>
      <c r="AA98" s="213"/>
      <c r="AB98" s="213"/>
      <c r="AC98" s="213"/>
      <c r="AD98" s="213"/>
      <c r="AE98" s="213"/>
      <c r="AF98" s="213"/>
      <c r="AG98" s="213" t="s">
        <v>228</v>
      </c>
      <c r="AH98" s="213">
        <v>0.0</v>
      </c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912</v>
      </c>
      <c r="D99" s="238"/>
      <c r="E99" s="239">
        <v>2390.0</v>
      </c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>
      <c r="A100" s="196" t="s">
        <v>173</v>
      </c>
      <c r="B100" s="197" t="s">
        <v>108</v>
      </c>
      <c r="C100" s="198" t="s">
        <v>109</v>
      </c>
      <c r="D100" s="199"/>
      <c r="E100" s="200"/>
      <c r="F100" s="201"/>
      <c r="G100" s="202">
        <f>SUMIF(AG101,"&lt;&gt;NOR",G101)</f>
        <v>15581.84</v>
      </c>
      <c r="H100" s="203"/>
      <c r="I100" s="203">
        <f>SUM(I101)</f>
        <v>0</v>
      </c>
      <c r="J100" s="203"/>
      <c r="K100" s="203">
        <f>SUM(K101)</f>
        <v>0</v>
      </c>
      <c r="L100" s="203"/>
      <c r="M100" s="203">
        <f>SUM(M101)</f>
        <v>18854.0264</v>
      </c>
      <c r="N100" s="203"/>
      <c r="O100" s="203">
        <f>SUM(O101)</f>
        <v>0</v>
      </c>
      <c r="P100" s="203"/>
      <c r="Q100" s="203">
        <f>SUM(Q101)</f>
        <v>0</v>
      </c>
      <c r="R100" s="203"/>
      <c r="S100" s="203"/>
      <c r="T100" s="203"/>
      <c r="U100" s="203"/>
      <c r="V100" s="203">
        <f>SUM(V101)</f>
        <v>0</v>
      </c>
      <c r="W100" s="203"/>
      <c r="X100" s="203"/>
      <c r="AG100" s="184" t="s">
        <v>174</v>
      </c>
    </row>
    <row r="101" ht="12.75" customHeight="1" outlineLevel="1">
      <c r="A101" s="204">
        <v>26.0</v>
      </c>
      <c r="B101" s="205" t="s">
        <v>370</v>
      </c>
      <c r="C101" s="206" t="s">
        <v>952</v>
      </c>
      <c r="D101" s="207" t="s">
        <v>372</v>
      </c>
      <c r="E101" s="208">
        <v>4.0</v>
      </c>
      <c r="F101" s="209">
        <v>3895.46</v>
      </c>
      <c r="G101" s="210">
        <f>ROUND(E101*F101,2)</f>
        <v>15581.84</v>
      </c>
      <c r="H101" s="211"/>
      <c r="I101" s="212">
        <f>ROUND(E101*H101,2)</f>
        <v>0</v>
      </c>
      <c r="J101" s="211"/>
      <c r="K101" s="212">
        <f>ROUND(E101*J101,2)</f>
        <v>0</v>
      </c>
      <c r="L101" s="212">
        <v>21.0</v>
      </c>
      <c r="M101" s="212">
        <f>G101*(1+L101/100)</f>
        <v>18854.0264</v>
      </c>
      <c r="N101" s="212">
        <v>0.0</v>
      </c>
      <c r="O101" s="212">
        <f>ROUND(E101*N101,2)</f>
        <v>0</v>
      </c>
      <c r="P101" s="212">
        <v>0.0</v>
      </c>
      <c r="Q101" s="212">
        <f>ROUND(E101*P101,2)</f>
        <v>0</v>
      </c>
      <c r="R101" s="212"/>
      <c r="S101" s="212" t="s">
        <v>178</v>
      </c>
      <c r="T101" s="212" t="s">
        <v>179</v>
      </c>
      <c r="U101" s="212">
        <v>0.0</v>
      </c>
      <c r="V101" s="212">
        <f>ROUND(E101*U101,2)</f>
        <v>0</v>
      </c>
      <c r="W101" s="212"/>
      <c r="X101" s="212" t="s">
        <v>225</v>
      </c>
      <c r="Y101" s="213"/>
      <c r="Z101" s="213"/>
      <c r="AA101" s="213"/>
      <c r="AB101" s="213"/>
      <c r="AC101" s="213"/>
      <c r="AD101" s="213"/>
      <c r="AE101" s="213"/>
      <c r="AF101" s="213"/>
      <c r="AG101" s="213" t="s">
        <v>226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>
      <c r="A102" s="196" t="s">
        <v>173</v>
      </c>
      <c r="B102" s="197" t="s">
        <v>114</v>
      </c>
      <c r="C102" s="198" t="s">
        <v>115</v>
      </c>
      <c r="D102" s="199"/>
      <c r="E102" s="200"/>
      <c r="F102" s="201"/>
      <c r="G102" s="202">
        <f>SUMIF(AG103:AG105,"&lt;&gt;NOR",G103:G105)</f>
        <v>7828.85</v>
      </c>
      <c r="H102" s="203"/>
      <c r="I102" s="203">
        <f>SUM(I103:I105)</f>
        <v>0</v>
      </c>
      <c r="J102" s="203"/>
      <c r="K102" s="203">
        <f>SUM(K103:K105)</f>
        <v>0</v>
      </c>
      <c r="L102" s="203"/>
      <c r="M102" s="203">
        <f>SUM(M103:M105)</f>
        <v>9472.9085</v>
      </c>
      <c r="N102" s="203"/>
      <c r="O102" s="203">
        <f>SUM(O103:O105)</f>
        <v>0</v>
      </c>
      <c r="P102" s="203"/>
      <c r="Q102" s="203">
        <f>SUM(Q103:Q105)</f>
        <v>6.58</v>
      </c>
      <c r="R102" s="203"/>
      <c r="S102" s="203"/>
      <c r="T102" s="203"/>
      <c r="U102" s="203"/>
      <c r="V102" s="203">
        <f>SUM(V103:V105)</f>
        <v>0</v>
      </c>
      <c r="W102" s="203"/>
      <c r="X102" s="203"/>
      <c r="AG102" s="184" t="s">
        <v>174</v>
      </c>
    </row>
    <row r="103" ht="12.75" customHeight="1" outlineLevel="1">
      <c r="A103" s="214">
        <v>27.0</v>
      </c>
      <c r="B103" s="215" t="s">
        <v>572</v>
      </c>
      <c r="C103" s="216" t="s">
        <v>953</v>
      </c>
      <c r="D103" s="217" t="s">
        <v>251</v>
      </c>
      <c r="E103" s="218">
        <v>65.75</v>
      </c>
      <c r="F103" s="219">
        <v>119.07</v>
      </c>
      <c r="G103" s="220">
        <f>ROUND(E103*F103,2)</f>
        <v>7828.85</v>
      </c>
      <c r="H103" s="211"/>
      <c r="I103" s="212">
        <f>ROUND(E103*H103,2)</f>
        <v>0</v>
      </c>
      <c r="J103" s="211"/>
      <c r="K103" s="212">
        <f>ROUND(E103*J103,2)</f>
        <v>0</v>
      </c>
      <c r="L103" s="212">
        <v>21.0</v>
      </c>
      <c r="M103" s="212">
        <f>G103*(1+L103/100)</f>
        <v>9472.9085</v>
      </c>
      <c r="N103" s="212">
        <v>0.0</v>
      </c>
      <c r="O103" s="212">
        <f>ROUND(E103*N103,2)</f>
        <v>0</v>
      </c>
      <c r="P103" s="212">
        <v>0.1</v>
      </c>
      <c r="Q103" s="212">
        <f>ROUND(E103*P103,2)</f>
        <v>6.58</v>
      </c>
      <c r="R103" s="212"/>
      <c r="S103" s="212" t="s">
        <v>178</v>
      </c>
      <c r="T103" s="212" t="s">
        <v>179</v>
      </c>
      <c r="U103" s="212">
        <v>0.0</v>
      </c>
      <c r="V103" s="212">
        <f>ROUND(E103*U103,2)</f>
        <v>0</v>
      </c>
      <c r="W103" s="212"/>
      <c r="X103" s="212" t="s">
        <v>225</v>
      </c>
      <c r="Y103" s="213"/>
      <c r="Z103" s="213"/>
      <c r="AA103" s="213"/>
      <c r="AB103" s="213"/>
      <c r="AC103" s="213"/>
      <c r="AD103" s="213"/>
      <c r="AE103" s="213"/>
      <c r="AF103" s="213"/>
      <c r="AG103" s="213" t="s">
        <v>226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35"/>
      <c r="B104" s="236"/>
      <c r="C104" s="237" t="s">
        <v>954</v>
      </c>
      <c r="D104" s="238"/>
      <c r="E104" s="239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3"/>
      <c r="Z104" s="213"/>
      <c r="AA104" s="213"/>
      <c r="AB104" s="213"/>
      <c r="AC104" s="213"/>
      <c r="AD104" s="213"/>
      <c r="AE104" s="213"/>
      <c r="AF104" s="213"/>
      <c r="AG104" s="213" t="s">
        <v>228</v>
      </c>
      <c r="AH104" s="213">
        <v>0.0</v>
      </c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35"/>
      <c r="B105" s="236"/>
      <c r="C105" s="237" t="s">
        <v>955</v>
      </c>
      <c r="D105" s="238"/>
      <c r="E105" s="239">
        <v>65.75</v>
      </c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3"/>
      <c r="Z105" s="213"/>
      <c r="AA105" s="213"/>
      <c r="AB105" s="213"/>
      <c r="AC105" s="213"/>
      <c r="AD105" s="213"/>
      <c r="AE105" s="213"/>
      <c r="AF105" s="213"/>
      <c r="AG105" s="213" t="s">
        <v>228</v>
      </c>
      <c r="AH105" s="213">
        <v>0.0</v>
      </c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>
      <c r="A106" s="196" t="s">
        <v>173</v>
      </c>
      <c r="B106" s="197" t="s">
        <v>122</v>
      </c>
      <c r="C106" s="198" t="s">
        <v>123</v>
      </c>
      <c r="D106" s="199"/>
      <c r="E106" s="200"/>
      <c r="F106" s="201"/>
      <c r="G106" s="202">
        <f>SUMIF(AG107:AG110,"&lt;&gt;NOR",G107:G110)</f>
        <v>86382</v>
      </c>
      <c r="H106" s="203"/>
      <c r="I106" s="203">
        <f>SUM(I107:I110)</f>
        <v>0</v>
      </c>
      <c r="J106" s="203"/>
      <c r="K106" s="203">
        <f>SUM(K107:K110)</f>
        <v>0</v>
      </c>
      <c r="L106" s="203"/>
      <c r="M106" s="203">
        <f>SUM(M107:M110)</f>
        <v>104522.22</v>
      </c>
      <c r="N106" s="203"/>
      <c r="O106" s="203">
        <f>SUM(O107:O110)</f>
        <v>0</v>
      </c>
      <c r="P106" s="203"/>
      <c r="Q106" s="203">
        <f>SUM(Q107:Q110)</f>
        <v>0</v>
      </c>
      <c r="R106" s="203"/>
      <c r="S106" s="203"/>
      <c r="T106" s="203"/>
      <c r="U106" s="203"/>
      <c r="V106" s="203">
        <f>SUM(V107:V110)</f>
        <v>64.51</v>
      </c>
      <c r="W106" s="203"/>
      <c r="X106" s="203"/>
      <c r="AG106" s="184" t="s">
        <v>174</v>
      </c>
    </row>
    <row r="107" ht="12.75" customHeight="1" outlineLevel="1">
      <c r="A107" s="214">
        <v>28.0</v>
      </c>
      <c r="B107" s="215" t="s">
        <v>956</v>
      </c>
      <c r="C107" s="216" t="s">
        <v>957</v>
      </c>
      <c r="D107" s="217" t="s">
        <v>316</v>
      </c>
      <c r="E107" s="218">
        <v>3225.61605</v>
      </c>
      <c r="F107" s="219">
        <v>26.78</v>
      </c>
      <c r="G107" s="220">
        <f>ROUND(E107*F107,2)</f>
        <v>86382</v>
      </c>
      <c r="H107" s="211"/>
      <c r="I107" s="212">
        <f>ROUND(E107*H107,2)</f>
        <v>0</v>
      </c>
      <c r="J107" s="211"/>
      <c r="K107" s="212">
        <f>ROUND(E107*J107,2)</f>
        <v>0</v>
      </c>
      <c r="L107" s="212">
        <v>21.0</v>
      </c>
      <c r="M107" s="212">
        <f>G107*(1+L107/100)</f>
        <v>104522.22</v>
      </c>
      <c r="N107" s="212">
        <v>0.0</v>
      </c>
      <c r="O107" s="212">
        <f>ROUND(E107*N107,2)</f>
        <v>0</v>
      </c>
      <c r="P107" s="212">
        <v>0.0</v>
      </c>
      <c r="Q107" s="212">
        <f>ROUND(E107*P107,2)</f>
        <v>0</v>
      </c>
      <c r="R107" s="212"/>
      <c r="S107" s="212" t="s">
        <v>184</v>
      </c>
      <c r="T107" s="212" t="s">
        <v>184</v>
      </c>
      <c r="U107" s="212">
        <v>0.02</v>
      </c>
      <c r="V107" s="212">
        <f>ROUND(E107*U107,2)</f>
        <v>64.51</v>
      </c>
      <c r="W107" s="212"/>
      <c r="X107" s="212" t="s">
        <v>397</v>
      </c>
      <c r="Y107" s="213"/>
      <c r="Z107" s="213"/>
      <c r="AA107" s="213"/>
      <c r="AB107" s="213"/>
      <c r="AC107" s="213"/>
      <c r="AD107" s="213"/>
      <c r="AE107" s="213"/>
      <c r="AF107" s="213"/>
      <c r="AG107" s="213" t="s">
        <v>398</v>
      </c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399</v>
      </c>
      <c r="D108" s="238"/>
      <c r="E108" s="239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35"/>
      <c r="B109" s="236"/>
      <c r="C109" s="237" t="s">
        <v>958</v>
      </c>
      <c r="D109" s="238"/>
      <c r="E109" s="239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3"/>
      <c r="Z109" s="213"/>
      <c r="AA109" s="213"/>
      <c r="AB109" s="213"/>
      <c r="AC109" s="213"/>
      <c r="AD109" s="213"/>
      <c r="AE109" s="213"/>
      <c r="AF109" s="213"/>
      <c r="AG109" s="213" t="s">
        <v>228</v>
      </c>
      <c r="AH109" s="213">
        <v>0.0</v>
      </c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35"/>
      <c r="B110" s="236"/>
      <c r="C110" s="237" t="s">
        <v>959</v>
      </c>
      <c r="D110" s="238"/>
      <c r="E110" s="239">
        <v>3225.61605</v>
      </c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3"/>
      <c r="Z110" s="213"/>
      <c r="AA110" s="213"/>
      <c r="AB110" s="213"/>
      <c r="AC110" s="213"/>
      <c r="AD110" s="213"/>
      <c r="AE110" s="213"/>
      <c r="AF110" s="213"/>
      <c r="AG110" s="213" t="s">
        <v>228</v>
      </c>
      <c r="AH110" s="213">
        <v>0.0</v>
      </c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>
      <c r="A111" s="196" t="s">
        <v>173</v>
      </c>
      <c r="B111" s="197" t="s">
        <v>138</v>
      </c>
      <c r="C111" s="198" t="s">
        <v>139</v>
      </c>
      <c r="D111" s="199"/>
      <c r="E111" s="200"/>
      <c r="F111" s="201"/>
      <c r="G111" s="202">
        <f>SUMIF(AG112:AG127,"&lt;&gt;NOR",G112:G127)</f>
        <v>4173.43</v>
      </c>
      <c r="H111" s="203"/>
      <c r="I111" s="203">
        <f>SUM(I112:I127)</f>
        <v>0</v>
      </c>
      <c r="J111" s="203"/>
      <c r="K111" s="203">
        <f>SUM(K112:K127)</f>
        <v>0</v>
      </c>
      <c r="L111" s="203"/>
      <c r="M111" s="203">
        <f>SUM(M112:M127)</f>
        <v>5049.8503</v>
      </c>
      <c r="N111" s="203"/>
      <c r="O111" s="203">
        <f>SUM(O112:O127)</f>
        <v>0</v>
      </c>
      <c r="P111" s="203"/>
      <c r="Q111" s="203">
        <f>SUM(Q112:Q127)</f>
        <v>0</v>
      </c>
      <c r="R111" s="203"/>
      <c r="S111" s="203"/>
      <c r="T111" s="203"/>
      <c r="U111" s="203"/>
      <c r="V111" s="203">
        <f>SUM(V112:V127)</f>
        <v>3.87</v>
      </c>
      <c r="W111" s="203"/>
      <c r="X111" s="203"/>
      <c r="AG111" s="184" t="s">
        <v>174</v>
      </c>
    </row>
    <row r="112" ht="12.75" customHeight="1" outlineLevel="1">
      <c r="A112" s="214">
        <v>29.0</v>
      </c>
      <c r="B112" s="215" t="s">
        <v>486</v>
      </c>
      <c r="C112" s="216" t="s">
        <v>487</v>
      </c>
      <c r="D112" s="217" t="s">
        <v>316</v>
      </c>
      <c r="E112" s="218">
        <v>6.575</v>
      </c>
      <c r="F112" s="219">
        <v>75.0</v>
      </c>
      <c r="G112" s="220">
        <f>ROUND(E112*F112,2)</f>
        <v>493.13</v>
      </c>
      <c r="H112" s="211"/>
      <c r="I112" s="212">
        <f>ROUND(E112*H112,2)</f>
        <v>0</v>
      </c>
      <c r="J112" s="211"/>
      <c r="K112" s="212">
        <f>ROUND(E112*J112,2)</f>
        <v>0</v>
      </c>
      <c r="L112" s="212">
        <v>21.0</v>
      </c>
      <c r="M112" s="212">
        <f>G112*(1+L112/100)</f>
        <v>596.6873</v>
      </c>
      <c r="N112" s="212">
        <v>0.0</v>
      </c>
      <c r="O112" s="212">
        <f>ROUND(E112*N112,2)</f>
        <v>0</v>
      </c>
      <c r="P112" s="212">
        <v>0.0</v>
      </c>
      <c r="Q112" s="212">
        <f>ROUND(E112*P112,2)</f>
        <v>0</v>
      </c>
      <c r="R112" s="212"/>
      <c r="S112" s="212" t="s">
        <v>184</v>
      </c>
      <c r="T112" s="212" t="s">
        <v>184</v>
      </c>
      <c r="U112" s="212">
        <v>0.49</v>
      </c>
      <c r="V112" s="212">
        <f>ROUND(E112*U112,2)</f>
        <v>3.22</v>
      </c>
      <c r="W112" s="212"/>
      <c r="X112" s="212" t="s">
        <v>481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482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35"/>
      <c r="B113" s="236"/>
      <c r="C113" s="237" t="s">
        <v>483</v>
      </c>
      <c r="D113" s="238"/>
      <c r="E113" s="239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3"/>
      <c r="Z113" s="213"/>
      <c r="AA113" s="213"/>
      <c r="AB113" s="213"/>
      <c r="AC113" s="213"/>
      <c r="AD113" s="213"/>
      <c r="AE113" s="213"/>
      <c r="AF113" s="213"/>
      <c r="AG113" s="213" t="s">
        <v>228</v>
      </c>
      <c r="AH113" s="213">
        <v>0.0</v>
      </c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960</v>
      </c>
      <c r="D114" s="238"/>
      <c r="E114" s="239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961</v>
      </c>
      <c r="D115" s="238"/>
      <c r="E115" s="239">
        <v>6.575</v>
      </c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14">
        <v>30.0</v>
      </c>
      <c r="B116" s="215" t="s">
        <v>489</v>
      </c>
      <c r="C116" s="216" t="s">
        <v>490</v>
      </c>
      <c r="D116" s="217" t="s">
        <v>316</v>
      </c>
      <c r="E116" s="218">
        <v>59.175</v>
      </c>
      <c r="F116" s="219">
        <v>6.5</v>
      </c>
      <c r="G116" s="220">
        <f>ROUND(E116*F116,2)</f>
        <v>384.64</v>
      </c>
      <c r="H116" s="211"/>
      <c r="I116" s="212">
        <f>ROUND(E116*H116,2)</f>
        <v>0</v>
      </c>
      <c r="J116" s="211"/>
      <c r="K116" s="212">
        <f>ROUND(E116*J116,2)</f>
        <v>0</v>
      </c>
      <c r="L116" s="212">
        <v>21.0</v>
      </c>
      <c r="M116" s="212">
        <f>G116*(1+L116/100)</f>
        <v>465.4144</v>
      </c>
      <c r="N116" s="212">
        <v>0.0</v>
      </c>
      <c r="O116" s="212">
        <f>ROUND(E116*N116,2)</f>
        <v>0</v>
      </c>
      <c r="P116" s="212">
        <v>0.0</v>
      </c>
      <c r="Q116" s="212">
        <f>ROUND(E116*P116,2)</f>
        <v>0</v>
      </c>
      <c r="R116" s="212"/>
      <c r="S116" s="212" t="s">
        <v>184</v>
      </c>
      <c r="T116" s="212" t="s">
        <v>184</v>
      </c>
      <c r="U116" s="212">
        <v>0.0</v>
      </c>
      <c r="V116" s="212">
        <f>ROUND(E116*U116,2)</f>
        <v>0</v>
      </c>
      <c r="W116" s="212"/>
      <c r="X116" s="212" t="s">
        <v>481</v>
      </c>
      <c r="Y116" s="213"/>
      <c r="Z116" s="213"/>
      <c r="AA116" s="213"/>
      <c r="AB116" s="213"/>
      <c r="AC116" s="213"/>
      <c r="AD116" s="213"/>
      <c r="AE116" s="213"/>
      <c r="AF116" s="213"/>
      <c r="AG116" s="213" t="s">
        <v>482</v>
      </c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483</v>
      </c>
      <c r="D117" s="238"/>
      <c r="E117" s="239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35"/>
      <c r="B118" s="236"/>
      <c r="C118" s="237" t="s">
        <v>960</v>
      </c>
      <c r="D118" s="238"/>
      <c r="E118" s="239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3"/>
      <c r="Z118" s="213"/>
      <c r="AA118" s="213"/>
      <c r="AB118" s="213"/>
      <c r="AC118" s="213"/>
      <c r="AD118" s="213"/>
      <c r="AE118" s="213"/>
      <c r="AF118" s="213"/>
      <c r="AG118" s="213" t="s">
        <v>228</v>
      </c>
      <c r="AH118" s="213">
        <v>0.0</v>
      </c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 outlineLevel="1">
      <c r="A119" s="235"/>
      <c r="B119" s="236"/>
      <c r="C119" s="237" t="s">
        <v>962</v>
      </c>
      <c r="D119" s="238"/>
      <c r="E119" s="239">
        <v>59.175</v>
      </c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3"/>
      <c r="Z119" s="213"/>
      <c r="AA119" s="213"/>
      <c r="AB119" s="213"/>
      <c r="AC119" s="213"/>
      <c r="AD119" s="213"/>
      <c r="AE119" s="213"/>
      <c r="AF119" s="213"/>
      <c r="AG119" s="213" t="s">
        <v>228</v>
      </c>
      <c r="AH119" s="213">
        <v>0.0</v>
      </c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14">
        <v>31.0</v>
      </c>
      <c r="B120" s="215" t="s">
        <v>492</v>
      </c>
      <c r="C120" s="216" t="s">
        <v>493</v>
      </c>
      <c r="D120" s="217" t="s">
        <v>316</v>
      </c>
      <c r="E120" s="218">
        <v>6.575</v>
      </c>
      <c r="F120" s="219">
        <v>72.5</v>
      </c>
      <c r="G120" s="220">
        <f>ROUND(E120*F120,2)</f>
        <v>476.69</v>
      </c>
      <c r="H120" s="211"/>
      <c r="I120" s="212">
        <f>ROUND(E120*H120,2)</f>
        <v>0</v>
      </c>
      <c r="J120" s="211"/>
      <c r="K120" s="212">
        <f>ROUND(E120*J120,2)</f>
        <v>0</v>
      </c>
      <c r="L120" s="212">
        <v>21.0</v>
      </c>
      <c r="M120" s="212">
        <f>G120*(1+L120/100)</f>
        <v>576.7949</v>
      </c>
      <c r="N120" s="212">
        <v>0.0</v>
      </c>
      <c r="O120" s="212">
        <f>ROUND(E120*N120,2)</f>
        <v>0</v>
      </c>
      <c r="P120" s="212">
        <v>0.0</v>
      </c>
      <c r="Q120" s="212">
        <f>ROUND(E120*P120,2)</f>
        <v>0</v>
      </c>
      <c r="R120" s="212"/>
      <c r="S120" s="212" t="s">
        <v>184</v>
      </c>
      <c r="T120" s="212" t="s">
        <v>184</v>
      </c>
      <c r="U120" s="212">
        <v>0.099</v>
      </c>
      <c r="V120" s="212">
        <f>ROUND(E120*U120,2)</f>
        <v>0.65</v>
      </c>
      <c r="W120" s="212"/>
      <c r="X120" s="212" t="s">
        <v>481</v>
      </c>
      <c r="Y120" s="213"/>
      <c r="Z120" s="213"/>
      <c r="AA120" s="213"/>
      <c r="AB120" s="213"/>
      <c r="AC120" s="213"/>
      <c r="AD120" s="213"/>
      <c r="AE120" s="213"/>
      <c r="AF120" s="213"/>
      <c r="AG120" s="213" t="s">
        <v>482</v>
      </c>
      <c r="AH120" s="213"/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35"/>
      <c r="B121" s="236"/>
      <c r="C121" s="237" t="s">
        <v>483</v>
      </c>
      <c r="D121" s="238"/>
      <c r="E121" s="239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3"/>
      <c r="Z121" s="213"/>
      <c r="AA121" s="213"/>
      <c r="AB121" s="213"/>
      <c r="AC121" s="213"/>
      <c r="AD121" s="213"/>
      <c r="AE121" s="213"/>
      <c r="AF121" s="213"/>
      <c r="AG121" s="213" t="s">
        <v>228</v>
      </c>
      <c r="AH121" s="213">
        <v>0.0</v>
      </c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 outlineLevel="1">
      <c r="A122" s="235"/>
      <c r="B122" s="236"/>
      <c r="C122" s="237" t="s">
        <v>960</v>
      </c>
      <c r="D122" s="238"/>
      <c r="E122" s="239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3"/>
      <c r="Z122" s="213"/>
      <c r="AA122" s="213"/>
      <c r="AB122" s="213"/>
      <c r="AC122" s="213"/>
      <c r="AD122" s="213"/>
      <c r="AE122" s="213"/>
      <c r="AF122" s="213"/>
      <c r="AG122" s="213" t="s">
        <v>228</v>
      </c>
      <c r="AH122" s="213">
        <v>0.0</v>
      </c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 outlineLevel="1">
      <c r="A123" s="235"/>
      <c r="B123" s="236"/>
      <c r="C123" s="237" t="s">
        <v>961</v>
      </c>
      <c r="D123" s="238"/>
      <c r="E123" s="239">
        <v>6.575</v>
      </c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3"/>
      <c r="Z123" s="213"/>
      <c r="AA123" s="213"/>
      <c r="AB123" s="213"/>
      <c r="AC123" s="213"/>
      <c r="AD123" s="213"/>
      <c r="AE123" s="213"/>
      <c r="AF123" s="213"/>
      <c r="AG123" s="213" t="s">
        <v>228</v>
      </c>
      <c r="AH123" s="213">
        <v>0.0</v>
      </c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</row>
    <row r="124" ht="12.75" customHeight="1" outlineLevel="1">
      <c r="A124" s="214">
        <v>32.0</v>
      </c>
      <c r="B124" s="215" t="s">
        <v>963</v>
      </c>
      <c r="C124" s="216" t="s">
        <v>964</v>
      </c>
      <c r="D124" s="217" t="s">
        <v>316</v>
      </c>
      <c r="E124" s="218">
        <v>6.575</v>
      </c>
      <c r="F124" s="219">
        <v>428.74</v>
      </c>
      <c r="G124" s="220">
        <f>ROUND(E124*F124,2)</f>
        <v>2818.97</v>
      </c>
      <c r="H124" s="211"/>
      <c r="I124" s="212">
        <f>ROUND(E124*H124,2)</f>
        <v>0</v>
      </c>
      <c r="J124" s="211"/>
      <c r="K124" s="212">
        <f>ROUND(E124*J124,2)</f>
        <v>0</v>
      </c>
      <c r="L124" s="212">
        <v>21.0</v>
      </c>
      <c r="M124" s="212">
        <f>G124*(1+L124/100)</f>
        <v>3410.9537</v>
      </c>
      <c r="N124" s="212">
        <v>0.0</v>
      </c>
      <c r="O124" s="212">
        <f>ROUND(E124*N124,2)</f>
        <v>0</v>
      </c>
      <c r="P124" s="212">
        <v>0.0</v>
      </c>
      <c r="Q124" s="212">
        <f>ROUND(E124*P124,2)</f>
        <v>0</v>
      </c>
      <c r="R124" s="212"/>
      <c r="S124" s="212" t="s">
        <v>184</v>
      </c>
      <c r="T124" s="212" t="s">
        <v>184</v>
      </c>
      <c r="U124" s="212">
        <v>0.0</v>
      </c>
      <c r="V124" s="212">
        <f>ROUND(E124*U124,2)</f>
        <v>0</v>
      </c>
      <c r="W124" s="212"/>
      <c r="X124" s="212" t="s">
        <v>481</v>
      </c>
      <c r="Y124" s="213"/>
      <c r="Z124" s="213"/>
      <c r="AA124" s="213"/>
      <c r="AB124" s="213"/>
      <c r="AC124" s="213"/>
      <c r="AD124" s="213"/>
      <c r="AE124" s="213"/>
      <c r="AF124" s="213"/>
      <c r="AG124" s="213" t="s">
        <v>482</v>
      </c>
      <c r="AH124" s="213"/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</row>
    <row r="125" ht="12.75" customHeight="1" outlineLevel="1">
      <c r="A125" s="235"/>
      <c r="B125" s="236"/>
      <c r="C125" s="237" t="s">
        <v>483</v>
      </c>
      <c r="D125" s="238"/>
      <c r="E125" s="239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3"/>
      <c r="Z125" s="213"/>
      <c r="AA125" s="213"/>
      <c r="AB125" s="213"/>
      <c r="AC125" s="213"/>
      <c r="AD125" s="213"/>
      <c r="AE125" s="213"/>
      <c r="AF125" s="213"/>
      <c r="AG125" s="213" t="s">
        <v>228</v>
      </c>
      <c r="AH125" s="213">
        <v>0.0</v>
      </c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</row>
    <row r="126" ht="12.75" customHeight="1" outlineLevel="1">
      <c r="A126" s="235"/>
      <c r="B126" s="236"/>
      <c r="C126" s="237" t="s">
        <v>960</v>
      </c>
      <c r="D126" s="238"/>
      <c r="E126" s="239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3"/>
      <c r="Z126" s="213"/>
      <c r="AA126" s="213"/>
      <c r="AB126" s="213"/>
      <c r="AC126" s="213"/>
      <c r="AD126" s="213"/>
      <c r="AE126" s="213"/>
      <c r="AF126" s="213"/>
      <c r="AG126" s="213" t="s">
        <v>228</v>
      </c>
      <c r="AH126" s="213">
        <v>0.0</v>
      </c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</row>
    <row r="127" ht="12.75" customHeight="1" outlineLevel="1">
      <c r="A127" s="235"/>
      <c r="B127" s="236"/>
      <c r="C127" s="237" t="s">
        <v>961</v>
      </c>
      <c r="D127" s="238"/>
      <c r="E127" s="239">
        <v>6.575</v>
      </c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3"/>
      <c r="Z127" s="213"/>
      <c r="AA127" s="213"/>
      <c r="AB127" s="213"/>
      <c r="AC127" s="213"/>
      <c r="AD127" s="213"/>
      <c r="AE127" s="213"/>
      <c r="AF127" s="213"/>
      <c r="AG127" s="213" t="s">
        <v>228</v>
      </c>
      <c r="AH127" s="213">
        <v>0.0</v>
      </c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</row>
    <row r="128" ht="12.75" customHeight="1">
      <c r="A128" s="175"/>
      <c r="B128" s="179"/>
      <c r="C128" s="221"/>
      <c r="D128" s="181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AE128" s="184">
        <v>15.0</v>
      </c>
      <c r="AF128" s="184">
        <v>21.0</v>
      </c>
      <c r="AG128" s="184" t="s">
        <v>160</v>
      </c>
    </row>
    <row r="129" ht="12.75" customHeight="1">
      <c r="A129" s="222"/>
      <c r="B129" s="223" t="s">
        <v>24</v>
      </c>
      <c r="C129" s="224"/>
      <c r="D129" s="225"/>
      <c r="E129" s="226"/>
      <c r="F129" s="226"/>
      <c r="G129" s="227">
        <f>G8+G75+G88+G93+G100+G102+G106+G111</f>
        <v>19632225.91</v>
      </c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AE129" s="184">
        <f>SUMIF(L7:L127,AE128,G7:G127)</f>
        <v>0</v>
      </c>
      <c r="AF129" s="184">
        <f>SUMIF(L7:L127,AF128,G7:G127)</f>
        <v>19632225.91</v>
      </c>
      <c r="AG129" s="184" t="s">
        <v>218</v>
      </c>
    </row>
    <row r="130" ht="12.75" customHeight="1">
      <c r="A130" s="175"/>
      <c r="B130" s="179"/>
      <c r="C130" s="221"/>
      <c r="D130" s="181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</row>
    <row r="131" ht="12.75" customHeight="1">
      <c r="A131" s="175"/>
      <c r="B131" s="179"/>
      <c r="C131" s="221"/>
      <c r="D131" s="181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</row>
    <row r="132" ht="12.75" customHeight="1">
      <c r="A132" s="175" t="s">
        <v>219</v>
      </c>
      <c r="D132" s="181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</row>
    <row r="133" ht="12.75" customHeight="1">
      <c r="A133" s="228"/>
      <c r="B133" s="27"/>
      <c r="C133" s="27"/>
      <c r="D133" s="27"/>
      <c r="E133" s="27"/>
      <c r="F133" s="27"/>
      <c r="G133" s="229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AG133" s="184" t="s">
        <v>220</v>
      </c>
    </row>
    <row r="134" ht="12.75" customHeight="1">
      <c r="A134" s="230"/>
      <c r="G134" s="231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</row>
    <row r="135" ht="12.75" customHeight="1">
      <c r="A135" s="230"/>
      <c r="G135" s="231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</row>
    <row r="136" ht="12.75" customHeight="1">
      <c r="A136" s="230"/>
      <c r="G136" s="231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</row>
    <row r="137" ht="12.75" customHeight="1">
      <c r="A137" s="232"/>
      <c r="B137" s="38"/>
      <c r="C137" s="38"/>
      <c r="D137" s="38"/>
      <c r="E137" s="38"/>
      <c r="F137" s="38"/>
      <c r="G137" s="233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</row>
    <row r="138" ht="12.75" customHeight="1">
      <c r="A138" s="175"/>
      <c r="B138" s="179"/>
      <c r="C138" s="221"/>
      <c r="D138" s="181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</row>
    <row r="139" ht="12.75" customHeight="1">
      <c r="B139" s="185"/>
      <c r="C139" s="234"/>
      <c r="D139" s="126"/>
      <c r="AG139" s="184" t="s">
        <v>221</v>
      </c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  <c r="D331" s="126"/>
    </row>
    <row r="332" ht="12.75" customHeight="1">
      <c r="B332" s="185"/>
      <c r="C332" s="185"/>
      <c r="D332" s="126"/>
    </row>
    <row r="333" ht="12.75" customHeight="1">
      <c r="B333" s="185"/>
      <c r="C333" s="185"/>
      <c r="D333" s="126"/>
    </row>
    <row r="334" ht="12.75" customHeight="1">
      <c r="B334" s="185"/>
      <c r="C334" s="185"/>
      <c r="D334" s="126"/>
    </row>
    <row r="335" ht="12.75" customHeight="1">
      <c r="B335" s="185"/>
      <c r="C335" s="185"/>
      <c r="D335" s="126"/>
    </row>
    <row r="336" ht="12.75" customHeight="1">
      <c r="B336" s="185"/>
      <c r="C336" s="185"/>
      <c r="D336" s="126"/>
    </row>
    <row r="337" ht="12.75" customHeight="1">
      <c r="B337" s="185"/>
      <c r="C337" s="185"/>
      <c r="D337" s="126"/>
    </row>
    <row r="338" ht="12.75" customHeight="1">
      <c r="B338" s="185"/>
      <c r="C338" s="185"/>
      <c r="D338" s="126"/>
    </row>
    <row r="339" ht="12.75" customHeight="1">
      <c r="B339" s="185"/>
      <c r="C339" s="185"/>
      <c r="D339" s="126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32:C132"/>
    <mergeCell ref="A133:G137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72</v>
      </c>
      <c r="C3" s="177" t="s">
        <v>73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72</v>
      </c>
      <c r="C4" s="188" t="s">
        <v>73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SUMIF(AG9:AG57,"&lt;&gt;NOR",G9:G57)</f>
        <v>579978</v>
      </c>
      <c r="H8" s="203"/>
      <c r="I8" s="203">
        <f>SUM(I9:I57)</f>
        <v>0</v>
      </c>
      <c r="J8" s="203"/>
      <c r="K8" s="203">
        <f>SUM(K9:K57)</f>
        <v>0</v>
      </c>
      <c r="L8" s="203"/>
      <c r="M8" s="203">
        <f>SUM(M9:M57)</f>
        <v>701773.38</v>
      </c>
      <c r="N8" s="203"/>
      <c r="O8" s="203">
        <f>SUM(O9:O57)</f>
        <v>202.9</v>
      </c>
      <c r="P8" s="203"/>
      <c r="Q8" s="203">
        <f>SUM(Q9:Q57)</f>
        <v>0</v>
      </c>
      <c r="R8" s="203"/>
      <c r="S8" s="203"/>
      <c r="T8" s="203"/>
      <c r="U8" s="203"/>
      <c r="V8" s="203">
        <f>SUM(V9:V57)</f>
        <v>1015.68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273.0249</v>
      </c>
      <c r="F9" s="219">
        <v>39.6</v>
      </c>
      <c r="G9" s="220">
        <f>ROUND(E9*F9,2)</f>
        <v>10811.79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13082.2659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22.93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965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966</v>
      </c>
      <c r="D12" s="241"/>
      <c r="E12" s="242">
        <v>546.0499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967</v>
      </c>
      <c r="D14" s="238"/>
      <c r="E14" s="239">
        <v>273.02495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546.0499</v>
      </c>
      <c r="F15" s="219">
        <v>214.5</v>
      </c>
      <c r="G15" s="220">
        <f>ROUND(E15*F15,2)</f>
        <v>117127.7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141724.517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121.22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968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969</v>
      </c>
      <c r="D17" s="238"/>
      <c r="E17" s="239">
        <v>546.05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608</v>
      </c>
      <c r="C18" s="216" t="s">
        <v>609</v>
      </c>
      <c r="D18" s="217" t="s">
        <v>224</v>
      </c>
      <c r="E18" s="218">
        <v>992.818</v>
      </c>
      <c r="F18" s="219">
        <v>77.25</v>
      </c>
      <c r="G18" s="220">
        <f>ROUND(E18*F18,2)</f>
        <v>76695.19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92801.1799</v>
      </c>
      <c r="N18" s="212">
        <v>9.9E-4</v>
      </c>
      <c r="O18" s="212">
        <f>ROUND(E18*N18,2)</f>
        <v>0.98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0.236</v>
      </c>
      <c r="V18" s="212">
        <f>ROUND(E18*U18,2)</f>
        <v>234.31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965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970</v>
      </c>
      <c r="D20" s="238"/>
      <c r="E20" s="239">
        <v>992.82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611</v>
      </c>
      <c r="C21" s="216" t="s">
        <v>612</v>
      </c>
      <c r="D21" s="217" t="s">
        <v>224</v>
      </c>
      <c r="E21" s="218">
        <v>992.818</v>
      </c>
      <c r="F21" s="219">
        <v>38.63</v>
      </c>
      <c r="G21" s="220">
        <f>ROUND(E21*F21,2)</f>
        <v>38352.56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46406.5976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0.07</v>
      </c>
      <c r="V21" s="212">
        <f>ROUND(E21*U21,2)</f>
        <v>69.5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965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970</v>
      </c>
      <c r="D23" s="238"/>
      <c r="E23" s="239">
        <v>992.82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546.0499</v>
      </c>
      <c r="F24" s="219">
        <v>36.6</v>
      </c>
      <c r="G24" s="220">
        <f>ROUND(E24*F24,2)</f>
        <v>19985.43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24182.3703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21.3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968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969</v>
      </c>
      <c r="D26" s="238"/>
      <c r="E26" s="239">
        <v>546.05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546.0499</v>
      </c>
      <c r="F27" s="219">
        <v>64.0</v>
      </c>
      <c r="G27" s="220">
        <f>ROUND(E27*F27,2)</f>
        <v>34947.19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42286.0999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283.4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968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969</v>
      </c>
      <c r="D29" s="238"/>
      <c r="E29" s="239">
        <v>546.05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130.5772</v>
      </c>
      <c r="F30" s="219">
        <v>215.5</v>
      </c>
      <c r="G30" s="220">
        <f>ROUND(E30*F30,2)</f>
        <v>28139.39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34048.6619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1.44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971</v>
      </c>
      <c r="D32" s="238"/>
      <c r="E32" s="239">
        <v>130.58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297</v>
      </c>
      <c r="C33" s="216" t="s">
        <v>298</v>
      </c>
      <c r="D33" s="217" t="s">
        <v>234</v>
      </c>
      <c r="E33" s="218">
        <v>130.5772</v>
      </c>
      <c r="F33" s="219">
        <v>51.5</v>
      </c>
      <c r="G33" s="220">
        <f>ROUND(E33*F33,2)</f>
        <v>6724.73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8136.9233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0.053</v>
      </c>
      <c r="V33" s="212">
        <f>ROUND(E33*U33,2)</f>
        <v>6.92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971</v>
      </c>
      <c r="D35" s="238"/>
      <c r="E35" s="239">
        <v>130.58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130.5772</v>
      </c>
      <c r="F36" s="219">
        <v>15.1</v>
      </c>
      <c r="G36" s="220">
        <f>ROUND(E36*F36,2)</f>
        <v>1971.72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2385.7812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1.18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971</v>
      </c>
      <c r="D38" s="238"/>
      <c r="E38" s="239">
        <v>130.58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415.4727</v>
      </c>
      <c r="F39" s="219">
        <v>169.0</v>
      </c>
      <c r="G39" s="220">
        <f>ROUND(E39*F39,2)</f>
        <v>70214.89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84960.0169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83.93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968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503</v>
      </c>
      <c r="D41" s="238"/>
      <c r="E41" s="239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972</v>
      </c>
      <c r="D42" s="238"/>
      <c r="E42" s="239">
        <v>415.47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14">
        <v>11.0</v>
      </c>
      <c r="B43" s="215" t="s">
        <v>311</v>
      </c>
      <c r="C43" s="216" t="s">
        <v>312</v>
      </c>
      <c r="D43" s="217" t="s">
        <v>234</v>
      </c>
      <c r="E43" s="218">
        <v>106.8359</v>
      </c>
      <c r="F43" s="219">
        <v>477.51</v>
      </c>
      <c r="G43" s="220">
        <f>ROUND(E43*F43,2)</f>
        <v>51015.21</v>
      </c>
      <c r="H43" s="211"/>
      <c r="I43" s="212">
        <f>ROUND(E43*H43,2)</f>
        <v>0</v>
      </c>
      <c r="J43" s="211"/>
      <c r="K43" s="212">
        <f>ROUND(E43*J43,2)</f>
        <v>0</v>
      </c>
      <c r="L43" s="212">
        <v>21.0</v>
      </c>
      <c r="M43" s="212">
        <f>G43*(1+L43/100)</f>
        <v>61728.4041</v>
      </c>
      <c r="N43" s="212">
        <v>0.0</v>
      </c>
      <c r="O43" s="212">
        <f>ROUND(E43*N43,2)</f>
        <v>0</v>
      </c>
      <c r="P43" s="212">
        <v>0.0</v>
      </c>
      <c r="Q43" s="212">
        <f>ROUND(E43*P43,2)</f>
        <v>0</v>
      </c>
      <c r="R43" s="212"/>
      <c r="S43" s="212" t="s">
        <v>184</v>
      </c>
      <c r="T43" s="212" t="s">
        <v>184</v>
      </c>
      <c r="U43" s="212">
        <v>1.587</v>
      </c>
      <c r="V43" s="212">
        <f>ROUND(E43*U43,2)</f>
        <v>169.55</v>
      </c>
      <c r="W43" s="212"/>
      <c r="X43" s="212" t="s">
        <v>225</v>
      </c>
      <c r="Y43" s="213"/>
      <c r="Z43" s="213"/>
      <c r="AA43" s="213"/>
      <c r="AB43" s="213"/>
      <c r="AC43" s="213"/>
      <c r="AD43" s="213"/>
      <c r="AE43" s="213"/>
      <c r="AF43" s="213"/>
      <c r="AG43" s="213" t="s">
        <v>226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968</v>
      </c>
      <c r="D44" s="238"/>
      <c r="E44" s="239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973</v>
      </c>
      <c r="D45" s="238"/>
      <c r="E45" s="239">
        <v>106.84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12.0</v>
      </c>
      <c r="B46" s="215" t="s">
        <v>314</v>
      </c>
      <c r="C46" s="216" t="s">
        <v>315</v>
      </c>
      <c r="D46" s="217" t="s">
        <v>316</v>
      </c>
      <c r="E46" s="218">
        <v>248.0967</v>
      </c>
      <c r="F46" s="219">
        <v>285.0</v>
      </c>
      <c r="G46" s="220">
        <f>ROUND(E46*F46,2)</f>
        <v>70707.56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85556.1476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184</v>
      </c>
      <c r="T46" s="212" t="s">
        <v>184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295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0" t="s">
        <v>236</v>
      </c>
      <c r="D48" s="241"/>
      <c r="E48" s="24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3" t="s">
        <v>974</v>
      </c>
      <c r="D49" s="241"/>
      <c r="E49" s="242">
        <v>130.58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2.0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40" t="s">
        <v>238</v>
      </c>
      <c r="D50" s="241"/>
      <c r="E50" s="24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975</v>
      </c>
      <c r="D51" s="238"/>
      <c r="E51" s="239">
        <v>248.1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13.0</v>
      </c>
      <c r="B52" s="215" t="s">
        <v>620</v>
      </c>
      <c r="C52" s="216" t="s">
        <v>621</v>
      </c>
      <c r="D52" s="217" t="s">
        <v>321</v>
      </c>
      <c r="E52" s="218">
        <v>201.9199</v>
      </c>
      <c r="F52" s="219">
        <v>263.89</v>
      </c>
      <c r="G52" s="220">
        <f>ROUND(E52*F52,2)</f>
        <v>53284.64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64474.4144</v>
      </c>
      <c r="N52" s="212">
        <v>1.0</v>
      </c>
      <c r="O52" s="212">
        <f>ROUND(E52*N52,2)</f>
        <v>201.92</v>
      </c>
      <c r="P52" s="212">
        <v>0.0</v>
      </c>
      <c r="Q52" s="212">
        <f>ROUND(E52*P52,2)</f>
        <v>0</v>
      </c>
      <c r="R52" s="212" t="s">
        <v>322</v>
      </c>
      <c r="S52" s="212" t="s">
        <v>184</v>
      </c>
      <c r="T52" s="212" t="s">
        <v>184</v>
      </c>
      <c r="U52" s="212">
        <v>0.0</v>
      </c>
      <c r="V52" s="212">
        <f>ROUND(E52*U52,2)</f>
        <v>0</v>
      </c>
      <c r="W52" s="212"/>
      <c r="X52" s="212" t="s">
        <v>323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324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968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0" t="s">
        <v>236</v>
      </c>
      <c r="D54" s="241"/>
      <c r="E54" s="24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3" t="s">
        <v>976</v>
      </c>
      <c r="D55" s="241"/>
      <c r="E55" s="242">
        <v>106.84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2.0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40" t="s">
        <v>238</v>
      </c>
      <c r="D56" s="241"/>
      <c r="E56" s="24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977</v>
      </c>
      <c r="D57" s="238"/>
      <c r="E57" s="239">
        <v>201.92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>
      <c r="A58" s="196" t="s">
        <v>173</v>
      </c>
      <c r="B58" s="197" t="s">
        <v>100</v>
      </c>
      <c r="C58" s="198" t="s">
        <v>101</v>
      </c>
      <c r="D58" s="199"/>
      <c r="E58" s="200"/>
      <c r="F58" s="201"/>
      <c r="G58" s="202">
        <f>SUMIF(AG59:AG67,"&lt;&gt;NOR",G59:G67)</f>
        <v>33868.46</v>
      </c>
      <c r="H58" s="203"/>
      <c r="I58" s="203">
        <f>SUM(I59:I67)</f>
        <v>0</v>
      </c>
      <c r="J58" s="203"/>
      <c r="K58" s="203">
        <f>SUM(K59:K67)</f>
        <v>0</v>
      </c>
      <c r="L58" s="203"/>
      <c r="M58" s="203">
        <f>SUM(M59:M67)</f>
        <v>40980.8366</v>
      </c>
      <c r="N58" s="203"/>
      <c r="O58" s="203">
        <f>SUM(O59:O67)</f>
        <v>31.36</v>
      </c>
      <c r="P58" s="203"/>
      <c r="Q58" s="203">
        <f>SUM(Q59:Q67)</f>
        <v>0</v>
      </c>
      <c r="R58" s="203"/>
      <c r="S58" s="203"/>
      <c r="T58" s="203"/>
      <c r="U58" s="203"/>
      <c r="V58" s="203">
        <f>SUM(V59:V67)</f>
        <v>48.11</v>
      </c>
      <c r="W58" s="203"/>
      <c r="X58" s="203"/>
      <c r="AG58" s="184" t="s">
        <v>174</v>
      </c>
    </row>
    <row r="59" ht="12.75" customHeight="1" outlineLevel="1">
      <c r="A59" s="214">
        <v>14.0</v>
      </c>
      <c r="B59" s="215" t="s">
        <v>347</v>
      </c>
      <c r="C59" s="216" t="s">
        <v>348</v>
      </c>
      <c r="D59" s="217" t="s">
        <v>234</v>
      </c>
      <c r="E59" s="218">
        <v>23.7413</v>
      </c>
      <c r="F59" s="219">
        <v>1010.69</v>
      </c>
      <c r="G59" s="220">
        <f>ROUND(E59*F59,2)</f>
        <v>23995.09</v>
      </c>
      <c r="H59" s="211"/>
      <c r="I59" s="212">
        <f>ROUND(E59*H59,2)</f>
        <v>0</v>
      </c>
      <c r="J59" s="211"/>
      <c r="K59" s="212">
        <f>ROUND(E59*J59,2)</f>
        <v>0</v>
      </c>
      <c r="L59" s="212">
        <v>21.0</v>
      </c>
      <c r="M59" s="212">
        <f>G59*(1+L59/100)</f>
        <v>29034.0589</v>
      </c>
      <c r="N59" s="212">
        <v>1.1322</v>
      </c>
      <c r="O59" s="212">
        <f>ROUND(E59*N59,2)</f>
        <v>26.88</v>
      </c>
      <c r="P59" s="212">
        <v>0.0</v>
      </c>
      <c r="Q59" s="212">
        <f>ROUND(E59*P59,2)</f>
        <v>0</v>
      </c>
      <c r="R59" s="212"/>
      <c r="S59" s="212" t="s">
        <v>184</v>
      </c>
      <c r="T59" s="212" t="s">
        <v>184</v>
      </c>
      <c r="U59" s="212">
        <v>1.695</v>
      </c>
      <c r="V59" s="212">
        <f>ROUND(E59*U59,2)</f>
        <v>40.24</v>
      </c>
      <c r="W59" s="212"/>
      <c r="X59" s="212" t="s">
        <v>225</v>
      </c>
      <c r="Y59" s="213"/>
      <c r="Z59" s="213"/>
      <c r="AA59" s="213"/>
      <c r="AB59" s="213"/>
      <c r="AC59" s="213"/>
      <c r="AD59" s="213"/>
      <c r="AE59" s="213"/>
      <c r="AF59" s="213"/>
      <c r="AG59" s="213" t="s">
        <v>226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968</v>
      </c>
      <c r="D60" s="238"/>
      <c r="E60" s="239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978</v>
      </c>
      <c r="D61" s="238"/>
      <c r="E61" s="239">
        <v>23.74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15.0</v>
      </c>
      <c r="B62" s="215" t="s">
        <v>625</v>
      </c>
      <c r="C62" s="216" t="s">
        <v>626</v>
      </c>
      <c r="D62" s="217" t="s">
        <v>234</v>
      </c>
      <c r="E62" s="218">
        <v>1.78</v>
      </c>
      <c r="F62" s="219">
        <v>3460.8</v>
      </c>
      <c r="G62" s="220">
        <f>ROUND(E62*F62,2)</f>
        <v>6160.22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7453.8662</v>
      </c>
      <c r="N62" s="212">
        <v>2.5</v>
      </c>
      <c r="O62" s="212">
        <f>ROUND(E62*N62,2)</f>
        <v>4.45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1.192</v>
      </c>
      <c r="V62" s="212">
        <f>ROUND(E62*U62,2)</f>
        <v>2.12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226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627</v>
      </c>
      <c r="D63" s="238"/>
      <c r="E63" s="239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979</v>
      </c>
      <c r="D64" s="238"/>
      <c r="E64" s="239">
        <v>1.78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14">
        <v>16.0</v>
      </c>
      <c r="B65" s="215" t="s">
        <v>629</v>
      </c>
      <c r="C65" s="216" t="s">
        <v>630</v>
      </c>
      <c r="D65" s="217" t="s">
        <v>224</v>
      </c>
      <c r="E65" s="218">
        <v>7.0</v>
      </c>
      <c r="F65" s="219">
        <v>530.45</v>
      </c>
      <c r="G65" s="220">
        <f>ROUND(E65*F65,2)</f>
        <v>3713.15</v>
      </c>
      <c r="H65" s="211"/>
      <c r="I65" s="212">
        <f>ROUND(E65*H65,2)</f>
        <v>0</v>
      </c>
      <c r="J65" s="211"/>
      <c r="K65" s="212">
        <f>ROUND(E65*J65,2)</f>
        <v>0</v>
      </c>
      <c r="L65" s="212">
        <v>21.0</v>
      </c>
      <c r="M65" s="212">
        <f>G65*(1+L65/100)</f>
        <v>4492.9115</v>
      </c>
      <c r="N65" s="212">
        <v>0.00442</v>
      </c>
      <c r="O65" s="212">
        <f>ROUND(E65*N65,2)</f>
        <v>0.03</v>
      </c>
      <c r="P65" s="212">
        <v>0.0</v>
      </c>
      <c r="Q65" s="212">
        <f>ROUND(E65*P65,2)</f>
        <v>0</v>
      </c>
      <c r="R65" s="212"/>
      <c r="S65" s="212" t="s">
        <v>184</v>
      </c>
      <c r="T65" s="212" t="s">
        <v>184</v>
      </c>
      <c r="U65" s="212">
        <v>0.821</v>
      </c>
      <c r="V65" s="212">
        <f>ROUND(E65*U65,2)</f>
        <v>5.75</v>
      </c>
      <c r="W65" s="212"/>
      <c r="X65" s="212" t="s">
        <v>225</v>
      </c>
      <c r="Y65" s="213"/>
      <c r="Z65" s="213"/>
      <c r="AA65" s="213"/>
      <c r="AB65" s="213"/>
      <c r="AC65" s="213"/>
      <c r="AD65" s="213"/>
      <c r="AE65" s="213"/>
      <c r="AF65" s="213"/>
      <c r="AG65" s="213" t="s">
        <v>226</v>
      </c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627</v>
      </c>
      <c r="D66" s="238"/>
      <c r="E66" s="239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980</v>
      </c>
      <c r="D67" s="238"/>
      <c r="E67" s="239">
        <v>7.0</v>
      </c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>
      <c r="A68" s="196" t="s">
        <v>173</v>
      </c>
      <c r="B68" s="197" t="s">
        <v>106</v>
      </c>
      <c r="C68" s="198" t="s">
        <v>107</v>
      </c>
      <c r="D68" s="199"/>
      <c r="E68" s="200"/>
      <c r="F68" s="201"/>
      <c r="G68" s="202">
        <f>SUMIF(AG69:AG105,"&lt;&gt;NOR",G69:G105)</f>
        <v>822055.32</v>
      </c>
      <c r="H68" s="203"/>
      <c r="I68" s="203">
        <f>SUM(I69:I105)</f>
        <v>0</v>
      </c>
      <c r="J68" s="203"/>
      <c r="K68" s="203">
        <f>SUM(K69:K105)</f>
        <v>0</v>
      </c>
      <c r="L68" s="203"/>
      <c r="M68" s="203">
        <f>SUM(M69:M105)</f>
        <v>994686.9372</v>
      </c>
      <c r="N68" s="203"/>
      <c r="O68" s="203">
        <f>SUM(O69:O105)</f>
        <v>6.38</v>
      </c>
      <c r="P68" s="203"/>
      <c r="Q68" s="203">
        <f>SUM(Q69:Q105)</f>
        <v>0</v>
      </c>
      <c r="R68" s="203"/>
      <c r="S68" s="203"/>
      <c r="T68" s="203"/>
      <c r="U68" s="203"/>
      <c r="V68" s="203">
        <f>SUM(V69:V105)</f>
        <v>264.54</v>
      </c>
      <c r="W68" s="203"/>
      <c r="X68" s="203"/>
      <c r="AG68" s="184" t="s">
        <v>174</v>
      </c>
    </row>
    <row r="69" ht="12.75" customHeight="1" outlineLevel="1">
      <c r="A69" s="214">
        <v>17.0</v>
      </c>
      <c r="B69" s="215" t="s">
        <v>632</v>
      </c>
      <c r="C69" s="216" t="s">
        <v>633</v>
      </c>
      <c r="D69" s="217" t="s">
        <v>251</v>
      </c>
      <c r="E69" s="218">
        <v>215.83</v>
      </c>
      <c r="F69" s="219">
        <v>180.5</v>
      </c>
      <c r="G69" s="220">
        <f>ROUND(E69*F69,2)</f>
        <v>38957.32</v>
      </c>
      <c r="H69" s="211"/>
      <c r="I69" s="212">
        <f>ROUND(E69*H69,2)</f>
        <v>0</v>
      </c>
      <c r="J69" s="211"/>
      <c r="K69" s="212">
        <f>ROUND(E69*J69,2)</f>
        <v>0</v>
      </c>
      <c r="L69" s="212">
        <v>21.0</v>
      </c>
      <c r="M69" s="212">
        <f>G69*(1+L69/100)</f>
        <v>47138.3572</v>
      </c>
      <c r="N69" s="212">
        <v>0.0</v>
      </c>
      <c r="O69" s="212">
        <f>ROUND(E69*N69,2)</f>
        <v>0</v>
      </c>
      <c r="P69" s="212">
        <v>0.0</v>
      </c>
      <c r="Q69" s="212">
        <f>ROUND(E69*P69,2)</f>
        <v>0</v>
      </c>
      <c r="R69" s="212"/>
      <c r="S69" s="212" t="s">
        <v>184</v>
      </c>
      <c r="T69" s="212" t="s">
        <v>184</v>
      </c>
      <c r="U69" s="212">
        <v>0.536</v>
      </c>
      <c r="V69" s="212">
        <f>ROUND(E69*U69,2)</f>
        <v>115.68</v>
      </c>
      <c r="W69" s="212"/>
      <c r="X69" s="212" t="s">
        <v>225</v>
      </c>
      <c r="Y69" s="213"/>
      <c r="Z69" s="213"/>
      <c r="AA69" s="213"/>
      <c r="AB69" s="213"/>
      <c r="AC69" s="213"/>
      <c r="AD69" s="213"/>
      <c r="AE69" s="213"/>
      <c r="AF69" s="213"/>
      <c r="AG69" s="213" t="s">
        <v>226</v>
      </c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634</v>
      </c>
      <c r="D70" s="238"/>
      <c r="E70" s="239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981</v>
      </c>
      <c r="D71" s="238"/>
      <c r="E71" s="239">
        <v>215.83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14">
        <v>18.0</v>
      </c>
      <c r="B72" s="215" t="s">
        <v>636</v>
      </c>
      <c r="C72" s="216" t="s">
        <v>637</v>
      </c>
      <c r="D72" s="217" t="s">
        <v>372</v>
      </c>
      <c r="E72" s="218">
        <v>21.0</v>
      </c>
      <c r="F72" s="219">
        <v>1351.5</v>
      </c>
      <c r="G72" s="220">
        <f>ROUND(E72*F72,2)</f>
        <v>28381.5</v>
      </c>
      <c r="H72" s="211"/>
      <c r="I72" s="212">
        <f>ROUND(E72*H72,2)</f>
        <v>0</v>
      </c>
      <c r="J72" s="211"/>
      <c r="K72" s="212">
        <f>ROUND(E72*J72,2)</f>
        <v>0</v>
      </c>
      <c r="L72" s="212">
        <v>21.0</v>
      </c>
      <c r="M72" s="212">
        <f>G72*(1+L72/100)</f>
        <v>34341.615</v>
      </c>
      <c r="N72" s="212">
        <v>0.00139</v>
      </c>
      <c r="O72" s="212">
        <f>ROUND(E72*N72,2)</f>
        <v>0.03</v>
      </c>
      <c r="P72" s="212">
        <v>0.0</v>
      </c>
      <c r="Q72" s="212">
        <f>ROUND(E72*P72,2)</f>
        <v>0</v>
      </c>
      <c r="R72" s="212"/>
      <c r="S72" s="212" t="s">
        <v>184</v>
      </c>
      <c r="T72" s="212" t="s">
        <v>184</v>
      </c>
      <c r="U72" s="212">
        <v>2.1188</v>
      </c>
      <c r="V72" s="212">
        <f>ROUND(E72*U72,2)</f>
        <v>44.49</v>
      </c>
      <c r="W72" s="212"/>
      <c r="X72" s="212" t="s">
        <v>225</v>
      </c>
      <c r="Y72" s="213"/>
      <c r="Z72" s="213"/>
      <c r="AA72" s="213"/>
      <c r="AB72" s="213"/>
      <c r="AC72" s="213"/>
      <c r="AD72" s="213"/>
      <c r="AE72" s="213"/>
      <c r="AF72" s="213"/>
      <c r="AG72" s="213" t="s">
        <v>226</v>
      </c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638</v>
      </c>
      <c r="D73" s="238"/>
      <c r="E73" s="239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982</v>
      </c>
      <c r="D74" s="238"/>
      <c r="E74" s="239">
        <v>21.0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04">
        <v>19.0</v>
      </c>
      <c r="B75" s="205" t="s">
        <v>370</v>
      </c>
      <c r="C75" s="206" t="s">
        <v>640</v>
      </c>
      <c r="D75" s="207" t="s">
        <v>372</v>
      </c>
      <c r="E75" s="208">
        <v>2.0</v>
      </c>
      <c r="F75" s="209">
        <v>4770.0</v>
      </c>
      <c r="G75" s="210">
        <f t="shared" ref="G75:G90" si="1">ROUND(E75*F75,2)</f>
        <v>9540</v>
      </c>
      <c r="H75" s="211"/>
      <c r="I75" s="212">
        <f t="shared" ref="I75:I90" si="2">ROUND(E75*H75,2)</f>
        <v>0</v>
      </c>
      <c r="J75" s="211"/>
      <c r="K75" s="212">
        <f t="shared" ref="K75:K90" si="3">ROUND(E75*J75,2)</f>
        <v>0</v>
      </c>
      <c r="L75" s="212">
        <v>21.0</v>
      </c>
      <c r="M75" s="212">
        <f t="shared" ref="M75:M90" si="4">G75*(1+L75/100)</f>
        <v>11543.4</v>
      </c>
      <c r="N75" s="212">
        <v>0.0</v>
      </c>
      <c r="O75" s="212">
        <f t="shared" ref="O75:O90" si="5">ROUND(E75*N75,2)</f>
        <v>0</v>
      </c>
      <c r="P75" s="212">
        <v>0.0</v>
      </c>
      <c r="Q75" s="212">
        <f t="shared" ref="Q75:Q90" si="6">ROUND(E75*P75,2)</f>
        <v>0</v>
      </c>
      <c r="R75" s="212"/>
      <c r="S75" s="212" t="s">
        <v>178</v>
      </c>
      <c r="T75" s="212" t="s">
        <v>179</v>
      </c>
      <c r="U75" s="212">
        <v>0.0</v>
      </c>
      <c r="V75" s="212">
        <f t="shared" ref="V75:V90" si="7">ROUND(E75*U75,2)</f>
        <v>0</v>
      </c>
      <c r="W75" s="212"/>
      <c r="X75" s="212" t="s">
        <v>225</v>
      </c>
      <c r="Y75" s="213"/>
      <c r="Z75" s="213"/>
      <c r="AA75" s="213"/>
      <c r="AB75" s="213"/>
      <c r="AC75" s="213"/>
      <c r="AD75" s="213"/>
      <c r="AE75" s="213"/>
      <c r="AF75" s="213"/>
      <c r="AG75" s="213" t="s">
        <v>226</v>
      </c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04">
        <v>20.0</v>
      </c>
      <c r="B76" s="205" t="s">
        <v>375</v>
      </c>
      <c r="C76" s="206" t="s">
        <v>641</v>
      </c>
      <c r="D76" s="207" t="s">
        <v>372</v>
      </c>
      <c r="E76" s="208">
        <v>1.0</v>
      </c>
      <c r="F76" s="209">
        <v>8700.0</v>
      </c>
      <c r="G76" s="210">
        <f t="shared" si="1"/>
        <v>8700</v>
      </c>
      <c r="H76" s="211"/>
      <c r="I76" s="212">
        <f t="shared" si="2"/>
        <v>0</v>
      </c>
      <c r="J76" s="211"/>
      <c r="K76" s="212">
        <f t="shared" si="3"/>
        <v>0</v>
      </c>
      <c r="L76" s="212">
        <v>21.0</v>
      </c>
      <c r="M76" s="212">
        <f t="shared" si="4"/>
        <v>10527</v>
      </c>
      <c r="N76" s="212">
        <v>0.0</v>
      </c>
      <c r="O76" s="212">
        <f t="shared" si="5"/>
        <v>0</v>
      </c>
      <c r="P76" s="212">
        <v>0.0</v>
      </c>
      <c r="Q76" s="212">
        <f t="shared" si="6"/>
        <v>0</v>
      </c>
      <c r="R76" s="212"/>
      <c r="S76" s="212" t="s">
        <v>178</v>
      </c>
      <c r="T76" s="212" t="s">
        <v>179</v>
      </c>
      <c r="U76" s="212">
        <v>0.0</v>
      </c>
      <c r="V76" s="212">
        <f t="shared" si="7"/>
        <v>0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04">
        <v>21.0</v>
      </c>
      <c r="B77" s="205" t="s">
        <v>642</v>
      </c>
      <c r="C77" s="206" t="s">
        <v>643</v>
      </c>
      <c r="D77" s="207" t="s">
        <v>372</v>
      </c>
      <c r="E77" s="208">
        <v>2.0</v>
      </c>
      <c r="F77" s="209">
        <v>11200.0</v>
      </c>
      <c r="G77" s="210">
        <f t="shared" si="1"/>
        <v>22400</v>
      </c>
      <c r="H77" s="211"/>
      <c r="I77" s="212">
        <f t="shared" si="2"/>
        <v>0</v>
      </c>
      <c r="J77" s="211"/>
      <c r="K77" s="212">
        <f t="shared" si="3"/>
        <v>0</v>
      </c>
      <c r="L77" s="212">
        <v>21.0</v>
      </c>
      <c r="M77" s="212">
        <f t="shared" si="4"/>
        <v>27104</v>
      </c>
      <c r="N77" s="212">
        <v>0.0</v>
      </c>
      <c r="O77" s="212">
        <f t="shared" si="5"/>
        <v>0</v>
      </c>
      <c r="P77" s="212">
        <v>0.0</v>
      </c>
      <c r="Q77" s="212">
        <f t="shared" si="6"/>
        <v>0</v>
      </c>
      <c r="R77" s="212"/>
      <c r="S77" s="212" t="s">
        <v>178</v>
      </c>
      <c r="T77" s="212" t="s">
        <v>179</v>
      </c>
      <c r="U77" s="212">
        <v>0.0</v>
      </c>
      <c r="V77" s="212">
        <f t="shared" si="7"/>
        <v>0</v>
      </c>
      <c r="W77" s="212"/>
      <c r="X77" s="212" t="s">
        <v>225</v>
      </c>
      <c r="Y77" s="213"/>
      <c r="Z77" s="213"/>
      <c r="AA77" s="213"/>
      <c r="AB77" s="213"/>
      <c r="AC77" s="213"/>
      <c r="AD77" s="213"/>
      <c r="AE77" s="213"/>
      <c r="AF77" s="213"/>
      <c r="AG77" s="213" t="s">
        <v>226</v>
      </c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04">
        <v>22.0</v>
      </c>
      <c r="B78" s="205" t="s">
        <v>644</v>
      </c>
      <c r="C78" s="206" t="s">
        <v>645</v>
      </c>
      <c r="D78" s="207" t="s">
        <v>372</v>
      </c>
      <c r="E78" s="208">
        <v>2.0</v>
      </c>
      <c r="F78" s="209">
        <v>1730.5</v>
      </c>
      <c r="G78" s="210">
        <f t="shared" si="1"/>
        <v>3461</v>
      </c>
      <c r="H78" s="211"/>
      <c r="I78" s="212">
        <f t="shared" si="2"/>
        <v>0</v>
      </c>
      <c r="J78" s="211"/>
      <c r="K78" s="212">
        <f t="shared" si="3"/>
        <v>0</v>
      </c>
      <c r="L78" s="212">
        <v>21.0</v>
      </c>
      <c r="M78" s="212">
        <f t="shared" si="4"/>
        <v>4187.81</v>
      </c>
      <c r="N78" s="212">
        <v>0.0</v>
      </c>
      <c r="O78" s="212">
        <f t="shared" si="5"/>
        <v>0</v>
      </c>
      <c r="P78" s="212">
        <v>0.0</v>
      </c>
      <c r="Q78" s="212">
        <f t="shared" si="6"/>
        <v>0</v>
      </c>
      <c r="R78" s="212"/>
      <c r="S78" s="212" t="s">
        <v>178</v>
      </c>
      <c r="T78" s="212" t="s">
        <v>179</v>
      </c>
      <c r="U78" s="212">
        <v>0.0</v>
      </c>
      <c r="V78" s="212">
        <f t="shared" si="7"/>
        <v>0</v>
      </c>
      <c r="W78" s="212"/>
      <c r="X78" s="212" t="s">
        <v>225</v>
      </c>
      <c r="Y78" s="213"/>
      <c r="Z78" s="213"/>
      <c r="AA78" s="213"/>
      <c r="AB78" s="213"/>
      <c r="AC78" s="213"/>
      <c r="AD78" s="213"/>
      <c r="AE78" s="213"/>
      <c r="AF78" s="213"/>
      <c r="AG78" s="213" t="s">
        <v>226</v>
      </c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23.0</v>
      </c>
      <c r="B79" s="205" t="s">
        <v>646</v>
      </c>
      <c r="C79" s="206" t="s">
        <v>647</v>
      </c>
      <c r="D79" s="207" t="s">
        <v>372</v>
      </c>
      <c r="E79" s="208">
        <v>1.0</v>
      </c>
      <c r="F79" s="209">
        <v>2030.0</v>
      </c>
      <c r="G79" s="210">
        <f t="shared" si="1"/>
        <v>2030</v>
      </c>
      <c r="H79" s="211"/>
      <c r="I79" s="212">
        <f t="shared" si="2"/>
        <v>0</v>
      </c>
      <c r="J79" s="211"/>
      <c r="K79" s="212">
        <f t="shared" si="3"/>
        <v>0</v>
      </c>
      <c r="L79" s="212">
        <v>21.0</v>
      </c>
      <c r="M79" s="212">
        <f t="shared" si="4"/>
        <v>2456.3</v>
      </c>
      <c r="N79" s="212">
        <v>0.0</v>
      </c>
      <c r="O79" s="212">
        <f t="shared" si="5"/>
        <v>0</v>
      </c>
      <c r="P79" s="212">
        <v>0.0</v>
      </c>
      <c r="Q79" s="212">
        <f t="shared" si="6"/>
        <v>0</v>
      </c>
      <c r="R79" s="212"/>
      <c r="S79" s="212" t="s">
        <v>178</v>
      </c>
      <c r="T79" s="212" t="s">
        <v>179</v>
      </c>
      <c r="U79" s="212">
        <v>0.0</v>
      </c>
      <c r="V79" s="212">
        <f t="shared" si="7"/>
        <v>0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04">
        <v>24.0</v>
      </c>
      <c r="B80" s="205" t="s">
        <v>648</v>
      </c>
      <c r="C80" s="206" t="s">
        <v>649</v>
      </c>
      <c r="D80" s="207" t="s">
        <v>372</v>
      </c>
      <c r="E80" s="208">
        <v>2.0</v>
      </c>
      <c r="F80" s="209">
        <v>3905.0</v>
      </c>
      <c r="G80" s="210">
        <f t="shared" si="1"/>
        <v>7810</v>
      </c>
      <c r="H80" s="211"/>
      <c r="I80" s="212">
        <f t="shared" si="2"/>
        <v>0</v>
      </c>
      <c r="J80" s="211"/>
      <c r="K80" s="212">
        <f t="shared" si="3"/>
        <v>0</v>
      </c>
      <c r="L80" s="212">
        <v>21.0</v>
      </c>
      <c r="M80" s="212">
        <f t="shared" si="4"/>
        <v>9450.1</v>
      </c>
      <c r="N80" s="212">
        <v>0.0</v>
      </c>
      <c r="O80" s="212">
        <f t="shared" si="5"/>
        <v>0</v>
      </c>
      <c r="P80" s="212">
        <v>0.0</v>
      </c>
      <c r="Q80" s="212">
        <f t="shared" si="6"/>
        <v>0</v>
      </c>
      <c r="R80" s="212"/>
      <c r="S80" s="212" t="s">
        <v>178</v>
      </c>
      <c r="T80" s="212" t="s">
        <v>179</v>
      </c>
      <c r="U80" s="212">
        <v>0.0</v>
      </c>
      <c r="V80" s="212">
        <f t="shared" si="7"/>
        <v>0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04">
        <v>25.0</v>
      </c>
      <c r="B81" s="205" t="s">
        <v>650</v>
      </c>
      <c r="C81" s="206" t="s">
        <v>651</v>
      </c>
      <c r="D81" s="207" t="s">
        <v>372</v>
      </c>
      <c r="E81" s="208">
        <v>3.0</v>
      </c>
      <c r="F81" s="209">
        <v>1704.5</v>
      </c>
      <c r="G81" s="210">
        <f t="shared" si="1"/>
        <v>5113.5</v>
      </c>
      <c r="H81" s="211"/>
      <c r="I81" s="212">
        <f t="shared" si="2"/>
        <v>0</v>
      </c>
      <c r="J81" s="211"/>
      <c r="K81" s="212">
        <f t="shared" si="3"/>
        <v>0</v>
      </c>
      <c r="L81" s="212">
        <v>21.0</v>
      </c>
      <c r="M81" s="212">
        <f t="shared" si="4"/>
        <v>6187.335</v>
      </c>
      <c r="N81" s="212">
        <v>0.0</v>
      </c>
      <c r="O81" s="212">
        <f t="shared" si="5"/>
        <v>0</v>
      </c>
      <c r="P81" s="212">
        <v>0.0</v>
      </c>
      <c r="Q81" s="212">
        <f t="shared" si="6"/>
        <v>0</v>
      </c>
      <c r="R81" s="212"/>
      <c r="S81" s="212" t="s">
        <v>178</v>
      </c>
      <c r="T81" s="212" t="s">
        <v>179</v>
      </c>
      <c r="U81" s="212">
        <v>0.0</v>
      </c>
      <c r="V81" s="212">
        <f t="shared" si="7"/>
        <v>0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04">
        <v>26.0</v>
      </c>
      <c r="B82" s="205" t="s">
        <v>652</v>
      </c>
      <c r="C82" s="206" t="s">
        <v>653</v>
      </c>
      <c r="D82" s="207" t="s">
        <v>372</v>
      </c>
      <c r="E82" s="208">
        <v>2.0</v>
      </c>
      <c r="F82" s="209">
        <v>766.0</v>
      </c>
      <c r="G82" s="210">
        <f t="shared" si="1"/>
        <v>1532</v>
      </c>
      <c r="H82" s="211"/>
      <c r="I82" s="212">
        <f t="shared" si="2"/>
        <v>0</v>
      </c>
      <c r="J82" s="211"/>
      <c r="K82" s="212">
        <f t="shared" si="3"/>
        <v>0</v>
      </c>
      <c r="L82" s="212">
        <v>21.0</v>
      </c>
      <c r="M82" s="212">
        <f t="shared" si="4"/>
        <v>1853.72</v>
      </c>
      <c r="N82" s="212">
        <v>0.0</v>
      </c>
      <c r="O82" s="212">
        <f t="shared" si="5"/>
        <v>0</v>
      </c>
      <c r="P82" s="212">
        <v>0.0</v>
      </c>
      <c r="Q82" s="212">
        <f t="shared" si="6"/>
        <v>0</v>
      </c>
      <c r="R82" s="212"/>
      <c r="S82" s="212" t="s">
        <v>178</v>
      </c>
      <c r="T82" s="212" t="s">
        <v>179</v>
      </c>
      <c r="U82" s="212">
        <v>0.0</v>
      </c>
      <c r="V82" s="212">
        <f t="shared" si="7"/>
        <v>0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04">
        <v>27.0</v>
      </c>
      <c r="B83" s="205" t="s">
        <v>654</v>
      </c>
      <c r="C83" s="206" t="s">
        <v>655</v>
      </c>
      <c r="D83" s="207" t="s">
        <v>372</v>
      </c>
      <c r="E83" s="208">
        <v>3.0</v>
      </c>
      <c r="F83" s="209">
        <v>631.0</v>
      </c>
      <c r="G83" s="210">
        <f t="shared" si="1"/>
        <v>1893</v>
      </c>
      <c r="H83" s="211"/>
      <c r="I83" s="212">
        <f t="shared" si="2"/>
        <v>0</v>
      </c>
      <c r="J83" s="211"/>
      <c r="K83" s="212">
        <f t="shared" si="3"/>
        <v>0</v>
      </c>
      <c r="L83" s="212">
        <v>21.0</v>
      </c>
      <c r="M83" s="212">
        <f t="shared" si="4"/>
        <v>2290.53</v>
      </c>
      <c r="N83" s="212">
        <v>0.0</v>
      </c>
      <c r="O83" s="212">
        <f t="shared" si="5"/>
        <v>0</v>
      </c>
      <c r="P83" s="212">
        <v>0.0</v>
      </c>
      <c r="Q83" s="212">
        <f t="shared" si="6"/>
        <v>0</v>
      </c>
      <c r="R83" s="212"/>
      <c r="S83" s="212" t="s">
        <v>178</v>
      </c>
      <c r="T83" s="212" t="s">
        <v>179</v>
      </c>
      <c r="U83" s="212">
        <v>0.0</v>
      </c>
      <c r="V83" s="212">
        <f t="shared" si="7"/>
        <v>0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04">
        <v>28.0</v>
      </c>
      <c r="B84" s="205" t="s">
        <v>656</v>
      </c>
      <c r="C84" s="206" t="s">
        <v>657</v>
      </c>
      <c r="D84" s="207" t="s">
        <v>372</v>
      </c>
      <c r="E84" s="208">
        <v>2.0</v>
      </c>
      <c r="F84" s="209">
        <v>697.5</v>
      </c>
      <c r="G84" s="210">
        <f t="shared" si="1"/>
        <v>1395</v>
      </c>
      <c r="H84" s="211"/>
      <c r="I84" s="212">
        <f t="shared" si="2"/>
        <v>0</v>
      </c>
      <c r="J84" s="211"/>
      <c r="K84" s="212">
        <f t="shared" si="3"/>
        <v>0</v>
      </c>
      <c r="L84" s="212">
        <v>21.0</v>
      </c>
      <c r="M84" s="212">
        <f t="shared" si="4"/>
        <v>1687.95</v>
      </c>
      <c r="N84" s="212">
        <v>0.0</v>
      </c>
      <c r="O84" s="212">
        <f t="shared" si="5"/>
        <v>0</v>
      </c>
      <c r="P84" s="212">
        <v>0.0</v>
      </c>
      <c r="Q84" s="212">
        <f t="shared" si="6"/>
        <v>0</v>
      </c>
      <c r="R84" s="212"/>
      <c r="S84" s="212" t="s">
        <v>178</v>
      </c>
      <c r="T84" s="212" t="s">
        <v>179</v>
      </c>
      <c r="U84" s="212">
        <v>0.0</v>
      </c>
      <c r="V84" s="212">
        <f t="shared" si="7"/>
        <v>0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04">
        <v>29.0</v>
      </c>
      <c r="B85" s="205" t="s">
        <v>658</v>
      </c>
      <c r="C85" s="206" t="s">
        <v>659</v>
      </c>
      <c r="D85" s="207" t="s">
        <v>372</v>
      </c>
      <c r="E85" s="208">
        <v>27.0</v>
      </c>
      <c r="F85" s="209">
        <v>591.0</v>
      </c>
      <c r="G85" s="210">
        <f t="shared" si="1"/>
        <v>15957</v>
      </c>
      <c r="H85" s="211"/>
      <c r="I85" s="212">
        <f t="shared" si="2"/>
        <v>0</v>
      </c>
      <c r="J85" s="211"/>
      <c r="K85" s="212">
        <f t="shared" si="3"/>
        <v>0</v>
      </c>
      <c r="L85" s="212">
        <v>21.0</v>
      </c>
      <c r="M85" s="212">
        <f t="shared" si="4"/>
        <v>19307.97</v>
      </c>
      <c r="N85" s="212">
        <v>0.0</v>
      </c>
      <c r="O85" s="212">
        <f t="shared" si="5"/>
        <v>0</v>
      </c>
      <c r="P85" s="212">
        <v>0.0</v>
      </c>
      <c r="Q85" s="212">
        <f t="shared" si="6"/>
        <v>0</v>
      </c>
      <c r="R85" s="212"/>
      <c r="S85" s="212" t="s">
        <v>178</v>
      </c>
      <c r="T85" s="212" t="s">
        <v>179</v>
      </c>
      <c r="U85" s="212">
        <v>0.0</v>
      </c>
      <c r="V85" s="212">
        <f t="shared" si="7"/>
        <v>0</v>
      </c>
      <c r="W85" s="212"/>
      <c r="X85" s="212" t="s">
        <v>225</v>
      </c>
      <c r="Y85" s="213"/>
      <c r="Z85" s="213"/>
      <c r="AA85" s="213"/>
      <c r="AB85" s="213"/>
      <c r="AC85" s="213"/>
      <c r="AD85" s="213"/>
      <c r="AE85" s="213"/>
      <c r="AF85" s="213"/>
      <c r="AG85" s="213" t="s">
        <v>226</v>
      </c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04">
        <v>30.0</v>
      </c>
      <c r="B86" s="205" t="s">
        <v>660</v>
      </c>
      <c r="C86" s="206" t="s">
        <v>661</v>
      </c>
      <c r="D86" s="207" t="s">
        <v>372</v>
      </c>
      <c r="E86" s="208">
        <v>79.0</v>
      </c>
      <c r="F86" s="209">
        <v>533.5</v>
      </c>
      <c r="G86" s="210">
        <f t="shared" si="1"/>
        <v>42146.5</v>
      </c>
      <c r="H86" s="211"/>
      <c r="I86" s="212">
        <f t="shared" si="2"/>
        <v>0</v>
      </c>
      <c r="J86" s="211"/>
      <c r="K86" s="212">
        <f t="shared" si="3"/>
        <v>0</v>
      </c>
      <c r="L86" s="212">
        <v>21.0</v>
      </c>
      <c r="M86" s="212">
        <f t="shared" si="4"/>
        <v>50997.265</v>
      </c>
      <c r="N86" s="212">
        <v>0.0</v>
      </c>
      <c r="O86" s="212">
        <f t="shared" si="5"/>
        <v>0</v>
      </c>
      <c r="P86" s="212">
        <v>0.0</v>
      </c>
      <c r="Q86" s="212">
        <f t="shared" si="6"/>
        <v>0</v>
      </c>
      <c r="R86" s="212"/>
      <c r="S86" s="212" t="s">
        <v>178</v>
      </c>
      <c r="T86" s="212" t="s">
        <v>179</v>
      </c>
      <c r="U86" s="212">
        <v>0.0</v>
      </c>
      <c r="V86" s="212">
        <f t="shared" si="7"/>
        <v>0</v>
      </c>
      <c r="W86" s="212"/>
      <c r="X86" s="212" t="s">
        <v>225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226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04">
        <v>31.0</v>
      </c>
      <c r="B87" s="205" t="s">
        <v>826</v>
      </c>
      <c r="C87" s="206" t="s">
        <v>983</v>
      </c>
      <c r="D87" s="207" t="s">
        <v>251</v>
      </c>
      <c r="E87" s="208">
        <v>7.5</v>
      </c>
      <c r="F87" s="209">
        <v>5567.56</v>
      </c>
      <c r="G87" s="210">
        <f t="shared" si="1"/>
        <v>41756.7</v>
      </c>
      <c r="H87" s="211"/>
      <c r="I87" s="212">
        <f t="shared" si="2"/>
        <v>0</v>
      </c>
      <c r="J87" s="211"/>
      <c r="K87" s="212">
        <f t="shared" si="3"/>
        <v>0</v>
      </c>
      <c r="L87" s="212">
        <v>21.0</v>
      </c>
      <c r="M87" s="212">
        <f t="shared" si="4"/>
        <v>50525.607</v>
      </c>
      <c r="N87" s="212">
        <v>0.0</v>
      </c>
      <c r="O87" s="212">
        <f t="shared" si="5"/>
        <v>0</v>
      </c>
      <c r="P87" s="212">
        <v>0.0</v>
      </c>
      <c r="Q87" s="212">
        <f t="shared" si="6"/>
        <v>0</v>
      </c>
      <c r="R87" s="212"/>
      <c r="S87" s="212" t="s">
        <v>178</v>
      </c>
      <c r="T87" s="212" t="s">
        <v>179</v>
      </c>
      <c r="U87" s="212">
        <v>0.0</v>
      </c>
      <c r="V87" s="212">
        <f t="shared" si="7"/>
        <v>0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04">
        <v>32.0</v>
      </c>
      <c r="B88" s="205" t="s">
        <v>662</v>
      </c>
      <c r="C88" s="206" t="s">
        <v>663</v>
      </c>
      <c r="D88" s="207" t="s">
        <v>251</v>
      </c>
      <c r="E88" s="208">
        <v>215.83</v>
      </c>
      <c r="F88" s="209">
        <v>61.0</v>
      </c>
      <c r="G88" s="210">
        <f t="shared" si="1"/>
        <v>13165.63</v>
      </c>
      <c r="H88" s="211"/>
      <c r="I88" s="212">
        <f t="shared" si="2"/>
        <v>0</v>
      </c>
      <c r="J88" s="211"/>
      <c r="K88" s="212">
        <f t="shared" si="3"/>
        <v>0</v>
      </c>
      <c r="L88" s="212">
        <v>21.0</v>
      </c>
      <c r="M88" s="212">
        <f t="shared" si="4"/>
        <v>15930.4123</v>
      </c>
      <c r="N88" s="212">
        <v>0.0</v>
      </c>
      <c r="O88" s="212">
        <f t="shared" si="5"/>
        <v>0</v>
      </c>
      <c r="P88" s="212">
        <v>0.0</v>
      </c>
      <c r="Q88" s="212">
        <f t="shared" si="6"/>
        <v>0</v>
      </c>
      <c r="R88" s="212"/>
      <c r="S88" s="212" t="s">
        <v>184</v>
      </c>
      <c r="T88" s="212" t="s">
        <v>184</v>
      </c>
      <c r="U88" s="212">
        <v>0.055</v>
      </c>
      <c r="V88" s="212">
        <f t="shared" si="7"/>
        <v>11.87</v>
      </c>
      <c r="W88" s="212"/>
      <c r="X88" s="212" t="s">
        <v>225</v>
      </c>
      <c r="Y88" s="213"/>
      <c r="Z88" s="213"/>
      <c r="AA88" s="213"/>
      <c r="AB88" s="213"/>
      <c r="AC88" s="213"/>
      <c r="AD88" s="213"/>
      <c r="AE88" s="213"/>
      <c r="AF88" s="213"/>
      <c r="AG88" s="213" t="s">
        <v>226</v>
      </c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04">
        <v>33.0</v>
      </c>
      <c r="B89" s="205" t="s">
        <v>664</v>
      </c>
      <c r="C89" s="206" t="s">
        <v>665</v>
      </c>
      <c r="D89" s="207" t="s">
        <v>251</v>
      </c>
      <c r="E89" s="208">
        <v>215.83</v>
      </c>
      <c r="F89" s="209">
        <v>61.5</v>
      </c>
      <c r="G89" s="210">
        <f t="shared" si="1"/>
        <v>13273.55</v>
      </c>
      <c r="H89" s="211"/>
      <c r="I89" s="212">
        <f t="shared" si="2"/>
        <v>0</v>
      </c>
      <c r="J89" s="211"/>
      <c r="K89" s="212">
        <f t="shared" si="3"/>
        <v>0</v>
      </c>
      <c r="L89" s="212">
        <v>21.0</v>
      </c>
      <c r="M89" s="212">
        <f t="shared" si="4"/>
        <v>16060.9955</v>
      </c>
      <c r="N89" s="212">
        <v>0.0</v>
      </c>
      <c r="O89" s="212">
        <f t="shared" si="5"/>
        <v>0</v>
      </c>
      <c r="P89" s="212">
        <v>0.0</v>
      </c>
      <c r="Q89" s="212">
        <f t="shared" si="6"/>
        <v>0</v>
      </c>
      <c r="R89" s="212"/>
      <c r="S89" s="212" t="s">
        <v>184</v>
      </c>
      <c r="T89" s="212" t="s">
        <v>184</v>
      </c>
      <c r="U89" s="212">
        <v>0.4</v>
      </c>
      <c r="V89" s="212">
        <f t="shared" si="7"/>
        <v>86.33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14">
        <v>34.0</v>
      </c>
      <c r="B90" s="215" t="s">
        <v>666</v>
      </c>
      <c r="C90" s="216" t="s">
        <v>667</v>
      </c>
      <c r="D90" s="217" t="s">
        <v>251</v>
      </c>
      <c r="E90" s="218">
        <v>237.413</v>
      </c>
      <c r="F90" s="219">
        <v>26.6</v>
      </c>
      <c r="G90" s="220">
        <f t="shared" si="1"/>
        <v>6315.19</v>
      </c>
      <c r="H90" s="211"/>
      <c r="I90" s="212">
        <f t="shared" si="2"/>
        <v>0</v>
      </c>
      <c r="J90" s="211"/>
      <c r="K90" s="212">
        <f t="shared" si="3"/>
        <v>0</v>
      </c>
      <c r="L90" s="212">
        <v>21.0</v>
      </c>
      <c r="M90" s="212">
        <f t="shared" si="4"/>
        <v>7641.3799</v>
      </c>
      <c r="N90" s="212">
        <v>0.0</v>
      </c>
      <c r="O90" s="212">
        <f t="shared" si="5"/>
        <v>0</v>
      </c>
      <c r="P90" s="212">
        <v>0.0</v>
      </c>
      <c r="Q90" s="212">
        <f t="shared" si="6"/>
        <v>0</v>
      </c>
      <c r="R90" s="212"/>
      <c r="S90" s="212" t="s">
        <v>184</v>
      </c>
      <c r="T90" s="212" t="s">
        <v>184</v>
      </c>
      <c r="U90" s="212">
        <v>0.026</v>
      </c>
      <c r="V90" s="212">
        <f t="shared" si="7"/>
        <v>6.17</v>
      </c>
      <c r="W90" s="212"/>
      <c r="X90" s="212" t="s">
        <v>225</v>
      </c>
      <c r="Y90" s="213"/>
      <c r="Z90" s="213"/>
      <c r="AA90" s="213"/>
      <c r="AB90" s="213"/>
      <c r="AC90" s="213"/>
      <c r="AD90" s="213"/>
      <c r="AE90" s="213"/>
      <c r="AF90" s="213"/>
      <c r="AG90" s="213" t="s">
        <v>226</v>
      </c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37" t="s">
        <v>984</v>
      </c>
      <c r="D91" s="238"/>
      <c r="E91" s="239">
        <v>237.41</v>
      </c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>
        <v>0.0</v>
      </c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14">
        <v>35.0</v>
      </c>
      <c r="B92" s="215" t="s">
        <v>572</v>
      </c>
      <c r="C92" s="216" t="s">
        <v>668</v>
      </c>
      <c r="D92" s="217" t="s">
        <v>251</v>
      </c>
      <c r="E92" s="218">
        <v>226.6215</v>
      </c>
      <c r="F92" s="219">
        <v>2250.0</v>
      </c>
      <c r="G92" s="220">
        <f>ROUND(E92*F92,2)</f>
        <v>509898.38</v>
      </c>
      <c r="H92" s="211"/>
      <c r="I92" s="212">
        <f>ROUND(E92*H92,2)</f>
        <v>0</v>
      </c>
      <c r="J92" s="211"/>
      <c r="K92" s="212">
        <f>ROUND(E92*J92,2)</f>
        <v>0</v>
      </c>
      <c r="L92" s="212">
        <v>21.0</v>
      </c>
      <c r="M92" s="212">
        <f>G92*(1+L92/100)</f>
        <v>616977.0398</v>
      </c>
      <c r="N92" s="212">
        <v>0.028</v>
      </c>
      <c r="O92" s="212">
        <f>ROUND(E92*N92,2)</f>
        <v>6.35</v>
      </c>
      <c r="P92" s="212">
        <v>0.0</v>
      </c>
      <c r="Q92" s="212">
        <f>ROUND(E92*P92,2)</f>
        <v>0</v>
      </c>
      <c r="R92" s="212"/>
      <c r="S92" s="212" t="s">
        <v>178</v>
      </c>
      <c r="T92" s="212" t="s">
        <v>179</v>
      </c>
      <c r="U92" s="212">
        <v>0.0</v>
      </c>
      <c r="V92" s="212">
        <f>ROUND(E92*U92,2)</f>
        <v>0</v>
      </c>
      <c r="W92" s="212"/>
      <c r="X92" s="212" t="s">
        <v>225</v>
      </c>
      <c r="Y92" s="213"/>
      <c r="Z92" s="213"/>
      <c r="AA92" s="213"/>
      <c r="AB92" s="213"/>
      <c r="AC92" s="213"/>
      <c r="AD92" s="213"/>
      <c r="AE92" s="213"/>
      <c r="AF92" s="213"/>
      <c r="AG92" s="213" t="s">
        <v>226</v>
      </c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634</v>
      </c>
      <c r="D93" s="238"/>
      <c r="E93" s="239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37" t="s">
        <v>985</v>
      </c>
      <c r="D94" s="238"/>
      <c r="E94" s="239">
        <v>226.62</v>
      </c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>
        <v>0.0</v>
      </c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04">
        <v>36.0</v>
      </c>
      <c r="B95" s="205" t="s">
        <v>670</v>
      </c>
      <c r="C95" s="206" t="s">
        <v>671</v>
      </c>
      <c r="D95" s="207" t="s">
        <v>372</v>
      </c>
      <c r="E95" s="208">
        <v>1.0</v>
      </c>
      <c r="F95" s="209">
        <v>1881.5</v>
      </c>
      <c r="G95" s="210">
        <f t="shared" ref="G95:G105" si="8">ROUND(E95*F95,2)</f>
        <v>1881.5</v>
      </c>
      <c r="H95" s="211"/>
      <c r="I95" s="212">
        <f t="shared" ref="I95:I105" si="9">ROUND(E95*H95,2)</f>
        <v>0</v>
      </c>
      <c r="J95" s="211"/>
      <c r="K95" s="212">
        <f t="shared" ref="K95:K105" si="10">ROUND(E95*J95,2)</f>
        <v>0</v>
      </c>
      <c r="L95" s="212">
        <v>21.0</v>
      </c>
      <c r="M95" s="212">
        <f t="shared" ref="M95:M105" si="11">G95*(1+L95/100)</f>
        <v>2276.615</v>
      </c>
      <c r="N95" s="212">
        <v>0.0</v>
      </c>
      <c r="O95" s="212">
        <f t="shared" ref="O95:O105" si="12">ROUND(E95*N95,2)</f>
        <v>0</v>
      </c>
      <c r="P95" s="212">
        <v>0.0</v>
      </c>
      <c r="Q95" s="212">
        <f t="shared" ref="Q95:Q105" si="13">ROUND(E95*P95,2)</f>
        <v>0</v>
      </c>
      <c r="R95" s="212"/>
      <c r="S95" s="212" t="s">
        <v>178</v>
      </c>
      <c r="T95" s="212" t="s">
        <v>179</v>
      </c>
      <c r="U95" s="212">
        <v>0.0</v>
      </c>
      <c r="V95" s="212">
        <f t="shared" ref="V95:V105" si="14">ROUND(E95*U95,2)</f>
        <v>0</v>
      </c>
      <c r="W95" s="212"/>
      <c r="X95" s="212" t="s">
        <v>225</v>
      </c>
      <c r="Y95" s="213"/>
      <c r="Z95" s="213"/>
      <c r="AA95" s="213"/>
      <c r="AB95" s="213"/>
      <c r="AC95" s="213"/>
      <c r="AD95" s="213"/>
      <c r="AE95" s="213"/>
      <c r="AF95" s="213"/>
      <c r="AG95" s="213" t="s">
        <v>226</v>
      </c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04">
        <v>37.0</v>
      </c>
      <c r="B96" s="205" t="s">
        <v>672</v>
      </c>
      <c r="C96" s="206" t="s">
        <v>673</v>
      </c>
      <c r="D96" s="207" t="s">
        <v>372</v>
      </c>
      <c r="E96" s="208">
        <v>1.0</v>
      </c>
      <c r="F96" s="209">
        <v>2095.0</v>
      </c>
      <c r="G96" s="210">
        <f t="shared" si="8"/>
        <v>2095</v>
      </c>
      <c r="H96" s="211"/>
      <c r="I96" s="212">
        <f t="shared" si="9"/>
        <v>0</v>
      </c>
      <c r="J96" s="211"/>
      <c r="K96" s="212">
        <f t="shared" si="10"/>
        <v>0</v>
      </c>
      <c r="L96" s="212">
        <v>21.0</v>
      </c>
      <c r="M96" s="212">
        <f t="shared" si="11"/>
        <v>2534.95</v>
      </c>
      <c r="N96" s="212">
        <v>0.0</v>
      </c>
      <c r="O96" s="212">
        <f t="shared" si="12"/>
        <v>0</v>
      </c>
      <c r="P96" s="212">
        <v>0.0</v>
      </c>
      <c r="Q96" s="212">
        <f t="shared" si="13"/>
        <v>0</v>
      </c>
      <c r="R96" s="212"/>
      <c r="S96" s="212" t="s">
        <v>178</v>
      </c>
      <c r="T96" s="212" t="s">
        <v>179</v>
      </c>
      <c r="U96" s="212">
        <v>0.0</v>
      </c>
      <c r="V96" s="212">
        <f t="shared" si="14"/>
        <v>0</v>
      </c>
      <c r="W96" s="212"/>
      <c r="X96" s="212" t="s">
        <v>225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226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04">
        <v>38.0</v>
      </c>
      <c r="B97" s="205" t="s">
        <v>674</v>
      </c>
      <c r="C97" s="206" t="s">
        <v>675</v>
      </c>
      <c r="D97" s="207" t="s">
        <v>372</v>
      </c>
      <c r="E97" s="208">
        <v>2.0</v>
      </c>
      <c r="F97" s="209">
        <v>1098.5</v>
      </c>
      <c r="G97" s="210">
        <f t="shared" si="8"/>
        <v>2197</v>
      </c>
      <c r="H97" s="211"/>
      <c r="I97" s="212">
        <f t="shared" si="9"/>
        <v>0</v>
      </c>
      <c r="J97" s="211"/>
      <c r="K97" s="212">
        <f t="shared" si="10"/>
        <v>0</v>
      </c>
      <c r="L97" s="212">
        <v>21.0</v>
      </c>
      <c r="M97" s="212">
        <f t="shared" si="11"/>
        <v>2658.37</v>
      </c>
      <c r="N97" s="212">
        <v>0.0</v>
      </c>
      <c r="O97" s="212">
        <f t="shared" si="12"/>
        <v>0</v>
      </c>
      <c r="P97" s="212">
        <v>0.0</v>
      </c>
      <c r="Q97" s="212">
        <f t="shared" si="13"/>
        <v>0</v>
      </c>
      <c r="R97" s="212"/>
      <c r="S97" s="212" t="s">
        <v>178</v>
      </c>
      <c r="T97" s="212" t="s">
        <v>179</v>
      </c>
      <c r="U97" s="212">
        <v>0.0</v>
      </c>
      <c r="V97" s="212">
        <f t="shared" si="14"/>
        <v>0</v>
      </c>
      <c r="W97" s="212"/>
      <c r="X97" s="212" t="s">
        <v>225</v>
      </c>
      <c r="Y97" s="213"/>
      <c r="Z97" s="213"/>
      <c r="AA97" s="213"/>
      <c r="AB97" s="213"/>
      <c r="AC97" s="213"/>
      <c r="AD97" s="213"/>
      <c r="AE97" s="213"/>
      <c r="AF97" s="213"/>
      <c r="AG97" s="213" t="s">
        <v>226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04">
        <v>39.0</v>
      </c>
      <c r="B98" s="205" t="s">
        <v>676</v>
      </c>
      <c r="C98" s="206" t="s">
        <v>677</v>
      </c>
      <c r="D98" s="207" t="s">
        <v>372</v>
      </c>
      <c r="E98" s="208">
        <v>2.0</v>
      </c>
      <c r="F98" s="209">
        <v>1336.0</v>
      </c>
      <c r="G98" s="210">
        <f t="shared" si="8"/>
        <v>2672</v>
      </c>
      <c r="H98" s="211"/>
      <c r="I98" s="212">
        <f t="shared" si="9"/>
        <v>0</v>
      </c>
      <c r="J98" s="211"/>
      <c r="K98" s="212">
        <f t="shared" si="10"/>
        <v>0</v>
      </c>
      <c r="L98" s="212">
        <v>21.0</v>
      </c>
      <c r="M98" s="212">
        <f t="shared" si="11"/>
        <v>3233.12</v>
      </c>
      <c r="N98" s="212">
        <v>0.0</v>
      </c>
      <c r="O98" s="212">
        <f t="shared" si="12"/>
        <v>0</v>
      </c>
      <c r="P98" s="212">
        <v>0.0</v>
      </c>
      <c r="Q98" s="212">
        <f t="shared" si="13"/>
        <v>0</v>
      </c>
      <c r="R98" s="212"/>
      <c r="S98" s="212" t="s">
        <v>178</v>
      </c>
      <c r="T98" s="212" t="s">
        <v>179</v>
      </c>
      <c r="U98" s="212">
        <v>0.0</v>
      </c>
      <c r="V98" s="212">
        <f t="shared" si="14"/>
        <v>0</v>
      </c>
      <c r="W98" s="212"/>
      <c r="X98" s="212" t="s">
        <v>225</v>
      </c>
      <c r="Y98" s="213"/>
      <c r="Z98" s="213"/>
      <c r="AA98" s="213"/>
      <c r="AB98" s="213"/>
      <c r="AC98" s="213"/>
      <c r="AD98" s="213"/>
      <c r="AE98" s="213"/>
      <c r="AF98" s="213"/>
      <c r="AG98" s="213" t="s">
        <v>226</v>
      </c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04">
        <v>40.0</v>
      </c>
      <c r="B99" s="205" t="s">
        <v>678</v>
      </c>
      <c r="C99" s="206" t="s">
        <v>986</v>
      </c>
      <c r="D99" s="207" t="s">
        <v>372</v>
      </c>
      <c r="E99" s="208">
        <v>2.0</v>
      </c>
      <c r="F99" s="209">
        <v>3540.0</v>
      </c>
      <c r="G99" s="210">
        <f t="shared" si="8"/>
        <v>7080</v>
      </c>
      <c r="H99" s="211"/>
      <c r="I99" s="212">
        <f t="shared" si="9"/>
        <v>0</v>
      </c>
      <c r="J99" s="211"/>
      <c r="K99" s="212">
        <f t="shared" si="10"/>
        <v>0</v>
      </c>
      <c r="L99" s="212">
        <v>21.0</v>
      </c>
      <c r="M99" s="212">
        <f t="shared" si="11"/>
        <v>8566.8</v>
      </c>
      <c r="N99" s="212">
        <v>0.0</v>
      </c>
      <c r="O99" s="212">
        <f t="shared" si="12"/>
        <v>0</v>
      </c>
      <c r="P99" s="212">
        <v>0.0</v>
      </c>
      <c r="Q99" s="212">
        <f t="shared" si="13"/>
        <v>0</v>
      </c>
      <c r="R99" s="212"/>
      <c r="S99" s="212" t="s">
        <v>178</v>
      </c>
      <c r="T99" s="212" t="s">
        <v>179</v>
      </c>
      <c r="U99" s="212">
        <v>0.0</v>
      </c>
      <c r="V99" s="212">
        <f t="shared" si="14"/>
        <v>0</v>
      </c>
      <c r="W99" s="212"/>
      <c r="X99" s="212" t="s">
        <v>225</v>
      </c>
      <c r="Y99" s="213"/>
      <c r="Z99" s="213"/>
      <c r="AA99" s="213"/>
      <c r="AB99" s="213"/>
      <c r="AC99" s="213"/>
      <c r="AD99" s="213"/>
      <c r="AE99" s="213"/>
      <c r="AF99" s="213"/>
      <c r="AG99" s="213" t="s">
        <v>226</v>
      </c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04">
        <v>41.0</v>
      </c>
      <c r="B100" s="205" t="s">
        <v>680</v>
      </c>
      <c r="C100" s="206" t="s">
        <v>683</v>
      </c>
      <c r="D100" s="207" t="s">
        <v>372</v>
      </c>
      <c r="E100" s="208">
        <v>2.0</v>
      </c>
      <c r="F100" s="209">
        <v>3840.0</v>
      </c>
      <c r="G100" s="210">
        <f t="shared" si="8"/>
        <v>7680</v>
      </c>
      <c r="H100" s="211"/>
      <c r="I100" s="212">
        <f t="shared" si="9"/>
        <v>0</v>
      </c>
      <c r="J100" s="211"/>
      <c r="K100" s="212">
        <f t="shared" si="10"/>
        <v>0</v>
      </c>
      <c r="L100" s="212">
        <v>21.0</v>
      </c>
      <c r="M100" s="212">
        <f t="shared" si="11"/>
        <v>9292.8</v>
      </c>
      <c r="N100" s="212">
        <v>0.0</v>
      </c>
      <c r="O100" s="212">
        <f t="shared" si="12"/>
        <v>0</v>
      </c>
      <c r="P100" s="212">
        <v>0.0</v>
      </c>
      <c r="Q100" s="212">
        <f t="shared" si="13"/>
        <v>0</v>
      </c>
      <c r="R100" s="212"/>
      <c r="S100" s="212" t="s">
        <v>178</v>
      </c>
      <c r="T100" s="212" t="s">
        <v>179</v>
      </c>
      <c r="U100" s="212">
        <v>0.0</v>
      </c>
      <c r="V100" s="212">
        <f t="shared" si="14"/>
        <v>0</v>
      </c>
      <c r="W100" s="212"/>
      <c r="X100" s="212" t="s">
        <v>225</v>
      </c>
      <c r="Y100" s="213"/>
      <c r="Z100" s="213"/>
      <c r="AA100" s="213"/>
      <c r="AB100" s="213"/>
      <c r="AC100" s="213"/>
      <c r="AD100" s="213"/>
      <c r="AE100" s="213"/>
      <c r="AF100" s="213"/>
      <c r="AG100" s="213" t="s">
        <v>226</v>
      </c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04">
        <v>42.0</v>
      </c>
      <c r="B101" s="205" t="s">
        <v>682</v>
      </c>
      <c r="C101" s="206" t="s">
        <v>987</v>
      </c>
      <c r="D101" s="207" t="s">
        <v>372</v>
      </c>
      <c r="E101" s="208">
        <v>2.0</v>
      </c>
      <c r="F101" s="209">
        <v>3840.0</v>
      </c>
      <c r="G101" s="210">
        <f t="shared" si="8"/>
        <v>7680</v>
      </c>
      <c r="H101" s="211"/>
      <c r="I101" s="212">
        <f t="shared" si="9"/>
        <v>0</v>
      </c>
      <c r="J101" s="211"/>
      <c r="K101" s="212">
        <f t="shared" si="10"/>
        <v>0</v>
      </c>
      <c r="L101" s="212">
        <v>21.0</v>
      </c>
      <c r="M101" s="212">
        <f t="shared" si="11"/>
        <v>9292.8</v>
      </c>
      <c r="N101" s="212">
        <v>0.0</v>
      </c>
      <c r="O101" s="212">
        <f t="shared" si="12"/>
        <v>0</v>
      </c>
      <c r="P101" s="212">
        <v>0.0</v>
      </c>
      <c r="Q101" s="212">
        <f t="shared" si="13"/>
        <v>0</v>
      </c>
      <c r="R101" s="212"/>
      <c r="S101" s="212" t="s">
        <v>178</v>
      </c>
      <c r="T101" s="212" t="s">
        <v>179</v>
      </c>
      <c r="U101" s="212">
        <v>0.0</v>
      </c>
      <c r="V101" s="212">
        <f t="shared" si="14"/>
        <v>0</v>
      </c>
      <c r="W101" s="212"/>
      <c r="X101" s="212" t="s">
        <v>225</v>
      </c>
      <c r="Y101" s="213"/>
      <c r="Z101" s="213"/>
      <c r="AA101" s="213"/>
      <c r="AB101" s="213"/>
      <c r="AC101" s="213"/>
      <c r="AD101" s="213"/>
      <c r="AE101" s="213"/>
      <c r="AF101" s="213"/>
      <c r="AG101" s="213" t="s">
        <v>226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04">
        <v>43.0</v>
      </c>
      <c r="B102" s="205" t="s">
        <v>684</v>
      </c>
      <c r="C102" s="206" t="s">
        <v>988</v>
      </c>
      <c r="D102" s="207" t="s">
        <v>372</v>
      </c>
      <c r="E102" s="208">
        <v>6.0</v>
      </c>
      <c r="F102" s="209">
        <v>2130.0</v>
      </c>
      <c r="G102" s="210">
        <f t="shared" si="8"/>
        <v>12780</v>
      </c>
      <c r="H102" s="211"/>
      <c r="I102" s="212">
        <f t="shared" si="9"/>
        <v>0</v>
      </c>
      <c r="J102" s="211"/>
      <c r="K102" s="212">
        <f t="shared" si="10"/>
        <v>0</v>
      </c>
      <c r="L102" s="212">
        <v>21.0</v>
      </c>
      <c r="M102" s="212">
        <f t="shared" si="11"/>
        <v>15463.8</v>
      </c>
      <c r="N102" s="212">
        <v>0.0</v>
      </c>
      <c r="O102" s="212">
        <f t="shared" si="12"/>
        <v>0</v>
      </c>
      <c r="P102" s="212">
        <v>0.0</v>
      </c>
      <c r="Q102" s="212">
        <f t="shared" si="13"/>
        <v>0</v>
      </c>
      <c r="R102" s="212"/>
      <c r="S102" s="212" t="s">
        <v>178</v>
      </c>
      <c r="T102" s="212" t="s">
        <v>179</v>
      </c>
      <c r="U102" s="212">
        <v>0.0</v>
      </c>
      <c r="V102" s="212">
        <f t="shared" si="14"/>
        <v>0</v>
      </c>
      <c r="W102" s="212"/>
      <c r="X102" s="212" t="s">
        <v>225</v>
      </c>
      <c r="Y102" s="213"/>
      <c r="Z102" s="213"/>
      <c r="AA102" s="213"/>
      <c r="AB102" s="213"/>
      <c r="AC102" s="213"/>
      <c r="AD102" s="213"/>
      <c r="AE102" s="213"/>
      <c r="AF102" s="213"/>
      <c r="AG102" s="213" t="s">
        <v>226</v>
      </c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04">
        <v>44.0</v>
      </c>
      <c r="B103" s="205" t="s">
        <v>686</v>
      </c>
      <c r="C103" s="206" t="s">
        <v>989</v>
      </c>
      <c r="D103" s="207" t="s">
        <v>372</v>
      </c>
      <c r="E103" s="208">
        <v>1.0</v>
      </c>
      <c r="F103" s="209">
        <v>1639.0</v>
      </c>
      <c r="G103" s="210">
        <f t="shared" si="8"/>
        <v>1639</v>
      </c>
      <c r="H103" s="211"/>
      <c r="I103" s="212">
        <f t="shared" si="9"/>
        <v>0</v>
      </c>
      <c r="J103" s="211"/>
      <c r="K103" s="212">
        <f t="shared" si="10"/>
        <v>0</v>
      </c>
      <c r="L103" s="212">
        <v>21.0</v>
      </c>
      <c r="M103" s="212">
        <f t="shared" si="11"/>
        <v>1983.19</v>
      </c>
      <c r="N103" s="212">
        <v>0.0</v>
      </c>
      <c r="O103" s="212">
        <f t="shared" si="12"/>
        <v>0</v>
      </c>
      <c r="P103" s="212">
        <v>0.0</v>
      </c>
      <c r="Q103" s="212">
        <f t="shared" si="13"/>
        <v>0</v>
      </c>
      <c r="R103" s="212"/>
      <c r="S103" s="212" t="s">
        <v>178</v>
      </c>
      <c r="T103" s="212" t="s">
        <v>179</v>
      </c>
      <c r="U103" s="212">
        <v>0.0</v>
      </c>
      <c r="V103" s="212">
        <f t="shared" si="14"/>
        <v>0</v>
      </c>
      <c r="W103" s="212"/>
      <c r="X103" s="212" t="s">
        <v>225</v>
      </c>
      <c r="Y103" s="213"/>
      <c r="Z103" s="213"/>
      <c r="AA103" s="213"/>
      <c r="AB103" s="213"/>
      <c r="AC103" s="213"/>
      <c r="AD103" s="213"/>
      <c r="AE103" s="213"/>
      <c r="AF103" s="213"/>
      <c r="AG103" s="213" t="s">
        <v>226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04">
        <v>45.0</v>
      </c>
      <c r="B104" s="205" t="s">
        <v>854</v>
      </c>
      <c r="C104" s="206" t="s">
        <v>685</v>
      </c>
      <c r="D104" s="207" t="s">
        <v>372</v>
      </c>
      <c r="E104" s="208">
        <v>1.0</v>
      </c>
      <c r="F104" s="209">
        <v>2130.0</v>
      </c>
      <c r="G104" s="210">
        <f t="shared" si="8"/>
        <v>2130</v>
      </c>
      <c r="H104" s="211"/>
      <c r="I104" s="212">
        <f t="shared" si="9"/>
        <v>0</v>
      </c>
      <c r="J104" s="211"/>
      <c r="K104" s="212">
        <f t="shared" si="10"/>
        <v>0</v>
      </c>
      <c r="L104" s="212">
        <v>21.0</v>
      </c>
      <c r="M104" s="212">
        <f t="shared" si="11"/>
        <v>2577.3</v>
      </c>
      <c r="N104" s="212">
        <v>0.0</v>
      </c>
      <c r="O104" s="212">
        <f t="shared" si="12"/>
        <v>0</v>
      </c>
      <c r="P104" s="212">
        <v>0.0</v>
      </c>
      <c r="Q104" s="212">
        <f t="shared" si="13"/>
        <v>0</v>
      </c>
      <c r="R104" s="212"/>
      <c r="S104" s="212" t="s">
        <v>178</v>
      </c>
      <c r="T104" s="212" t="s">
        <v>179</v>
      </c>
      <c r="U104" s="212">
        <v>0.0</v>
      </c>
      <c r="V104" s="212">
        <f t="shared" si="14"/>
        <v>0</v>
      </c>
      <c r="W104" s="212"/>
      <c r="X104" s="212" t="s">
        <v>225</v>
      </c>
      <c r="Y104" s="213"/>
      <c r="Z104" s="213"/>
      <c r="AA104" s="213"/>
      <c r="AB104" s="213"/>
      <c r="AC104" s="213"/>
      <c r="AD104" s="213"/>
      <c r="AE104" s="213"/>
      <c r="AF104" s="213"/>
      <c r="AG104" s="213" t="s">
        <v>226</v>
      </c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04">
        <v>46.0</v>
      </c>
      <c r="B105" s="205" t="s">
        <v>990</v>
      </c>
      <c r="C105" s="206" t="s">
        <v>991</v>
      </c>
      <c r="D105" s="207" t="s">
        <v>372</v>
      </c>
      <c r="E105" s="208">
        <v>1.0</v>
      </c>
      <c r="F105" s="209">
        <v>494.55</v>
      </c>
      <c r="G105" s="210">
        <f t="shared" si="8"/>
        <v>494.55</v>
      </c>
      <c r="H105" s="211"/>
      <c r="I105" s="212">
        <f t="shared" si="9"/>
        <v>0</v>
      </c>
      <c r="J105" s="211"/>
      <c r="K105" s="212">
        <f t="shared" si="10"/>
        <v>0</v>
      </c>
      <c r="L105" s="212">
        <v>21.0</v>
      </c>
      <c r="M105" s="212">
        <f t="shared" si="11"/>
        <v>598.4055</v>
      </c>
      <c r="N105" s="212">
        <v>0.0</v>
      </c>
      <c r="O105" s="212">
        <f t="shared" si="12"/>
        <v>0</v>
      </c>
      <c r="P105" s="212">
        <v>0.0</v>
      </c>
      <c r="Q105" s="212">
        <f t="shared" si="13"/>
        <v>0</v>
      </c>
      <c r="R105" s="212"/>
      <c r="S105" s="212" t="s">
        <v>178</v>
      </c>
      <c r="T105" s="212" t="s">
        <v>179</v>
      </c>
      <c r="U105" s="212">
        <v>0.0</v>
      </c>
      <c r="V105" s="212">
        <f t="shared" si="14"/>
        <v>0</v>
      </c>
      <c r="W105" s="212"/>
      <c r="X105" s="212" t="s">
        <v>225</v>
      </c>
      <c r="Y105" s="213"/>
      <c r="Z105" s="213"/>
      <c r="AA105" s="213"/>
      <c r="AB105" s="213"/>
      <c r="AC105" s="213"/>
      <c r="AD105" s="213"/>
      <c r="AE105" s="213"/>
      <c r="AF105" s="213"/>
      <c r="AG105" s="213" t="s">
        <v>226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>
      <c r="A106" s="196" t="s">
        <v>173</v>
      </c>
      <c r="B106" s="197" t="s">
        <v>122</v>
      </c>
      <c r="C106" s="198" t="s">
        <v>123</v>
      </c>
      <c r="D106" s="199"/>
      <c r="E106" s="200"/>
      <c r="F106" s="201"/>
      <c r="G106" s="202">
        <f>SUMIF(AG107:AG110,"&lt;&gt;NOR",G107:G110)</f>
        <v>29644.22</v>
      </c>
      <c r="H106" s="203"/>
      <c r="I106" s="203">
        <f>SUM(I107:I110)</f>
        <v>0</v>
      </c>
      <c r="J106" s="203"/>
      <c r="K106" s="203">
        <f>SUM(K107:K110)</f>
        <v>0</v>
      </c>
      <c r="L106" s="203"/>
      <c r="M106" s="203">
        <f>SUM(M107:M110)</f>
        <v>35869.5062</v>
      </c>
      <c r="N106" s="203"/>
      <c r="O106" s="203">
        <f>SUM(O107:O110)</f>
        <v>0</v>
      </c>
      <c r="P106" s="203"/>
      <c r="Q106" s="203">
        <f>SUM(Q107:Q110)</f>
        <v>0</v>
      </c>
      <c r="R106" s="203"/>
      <c r="S106" s="203"/>
      <c r="T106" s="203"/>
      <c r="U106" s="203"/>
      <c r="V106" s="203">
        <f>SUM(V107:V110)</f>
        <v>108.72</v>
      </c>
      <c r="W106" s="203"/>
      <c r="X106" s="203"/>
      <c r="AG106" s="184" t="s">
        <v>174</v>
      </c>
    </row>
    <row r="107" ht="12.75" customHeight="1" outlineLevel="1">
      <c r="A107" s="214">
        <v>47.0</v>
      </c>
      <c r="B107" s="215" t="s">
        <v>395</v>
      </c>
      <c r="C107" s="216" t="s">
        <v>396</v>
      </c>
      <c r="D107" s="217" t="s">
        <v>316</v>
      </c>
      <c r="E107" s="218">
        <v>240.63822</v>
      </c>
      <c r="F107" s="219">
        <v>123.19</v>
      </c>
      <c r="G107" s="220">
        <f>ROUND(E107*F107,2)</f>
        <v>29644.22</v>
      </c>
      <c r="H107" s="211"/>
      <c r="I107" s="212">
        <f>ROUND(E107*H107,2)</f>
        <v>0</v>
      </c>
      <c r="J107" s="211"/>
      <c r="K107" s="212">
        <f>ROUND(E107*J107,2)</f>
        <v>0</v>
      </c>
      <c r="L107" s="212">
        <v>21.0</v>
      </c>
      <c r="M107" s="212">
        <f>G107*(1+L107/100)</f>
        <v>35869.5062</v>
      </c>
      <c r="N107" s="212">
        <v>0.0</v>
      </c>
      <c r="O107" s="212">
        <f>ROUND(E107*N107,2)</f>
        <v>0</v>
      </c>
      <c r="P107" s="212">
        <v>0.0</v>
      </c>
      <c r="Q107" s="212">
        <f>ROUND(E107*P107,2)</f>
        <v>0</v>
      </c>
      <c r="R107" s="212"/>
      <c r="S107" s="212" t="s">
        <v>184</v>
      </c>
      <c r="T107" s="212" t="s">
        <v>184</v>
      </c>
      <c r="U107" s="212">
        <v>0.4518</v>
      </c>
      <c r="V107" s="212">
        <f>ROUND(E107*U107,2)</f>
        <v>108.72</v>
      </c>
      <c r="W107" s="212"/>
      <c r="X107" s="212" t="s">
        <v>397</v>
      </c>
      <c r="Y107" s="213"/>
      <c r="Z107" s="213"/>
      <c r="AA107" s="213"/>
      <c r="AB107" s="213"/>
      <c r="AC107" s="213"/>
      <c r="AD107" s="213"/>
      <c r="AE107" s="213"/>
      <c r="AF107" s="213"/>
      <c r="AG107" s="213" t="s">
        <v>398</v>
      </c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399</v>
      </c>
      <c r="D108" s="238"/>
      <c r="E108" s="239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35"/>
      <c r="B109" s="236"/>
      <c r="C109" s="237" t="s">
        <v>992</v>
      </c>
      <c r="D109" s="238"/>
      <c r="E109" s="239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3"/>
      <c r="Z109" s="213"/>
      <c r="AA109" s="213"/>
      <c r="AB109" s="213"/>
      <c r="AC109" s="213"/>
      <c r="AD109" s="213"/>
      <c r="AE109" s="213"/>
      <c r="AF109" s="213"/>
      <c r="AG109" s="213" t="s">
        <v>228</v>
      </c>
      <c r="AH109" s="213">
        <v>0.0</v>
      </c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35"/>
      <c r="B110" s="236"/>
      <c r="C110" s="237" t="s">
        <v>993</v>
      </c>
      <c r="D110" s="238"/>
      <c r="E110" s="239">
        <v>240.63822</v>
      </c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3"/>
      <c r="Z110" s="213"/>
      <c r="AA110" s="213"/>
      <c r="AB110" s="213"/>
      <c r="AC110" s="213"/>
      <c r="AD110" s="213"/>
      <c r="AE110" s="213"/>
      <c r="AF110" s="213"/>
      <c r="AG110" s="213" t="s">
        <v>228</v>
      </c>
      <c r="AH110" s="213">
        <v>0.0</v>
      </c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>
      <c r="A111" s="196" t="s">
        <v>173</v>
      </c>
      <c r="B111" s="197" t="s">
        <v>126</v>
      </c>
      <c r="C111" s="198" t="s">
        <v>127</v>
      </c>
      <c r="D111" s="199"/>
      <c r="E111" s="200"/>
      <c r="F111" s="201"/>
      <c r="G111" s="202">
        <f>SUMIF(AG112:AG114,"&lt;&gt;NOR",G112:G114)</f>
        <v>8948.24</v>
      </c>
      <c r="H111" s="203"/>
      <c r="I111" s="203">
        <f>SUM(I112:I114)</f>
        <v>0</v>
      </c>
      <c r="J111" s="203"/>
      <c r="K111" s="203">
        <f>SUM(K112:K114)</f>
        <v>0</v>
      </c>
      <c r="L111" s="203"/>
      <c r="M111" s="203">
        <f>SUM(M112:M114)</f>
        <v>10827.3704</v>
      </c>
      <c r="N111" s="203"/>
      <c r="O111" s="203">
        <f>SUM(O112:O114)</f>
        <v>0.01</v>
      </c>
      <c r="P111" s="203"/>
      <c r="Q111" s="203">
        <f>SUM(Q112:Q114)</f>
        <v>0</v>
      </c>
      <c r="R111" s="203"/>
      <c r="S111" s="203"/>
      <c r="T111" s="203"/>
      <c r="U111" s="203"/>
      <c r="V111" s="203">
        <f>SUM(V112:V114)</f>
        <v>10.75</v>
      </c>
      <c r="W111" s="203"/>
      <c r="X111" s="203"/>
      <c r="AG111" s="184" t="s">
        <v>174</v>
      </c>
    </row>
    <row r="112" ht="12.75" customHeight="1" outlineLevel="1">
      <c r="A112" s="214">
        <v>48.0</v>
      </c>
      <c r="B112" s="215" t="s">
        <v>690</v>
      </c>
      <c r="C112" s="216" t="s">
        <v>691</v>
      </c>
      <c r="D112" s="217" t="s">
        <v>251</v>
      </c>
      <c r="E112" s="218">
        <v>232.0</v>
      </c>
      <c r="F112" s="219">
        <v>38.57</v>
      </c>
      <c r="G112" s="220">
        <f>ROUND(E112*F112,2)</f>
        <v>8948.24</v>
      </c>
      <c r="H112" s="211"/>
      <c r="I112" s="212">
        <f>ROUND(E112*H112,2)</f>
        <v>0</v>
      </c>
      <c r="J112" s="211"/>
      <c r="K112" s="212">
        <f>ROUND(E112*J112,2)</f>
        <v>0</v>
      </c>
      <c r="L112" s="212">
        <v>21.0</v>
      </c>
      <c r="M112" s="212">
        <f>G112*(1+L112/100)</f>
        <v>10827.3704</v>
      </c>
      <c r="N112" s="212">
        <v>4.0E-5</v>
      </c>
      <c r="O112" s="212">
        <f>ROUND(E112*N112,2)</f>
        <v>0.01</v>
      </c>
      <c r="P112" s="212">
        <v>0.0</v>
      </c>
      <c r="Q112" s="212">
        <f>ROUND(E112*P112,2)</f>
        <v>0</v>
      </c>
      <c r="R112" s="212"/>
      <c r="S112" s="212" t="s">
        <v>184</v>
      </c>
      <c r="T112" s="212" t="s">
        <v>184</v>
      </c>
      <c r="U112" s="212">
        <v>0.04633</v>
      </c>
      <c r="V112" s="212">
        <f>ROUND(E112*U112,2)</f>
        <v>10.75</v>
      </c>
      <c r="W112" s="212"/>
      <c r="X112" s="212" t="s">
        <v>225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408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35"/>
      <c r="B113" s="236"/>
      <c r="C113" s="237" t="s">
        <v>692</v>
      </c>
      <c r="D113" s="238"/>
      <c r="E113" s="239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3"/>
      <c r="Z113" s="213"/>
      <c r="AA113" s="213"/>
      <c r="AB113" s="213"/>
      <c r="AC113" s="213"/>
      <c r="AD113" s="213"/>
      <c r="AE113" s="213"/>
      <c r="AF113" s="213"/>
      <c r="AG113" s="213" t="s">
        <v>228</v>
      </c>
      <c r="AH113" s="213">
        <v>0.0</v>
      </c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994</v>
      </c>
      <c r="D114" s="238"/>
      <c r="E114" s="239">
        <v>232.0</v>
      </c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>
      <c r="A115" s="175"/>
      <c r="B115" s="179"/>
      <c r="C115" s="221"/>
      <c r="D115" s="181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AE115" s="184">
        <v>15.0</v>
      </c>
      <c r="AF115" s="184">
        <v>21.0</v>
      </c>
      <c r="AG115" s="184" t="s">
        <v>160</v>
      </c>
    </row>
    <row r="116" ht="12.75" customHeight="1">
      <c r="A116" s="222"/>
      <c r="B116" s="223" t="s">
        <v>24</v>
      </c>
      <c r="C116" s="224"/>
      <c r="D116" s="225"/>
      <c r="E116" s="226"/>
      <c r="F116" s="226"/>
      <c r="G116" s="227">
        <f>G8+G58+G68+G106+G111</f>
        <v>1474494.24</v>
      </c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AE116" s="184">
        <f>SUMIF(L7:L114,AE115,G7:G114)</f>
        <v>0</v>
      </c>
      <c r="AF116" s="184">
        <f>SUMIF(L7:L114,AF115,G7:G114)</f>
        <v>1474494.24</v>
      </c>
      <c r="AG116" s="184" t="s">
        <v>218</v>
      </c>
    </row>
    <row r="117" ht="12.75" customHeight="1">
      <c r="A117" s="175"/>
      <c r="B117" s="179"/>
      <c r="C117" s="221"/>
      <c r="D117" s="181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</row>
    <row r="118" ht="12.75" customHeight="1">
      <c r="A118" s="175"/>
      <c r="B118" s="179"/>
      <c r="C118" s="221"/>
      <c r="D118" s="181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</row>
    <row r="119" ht="12.75" customHeight="1">
      <c r="A119" s="175" t="s">
        <v>219</v>
      </c>
      <c r="D119" s="181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</row>
    <row r="120" ht="12.75" customHeight="1">
      <c r="A120" s="228"/>
      <c r="B120" s="27"/>
      <c r="C120" s="27"/>
      <c r="D120" s="27"/>
      <c r="E120" s="27"/>
      <c r="F120" s="27"/>
      <c r="G120" s="229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AG120" s="184" t="s">
        <v>220</v>
      </c>
    </row>
    <row r="121" ht="12.75" customHeight="1">
      <c r="A121" s="230"/>
      <c r="G121" s="231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</row>
    <row r="122" ht="12.75" customHeight="1">
      <c r="A122" s="230"/>
      <c r="G122" s="231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</row>
    <row r="123" ht="12.75" customHeight="1">
      <c r="A123" s="230"/>
      <c r="G123" s="231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</row>
    <row r="124" ht="12.75" customHeight="1">
      <c r="A124" s="232"/>
      <c r="B124" s="38"/>
      <c r="C124" s="38"/>
      <c r="D124" s="38"/>
      <c r="E124" s="38"/>
      <c r="F124" s="38"/>
      <c r="G124" s="233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</row>
    <row r="125" ht="12.75" customHeight="1">
      <c r="A125" s="175"/>
      <c r="B125" s="179"/>
      <c r="C125" s="221"/>
      <c r="D125" s="181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 ht="12.75" customHeight="1">
      <c r="B126" s="185"/>
      <c r="C126" s="234"/>
      <c r="D126" s="126"/>
      <c r="AG126" s="184" t="s">
        <v>221</v>
      </c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19:C119"/>
    <mergeCell ref="A120:G124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74</v>
      </c>
      <c r="C3" s="177" t="s">
        <v>75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74</v>
      </c>
      <c r="C4" s="188" t="s">
        <v>75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SUMIF(AG9:AG57,"&lt;&gt;NOR",G9:G57)</f>
        <v>45103.77</v>
      </c>
      <c r="H8" s="203"/>
      <c r="I8" s="203">
        <f>SUM(I9:I57)</f>
        <v>0</v>
      </c>
      <c r="J8" s="203"/>
      <c r="K8" s="203">
        <f>SUM(K9:K57)</f>
        <v>0</v>
      </c>
      <c r="L8" s="203"/>
      <c r="M8" s="203">
        <f>SUM(M9:M57)</f>
        <v>54575.5617</v>
      </c>
      <c r="N8" s="203"/>
      <c r="O8" s="203">
        <f>SUM(O9:O57)</f>
        <v>18.38</v>
      </c>
      <c r="P8" s="203"/>
      <c r="Q8" s="203">
        <f>SUM(Q9:Q57)</f>
        <v>0</v>
      </c>
      <c r="R8" s="203"/>
      <c r="S8" s="203"/>
      <c r="T8" s="203"/>
      <c r="U8" s="203"/>
      <c r="V8" s="203">
        <f>SUM(V9:V57)</f>
        <v>82.18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19.3743</v>
      </c>
      <c r="F9" s="219">
        <v>39.6</v>
      </c>
      <c r="G9" s="220">
        <f>ROUND(E9*F9,2)</f>
        <v>767.22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928.3362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1.63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995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996</v>
      </c>
      <c r="D12" s="241"/>
      <c r="E12" s="242">
        <v>38.7486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997</v>
      </c>
      <c r="D14" s="238"/>
      <c r="E14" s="239">
        <v>19.3743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38.7486</v>
      </c>
      <c r="F15" s="219">
        <v>214.5</v>
      </c>
      <c r="G15" s="220">
        <f>ROUND(E15*F15,2)</f>
        <v>8311.57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10056.9997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8.6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995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998</v>
      </c>
      <c r="D17" s="238"/>
      <c r="E17" s="239">
        <v>38.75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608</v>
      </c>
      <c r="C18" s="216" t="s">
        <v>609</v>
      </c>
      <c r="D18" s="217" t="s">
        <v>224</v>
      </c>
      <c r="E18" s="218">
        <v>70.452</v>
      </c>
      <c r="F18" s="219">
        <v>77.25</v>
      </c>
      <c r="G18" s="220">
        <f>ROUND(E18*F18,2)</f>
        <v>5442.42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6585.3282</v>
      </c>
      <c r="N18" s="212">
        <v>9.9E-4</v>
      </c>
      <c r="O18" s="212">
        <f>ROUND(E18*N18,2)</f>
        <v>0.07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0.236</v>
      </c>
      <c r="V18" s="212">
        <f>ROUND(E18*U18,2)</f>
        <v>16.63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995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999</v>
      </c>
      <c r="D20" s="238"/>
      <c r="E20" s="239">
        <v>70.45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611</v>
      </c>
      <c r="C21" s="216" t="s">
        <v>612</v>
      </c>
      <c r="D21" s="217" t="s">
        <v>224</v>
      </c>
      <c r="E21" s="218">
        <v>70.452</v>
      </c>
      <c r="F21" s="219">
        <v>38.63</v>
      </c>
      <c r="G21" s="220">
        <f>ROUND(E21*F21,2)</f>
        <v>2721.56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3293.0876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0.07</v>
      </c>
      <c r="V21" s="212">
        <f>ROUND(E21*U21,2)</f>
        <v>4.93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995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999</v>
      </c>
      <c r="D23" s="238"/>
      <c r="E23" s="239">
        <v>70.45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38.7486</v>
      </c>
      <c r="F24" s="219">
        <v>36.6</v>
      </c>
      <c r="G24" s="220">
        <f>ROUND(E24*F24,2)</f>
        <v>1418.2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1716.022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1.51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995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998</v>
      </c>
      <c r="D26" s="238"/>
      <c r="E26" s="239">
        <v>38.75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38.7486</v>
      </c>
      <c r="F27" s="219">
        <v>64.0</v>
      </c>
      <c r="G27" s="220">
        <f>ROUND(E27*F27,2)</f>
        <v>2479.91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3000.6911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20.11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995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998</v>
      </c>
      <c r="D29" s="238"/>
      <c r="E29" s="239">
        <v>38.75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11.8399</v>
      </c>
      <c r="F30" s="219">
        <v>215.5</v>
      </c>
      <c r="G30" s="220">
        <f>ROUND(E30*F30,2)</f>
        <v>2551.5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3087.315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0.13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1000</v>
      </c>
      <c r="D32" s="238"/>
      <c r="E32" s="239">
        <v>11.84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614</v>
      </c>
      <c r="C33" s="216" t="s">
        <v>615</v>
      </c>
      <c r="D33" s="217" t="s">
        <v>234</v>
      </c>
      <c r="E33" s="218">
        <v>11.8399</v>
      </c>
      <c r="F33" s="219">
        <v>68.96</v>
      </c>
      <c r="G33" s="220">
        <f>ROUND(E33*F33,2)</f>
        <v>816.48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987.9408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0.652</v>
      </c>
      <c r="V33" s="212">
        <f>ROUND(E33*U33,2)</f>
        <v>7.72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1000</v>
      </c>
      <c r="D35" s="238"/>
      <c r="E35" s="239">
        <v>11.84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11.8399</v>
      </c>
      <c r="F36" s="219">
        <v>15.1</v>
      </c>
      <c r="G36" s="220">
        <f>ROUND(E36*F36,2)</f>
        <v>178.78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216.3238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0.11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1000</v>
      </c>
      <c r="D38" s="238"/>
      <c r="E38" s="239">
        <v>11.84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26.9088</v>
      </c>
      <c r="F39" s="219">
        <v>169.0</v>
      </c>
      <c r="G39" s="220">
        <f>ROUND(E39*F39,2)</f>
        <v>4547.59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5502.5839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5.44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503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995</v>
      </c>
      <c r="D41" s="238"/>
      <c r="E41" s="239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1001</v>
      </c>
      <c r="D42" s="238"/>
      <c r="E42" s="239">
        <v>26.91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14">
        <v>11.0</v>
      </c>
      <c r="B43" s="215" t="s">
        <v>311</v>
      </c>
      <c r="C43" s="216" t="s">
        <v>312</v>
      </c>
      <c r="D43" s="217" t="s">
        <v>234</v>
      </c>
      <c r="E43" s="218">
        <v>9.6872</v>
      </c>
      <c r="F43" s="219">
        <v>477.51</v>
      </c>
      <c r="G43" s="220">
        <f>ROUND(E43*F43,2)</f>
        <v>4625.73</v>
      </c>
      <c r="H43" s="211"/>
      <c r="I43" s="212">
        <f>ROUND(E43*H43,2)</f>
        <v>0</v>
      </c>
      <c r="J43" s="211"/>
      <c r="K43" s="212">
        <f>ROUND(E43*J43,2)</f>
        <v>0</v>
      </c>
      <c r="L43" s="212">
        <v>21.0</v>
      </c>
      <c r="M43" s="212">
        <f>G43*(1+L43/100)</f>
        <v>5597.1333</v>
      </c>
      <c r="N43" s="212">
        <v>0.0</v>
      </c>
      <c r="O43" s="212">
        <f>ROUND(E43*N43,2)</f>
        <v>0</v>
      </c>
      <c r="P43" s="212">
        <v>0.0</v>
      </c>
      <c r="Q43" s="212">
        <f>ROUND(E43*P43,2)</f>
        <v>0</v>
      </c>
      <c r="R43" s="212"/>
      <c r="S43" s="212" t="s">
        <v>184</v>
      </c>
      <c r="T43" s="212" t="s">
        <v>184</v>
      </c>
      <c r="U43" s="212">
        <v>1.587</v>
      </c>
      <c r="V43" s="212">
        <f>ROUND(E43*U43,2)</f>
        <v>15.37</v>
      </c>
      <c r="W43" s="212"/>
      <c r="X43" s="212" t="s">
        <v>225</v>
      </c>
      <c r="Y43" s="213"/>
      <c r="Z43" s="213"/>
      <c r="AA43" s="213"/>
      <c r="AB43" s="213"/>
      <c r="AC43" s="213"/>
      <c r="AD43" s="213"/>
      <c r="AE43" s="213"/>
      <c r="AF43" s="213"/>
      <c r="AG43" s="213" t="s">
        <v>226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995</v>
      </c>
      <c r="D44" s="238"/>
      <c r="E44" s="239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1002</v>
      </c>
      <c r="D45" s="238"/>
      <c r="E45" s="239">
        <v>9.69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12.0</v>
      </c>
      <c r="B46" s="215" t="s">
        <v>314</v>
      </c>
      <c r="C46" s="216" t="s">
        <v>315</v>
      </c>
      <c r="D46" s="217" t="s">
        <v>316</v>
      </c>
      <c r="E46" s="218">
        <v>22.4958</v>
      </c>
      <c r="F46" s="219">
        <v>285.0</v>
      </c>
      <c r="G46" s="220">
        <f>ROUND(E46*F46,2)</f>
        <v>6411.3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7757.673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184</v>
      </c>
      <c r="T46" s="212" t="s">
        <v>184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295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0" t="s">
        <v>236</v>
      </c>
      <c r="D48" s="241"/>
      <c r="E48" s="24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3" t="s">
        <v>1003</v>
      </c>
      <c r="D49" s="241"/>
      <c r="E49" s="242">
        <v>11.84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2.0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40" t="s">
        <v>238</v>
      </c>
      <c r="D50" s="241"/>
      <c r="E50" s="24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1004</v>
      </c>
      <c r="D51" s="238"/>
      <c r="E51" s="239">
        <v>22.5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13.0</v>
      </c>
      <c r="B52" s="215" t="s">
        <v>620</v>
      </c>
      <c r="C52" s="216" t="s">
        <v>621</v>
      </c>
      <c r="D52" s="217" t="s">
        <v>321</v>
      </c>
      <c r="E52" s="218">
        <v>18.3088</v>
      </c>
      <c r="F52" s="219">
        <v>263.89</v>
      </c>
      <c r="G52" s="220">
        <f>ROUND(E52*F52,2)</f>
        <v>4831.51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5846.1271</v>
      </c>
      <c r="N52" s="212">
        <v>1.0</v>
      </c>
      <c r="O52" s="212">
        <f>ROUND(E52*N52,2)</f>
        <v>18.31</v>
      </c>
      <c r="P52" s="212">
        <v>0.0</v>
      </c>
      <c r="Q52" s="212">
        <f>ROUND(E52*P52,2)</f>
        <v>0</v>
      </c>
      <c r="R52" s="212" t="s">
        <v>322</v>
      </c>
      <c r="S52" s="212" t="s">
        <v>184</v>
      </c>
      <c r="T52" s="212" t="s">
        <v>184</v>
      </c>
      <c r="U52" s="212">
        <v>0.0</v>
      </c>
      <c r="V52" s="212">
        <f>ROUND(E52*U52,2)</f>
        <v>0</v>
      </c>
      <c r="W52" s="212"/>
      <c r="X52" s="212" t="s">
        <v>323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324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995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0" t="s">
        <v>236</v>
      </c>
      <c r="D54" s="241"/>
      <c r="E54" s="24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3" t="s">
        <v>1005</v>
      </c>
      <c r="D55" s="241"/>
      <c r="E55" s="242">
        <v>9.69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2.0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40" t="s">
        <v>238</v>
      </c>
      <c r="D56" s="241"/>
      <c r="E56" s="24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1006</v>
      </c>
      <c r="D57" s="238"/>
      <c r="E57" s="239">
        <v>18.31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>
      <c r="A58" s="196" t="s">
        <v>173</v>
      </c>
      <c r="B58" s="197" t="s">
        <v>100</v>
      </c>
      <c r="C58" s="198" t="s">
        <v>101</v>
      </c>
      <c r="D58" s="199"/>
      <c r="E58" s="200"/>
      <c r="F58" s="201"/>
      <c r="G58" s="202">
        <f>SUMIF(AG59:AG71,"&lt;&gt;NOR",G59:G71)</f>
        <v>4196.32</v>
      </c>
      <c r="H58" s="203"/>
      <c r="I58" s="203">
        <f>SUM(I59:I71)</f>
        <v>0</v>
      </c>
      <c r="J58" s="203"/>
      <c r="K58" s="203">
        <f>SUM(K59:K71)</f>
        <v>0</v>
      </c>
      <c r="L58" s="203"/>
      <c r="M58" s="203">
        <f>SUM(M59:M71)</f>
        <v>5077.5472</v>
      </c>
      <c r="N58" s="203"/>
      <c r="O58" s="203">
        <f>SUM(O59:O71)</f>
        <v>2.99</v>
      </c>
      <c r="P58" s="203"/>
      <c r="Q58" s="203">
        <f>SUM(Q59:Q71)</f>
        <v>0</v>
      </c>
      <c r="R58" s="203"/>
      <c r="S58" s="203"/>
      <c r="T58" s="203"/>
      <c r="U58" s="203"/>
      <c r="V58" s="203">
        <f>SUM(V59:V71)</f>
        <v>5.88</v>
      </c>
      <c r="W58" s="203"/>
      <c r="X58" s="203"/>
      <c r="AG58" s="184" t="s">
        <v>174</v>
      </c>
    </row>
    <row r="59" ht="12.75" customHeight="1" outlineLevel="1">
      <c r="A59" s="214">
        <v>14.0</v>
      </c>
      <c r="B59" s="215" t="s">
        <v>347</v>
      </c>
      <c r="C59" s="216" t="s">
        <v>348</v>
      </c>
      <c r="D59" s="217" t="s">
        <v>234</v>
      </c>
      <c r="E59" s="218">
        <v>2.1527</v>
      </c>
      <c r="F59" s="219">
        <v>1010.69</v>
      </c>
      <c r="G59" s="220">
        <f>ROUND(E59*F59,2)</f>
        <v>2175.71</v>
      </c>
      <c r="H59" s="211"/>
      <c r="I59" s="212">
        <f>ROUND(E59*H59,2)</f>
        <v>0</v>
      </c>
      <c r="J59" s="211"/>
      <c r="K59" s="212">
        <f>ROUND(E59*J59,2)</f>
        <v>0</v>
      </c>
      <c r="L59" s="212">
        <v>21.0</v>
      </c>
      <c r="M59" s="212">
        <f>G59*(1+L59/100)</f>
        <v>2632.6091</v>
      </c>
      <c r="N59" s="212">
        <v>1.1322</v>
      </c>
      <c r="O59" s="212">
        <f>ROUND(E59*N59,2)</f>
        <v>2.44</v>
      </c>
      <c r="P59" s="212">
        <v>0.0</v>
      </c>
      <c r="Q59" s="212">
        <f>ROUND(E59*P59,2)</f>
        <v>0</v>
      </c>
      <c r="R59" s="212"/>
      <c r="S59" s="212" t="s">
        <v>184</v>
      </c>
      <c r="T59" s="212" t="s">
        <v>184</v>
      </c>
      <c r="U59" s="212">
        <v>1.695</v>
      </c>
      <c r="V59" s="212">
        <f>ROUND(E59*U59,2)</f>
        <v>3.65</v>
      </c>
      <c r="W59" s="212"/>
      <c r="X59" s="212" t="s">
        <v>225</v>
      </c>
      <c r="Y59" s="213"/>
      <c r="Z59" s="213"/>
      <c r="AA59" s="213"/>
      <c r="AB59" s="213"/>
      <c r="AC59" s="213"/>
      <c r="AD59" s="213"/>
      <c r="AE59" s="213"/>
      <c r="AF59" s="213"/>
      <c r="AG59" s="213" t="s">
        <v>226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995</v>
      </c>
      <c r="D60" s="238"/>
      <c r="E60" s="239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1007</v>
      </c>
      <c r="D61" s="238"/>
      <c r="E61" s="239">
        <v>2.15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15.0</v>
      </c>
      <c r="B62" s="215" t="s">
        <v>625</v>
      </c>
      <c r="C62" s="216" t="s">
        <v>626</v>
      </c>
      <c r="D62" s="217" t="s">
        <v>234</v>
      </c>
      <c r="E62" s="218">
        <v>0.216</v>
      </c>
      <c r="F62" s="219">
        <v>3460.8</v>
      </c>
      <c r="G62" s="220">
        <f>ROUND(E62*F62,2)</f>
        <v>747.53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904.5113</v>
      </c>
      <c r="N62" s="212">
        <v>2.5</v>
      </c>
      <c r="O62" s="212">
        <f>ROUND(E62*N62,2)</f>
        <v>0.54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1.192</v>
      </c>
      <c r="V62" s="212">
        <f>ROUND(E62*U62,2)</f>
        <v>0.26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226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806</v>
      </c>
      <c r="D63" s="238"/>
      <c r="E63" s="239">
        <v>0.05</v>
      </c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806</v>
      </c>
      <c r="D64" s="238"/>
      <c r="E64" s="239">
        <v>0.05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807</v>
      </c>
      <c r="D65" s="238"/>
      <c r="E65" s="239">
        <v>0.06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807</v>
      </c>
      <c r="D66" s="238"/>
      <c r="E66" s="239">
        <v>0.06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14">
        <v>16.0</v>
      </c>
      <c r="B67" s="215" t="s">
        <v>629</v>
      </c>
      <c r="C67" s="216" t="s">
        <v>630</v>
      </c>
      <c r="D67" s="217" t="s">
        <v>224</v>
      </c>
      <c r="E67" s="218">
        <v>2.4</v>
      </c>
      <c r="F67" s="219">
        <v>530.45</v>
      </c>
      <c r="G67" s="220">
        <f>ROUND(E67*F67,2)</f>
        <v>1273.08</v>
      </c>
      <c r="H67" s="211"/>
      <c r="I67" s="212">
        <f>ROUND(E67*H67,2)</f>
        <v>0</v>
      </c>
      <c r="J67" s="211"/>
      <c r="K67" s="212">
        <f>ROUND(E67*J67,2)</f>
        <v>0</v>
      </c>
      <c r="L67" s="212">
        <v>21.0</v>
      </c>
      <c r="M67" s="212">
        <f>G67*(1+L67/100)</f>
        <v>1540.4268</v>
      </c>
      <c r="N67" s="212">
        <v>0.00442</v>
      </c>
      <c r="O67" s="212">
        <f>ROUND(E67*N67,2)</f>
        <v>0.01</v>
      </c>
      <c r="P67" s="212">
        <v>0.0</v>
      </c>
      <c r="Q67" s="212">
        <f>ROUND(E67*P67,2)</f>
        <v>0</v>
      </c>
      <c r="R67" s="212"/>
      <c r="S67" s="212" t="s">
        <v>184</v>
      </c>
      <c r="T67" s="212" t="s">
        <v>184</v>
      </c>
      <c r="U67" s="212">
        <v>0.821</v>
      </c>
      <c r="V67" s="212">
        <f>ROUND(E67*U67,2)</f>
        <v>1.97</v>
      </c>
      <c r="W67" s="212"/>
      <c r="X67" s="212" t="s">
        <v>225</v>
      </c>
      <c r="Y67" s="213"/>
      <c r="Z67" s="213"/>
      <c r="AA67" s="213"/>
      <c r="AB67" s="213"/>
      <c r="AC67" s="213"/>
      <c r="AD67" s="213"/>
      <c r="AE67" s="213"/>
      <c r="AF67" s="213"/>
      <c r="AG67" s="213" t="s">
        <v>226</v>
      </c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808</v>
      </c>
      <c r="D68" s="238"/>
      <c r="E68" s="239">
        <v>0.56</v>
      </c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808</v>
      </c>
      <c r="D69" s="238"/>
      <c r="E69" s="239">
        <v>0.56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809</v>
      </c>
      <c r="D70" s="238"/>
      <c r="E70" s="239">
        <v>0.64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809</v>
      </c>
      <c r="D71" s="238"/>
      <c r="E71" s="239">
        <v>0.64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>
      <c r="A72" s="196" t="s">
        <v>173</v>
      </c>
      <c r="B72" s="197" t="s">
        <v>106</v>
      </c>
      <c r="C72" s="198" t="s">
        <v>107</v>
      </c>
      <c r="D72" s="199"/>
      <c r="E72" s="200"/>
      <c r="F72" s="201"/>
      <c r="G72" s="202">
        <f>SUMIF(AG73:AG112,"&lt;&gt;NOR",G73:G112)</f>
        <v>258144.14</v>
      </c>
      <c r="H72" s="203"/>
      <c r="I72" s="203">
        <f>SUM(I73:I112)</f>
        <v>0</v>
      </c>
      <c r="J72" s="203"/>
      <c r="K72" s="203">
        <f>SUM(K73:K112)</f>
        <v>0</v>
      </c>
      <c r="L72" s="203"/>
      <c r="M72" s="203">
        <f>SUM(M73:M112)</f>
        <v>312354.4094</v>
      </c>
      <c r="N72" s="203"/>
      <c r="O72" s="203">
        <f>SUM(O73:O112)</f>
        <v>0.58</v>
      </c>
      <c r="P72" s="203"/>
      <c r="Q72" s="203">
        <f>SUM(Q73:Q112)</f>
        <v>0</v>
      </c>
      <c r="R72" s="203"/>
      <c r="S72" s="203"/>
      <c r="T72" s="203"/>
      <c r="U72" s="203"/>
      <c r="V72" s="203">
        <f>SUM(V73:V112)</f>
        <v>39.94</v>
      </c>
      <c r="W72" s="203"/>
      <c r="X72" s="203"/>
      <c r="AG72" s="184" t="s">
        <v>174</v>
      </c>
    </row>
    <row r="73" ht="12.75" customHeight="1" outlineLevel="1">
      <c r="A73" s="214">
        <v>17.0</v>
      </c>
      <c r="B73" s="215" t="s">
        <v>810</v>
      </c>
      <c r="C73" s="216" t="s">
        <v>811</v>
      </c>
      <c r="D73" s="217" t="s">
        <v>251</v>
      </c>
      <c r="E73" s="218">
        <v>19.57</v>
      </c>
      <c r="F73" s="219">
        <v>149.35</v>
      </c>
      <c r="G73" s="220">
        <f>ROUND(E73*F73,2)</f>
        <v>2922.78</v>
      </c>
      <c r="H73" s="211"/>
      <c r="I73" s="212">
        <f>ROUND(E73*H73,2)</f>
        <v>0</v>
      </c>
      <c r="J73" s="211"/>
      <c r="K73" s="212">
        <f>ROUND(E73*J73,2)</f>
        <v>0</v>
      </c>
      <c r="L73" s="212">
        <v>21.0</v>
      </c>
      <c r="M73" s="212">
        <f>G73*(1+L73/100)</f>
        <v>3536.5638</v>
      </c>
      <c r="N73" s="212">
        <v>0.0</v>
      </c>
      <c r="O73" s="212">
        <f>ROUND(E73*N73,2)</f>
        <v>0</v>
      </c>
      <c r="P73" s="212">
        <v>0.0</v>
      </c>
      <c r="Q73" s="212">
        <f>ROUND(E73*P73,2)</f>
        <v>0</v>
      </c>
      <c r="R73" s="212"/>
      <c r="S73" s="212" t="s">
        <v>184</v>
      </c>
      <c r="T73" s="212" t="s">
        <v>184</v>
      </c>
      <c r="U73" s="212">
        <v>0.409</v>
      </c>
      <c r="V73" s="212">
        <f>ROUND(E73*U73,2)</f>
        <v>8</v>
      </c>
      <c r="W73" s="212"/>
      <c r="X73" s="212" t="s">
        <v>225</v>
      </c>
      <c r="Y73" s="213"/>
      <c r="Z73" s="213"/>
      <c r="AA73" s="213"/>
      <c r="AB73" s="213"/>
      <c r="AC73" s="213"/>
      <c r="AD73" s="213"/>
      <c r="AE73" s="213"/>
      <c r="AF73" s="213"/>
      <c r="AG73" s="213" t="s">
        <v>226</v>
      </c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812</v>
      </c>
      <c r="D74" s="238"/>
      <c r="E74" s="239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1008</v>
      </c>
      <c r="D75" s="238"/>
      <c r="E75" s="239">
        <v>19.57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14">
        <v>18.0</v>
      </c>
      <c r="B76" s="215" t="s">
        <v>814</v>
      </c>
      <c r="C76" s="216" t="s">
        <v>815</v>
      </c>
      <c r="D76" s="217" t="s">
        <v>372</v>
      </c>
      <c r="E76" s="218">
        <v>16.0</v>
      </c>
      <c r="F76" s="219">
        <v>1225.7</v>
      </c>
      <c r="G76" s="220">
        <f>ROUND(E76*F76,2)</f>
        <v>19611.2</v>
      </c>
      <c r="H76" s="211"/>
      <c r="I76" s="212">
        <f>ROUND(E76*H76,2)</f>
        <v>0</v>
      </c>
      <c r="J76" s="211"/>
      <c r="K76" s="212">
        <f>ROUND(E76*J76,2)</f>
        <v>0</v>
      </c>
      <c r="L76" s="212">
        <v>21.0</v>
      </c>
      <c r="M76" s="212">
        <f>G76*(1+L76/100)</f>
        <v>23729.552</v>
      </c>
      <c r="N76" s="212">
        <v>2.1E-4</v>
      </c>
      <c r="O76" s="212">
        <f>ROUND(E76*N76,2)</f>
        <v>0</v>
      </c>
      <c r="P76" s="212">
        <v>0.0</v>
      </c>
      <c r="Q76" s="212">
        <f>ROUND(E76*P76,2)</f>
        <v>0</v>
      </c>
      <c r="R76" s="212"/>
      <c r="S76" s="212" t="s">
        <v>184</v>
      </c>
      <c r="T76" s="212" t="s">
        <v>184</v>
      </c>
      <c r="U76" s="212">
        <v>1.6504</v>
      </c>
      <c r="V76" s="212">
        <f>ROUND(E76*U76,2)</f>
        <v>26.41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638</v>
      </c>
      <c r="D77" s="238"/>
      <c r="E77" s="239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1009</v>
      </c>
      <c r="D78" s="238"/>
      <c r="E78" s="239">
        <v>16.0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19.0</v>
      </c>
      <c r="B79" s="205" t="s">
        <v>370</v>
      </c>
      <c r="C79" s="206" t="s">
        <v>817</v>
      </c>
      <c r="D79" s="207" t="s">
        <v>372</v>
      </c>
      <c r="E79" s="208">
        <v>1.0</v>
      </c>
      <c r="F79" s="209">
        <v>4770.0</v>
      </c>
      <c r="G79" s="210">
        <f t="shared" ref="G79:G98" si="1">ROUND(E79*F79,2)</f>
        <v>4770</v>
      </c>
      <c r="H79" s="211"/>
      <c r="I79" s="212">
        <f t="shared" ref="I79:I98" si="2">ROUND(E79*H79,2)</f>
        <v>0</v>
      </c>
      <c r="J79" s="211"/>
      <c r="K79" s="212">
        <f t="shared" ref="K79:K98" si="3">ROUND(E79*J79,2)</f>
        <v>0</v>
      </c>
      <c r="L79" s="212">
        <v>21.0</v>
      </c>
      <c r="M79" s="212">
        <f t="shared" ref="M79:M98" si="4">G79*(1+L79/100)</f>
        <v>5771.7</v>
      </c>
      <c r="N79" s="212">
        <v>0.0</v>
      </c>
      <c r="O79" s="212">
        <f t="shared" ref="O79:O98" si="5">ROUND(E79*N79,2)</f>
        <v>0</v>
      </c>
      <c r="P79" s="212">
        <v>0.0</v>
      </c>
      <c r="Q79" s="212">
        <f t="shared" ref="Q79:Q98" si="6">ROUND(E79*P79,2)</f>
        <v>0</v>
      </c>
      <c r="R79" s="212"/>
      <c r="S79" s="212" t="s">
        <v>178</v>
      </c>
      <c r="T79" s="212" t="s">
        <v>179</v>
      </c>
      <c r="U79" s="212">
        <v>0.0</v>
      </c>
      <c r="V79" s="212">
        <f t="shared" ref="V79:V98" si="7">ROUND(E79*U79,2)</f>
        <v>0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04">
        <v>20.0</v>
      </c>
      <c r="B80" s="205" t="s">
        <v>375</v>
      </c>
      <c r="C80" s="206" t="s">
        <v>818</v>
      </c>
      <c r="D80" s="207" t="s">
        <v>372</v>
      </c>
      <c r="E80" s="208">
        <v>2.0</v>
      </c>
      <c r="F80" s="209">
        <v>5431.81</v>
      </c>
      <c r="G80" s="210">
        <f t="shared" si="1"/>
        <v>10863.62</v>
      </c>
      <c r="H80" s="211"/>
      <c r="I80" s="212">
        <f t="shared" si="2"/>
        <v>0</v>
      </c>
      <c r="J80" s="211"/>
      <c r="K80" s="212">
        <f t="shared" si="3"/>
        <v>0</v>
      </c>
      <c r="L80" s="212">
        <v>21.0</v>
      </c>
      <c r="M80" s="212">
        <f t="shared" si="4"/>
        <v>13144.9802</v>
      </c>
      <c r="N80" s="212">
        <v>0.0</v>
      </c>
      <c r="O80" s="212">
        <f t="shared" si="5"/>
        <v>0</v>
      </c>
      <c r="P80" s="212">
        <v>0.0</v>
      </c>
      <c r="Q80" s="212">
        <f t="shared" si="6"/>
        <v>0</v>
      </c>
      <c r="R80" s="212"/>
      <c r="S80" s="212" t="s">
        <v>178</v>
      </c>
      <c r="T80" s="212" t="s">
        <v>179</v>
      </c>
      <c r="U80" s="212">
        <v>0.0</v>
      </c>
      <c r="V80" s="212">
        <f t="shared" si="7"/>
        <v>0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04">
        <v>21.0</v>
      </c>
      <c r="B81" s="205" t="s">
        <v>642</v>
      </c>
      <c r="C81" s="206" t="s">
        <v>819</v>
      </c>
      <c r="D81" s="207" t="s">
        <v>372</v>
      </c>
      <c r="E81" s="208">
        <v>1.0</v>
      </c>
      <c r="F81" s="209">
        <v>6114.49</v>
      </c>
      <c r="G81" s="210">
        <f t="shared" si="1"/>
        <v>6114.49</v>
      </c>
      <c r="H81" s="211"/>
      <c r="I81" s="212">
        <f t="shared" si="2"/>
        <v>0</v>
      </c>
      <c r="J81" s="211"/>
      <c r="K81" s="212">
        <f t="shared" si="3"/>
        <v>0</v>
      </c>
      <c r="L81" s="212">
        <v>21.0</v>
      </c>
      <c r="M81" s="212">
        <f t="shared" si="4"/>
        <v>7398.5329</v>
      </c>
      <c r="N81" s="212">
        <v>0.0</v>
      </c>
      <c r="O81" s="212">
        <f t="shared" si="5"/>
        <v>0</v>
      </c>
      <c r="P81" s="212">
        <v>0.0</v>
      </c>
      <c r="Q81" s="212">
        <f t="shared" si="6"/>
        <v>0</v>
      </c>
      <c r="R81" s="212"/>
      <c r="S81" s="212" t="s">
        <v>178</v>
      </c>
      <c r="T81" s="212" t="s">
        <v>179</v>
      </c>
      <c r="U81" s="212">
        <v>0.0</v>
      </c>
      <c r="V81" s="212">
        <f t="shared" si="7"/>
        <v>0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04">
        <v>22.0</v>
      </c>
      <c r="B82" s="205" t="s">
        <v>644</v>
      </c>
      <c r="C82" s="206" t="s">
        <v>820</v>
      </c>
      <c r="D82" s="207" t="s">
        <v>372</v>
      </c>
      <c r="E82" s="208">
        <v>1.0</v>
      </c>
      <c r="F82" s="209">
        <v>6460.26</v>
      </c>
      <c r="G82" s="210">
        <f t="shared" si="1"/>
        <v>6460.26</v>
      </c>
      <c r="H82" s="211"/>
      <c r="I82" s="212">
        <f t="shared" si="2"/>
        <v>0</v>
      </c>
      <c r="J82" s="211"/>
      <c r="K82" s="212">
        <f t="shared" si="3"/>
        <v>0</v>
      </c>
      <c r="L82" s="212">
        <v>21.0</v>
      </c>
      <c r="M82" s="212">
        <f t="shared" si="4"/>
        <v>7816.9146</v>
      </c>
      <c r="N82" s="212">
        <v>0.0</v>
      </c>
      <c r="O82" s="212">
        <f t="shared" si="5"/>
        <v>0</v>
      </c>
      <c r="P82" s="212">
        <v>0.0</v>
      </c>
      <c r="Q82" s="212">
        <f t="shared" si="6"/>
        <v>0</v>
      </c>
      <c r="R82" s="212"/>
      <c r="S82" s="212" t="s">
        <v>178</v>
      </c>
      <c r="T82" s="212" t="s">
        <v>179</v>
      </c>
      <c r="U82" s="212">
        <v>0.0</v>
      </c>
      <c r="V82" s="212">
        <f t="shared" si="7"/>
        <v>0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04">
        <v>23.0</v>
      </c>
      <c r="B83" s="205" t="s">
        <v>646</v>
      </c>
      <c r="C83" s="206" t="s">
        <v>821</v>
      </c>
      <c r="D83" s="207" t="s">
        <v>372</v>
      </c>
      <c r="E83" s="208">
        <v>1.0</v>
      </c>
      <c r="F83" s="209">
        <v>5410.59</v>
      </c>
      <c r="G83" s="210">
        <f t="shared" si="1"/>
        <v>5410.59</v>
      </c>
      <c r="H83" s="211"/>
      <c r="I83" s="212">
        <f t="shared" si="2"/>
        <v>0</v>
      </c>
      <c r="J83" s="211"/>
      <c r="K83" s="212">
        <f t="shared" si="3"/>
        <v>0</v>
      </c>
      <c r="L83" s="212">
        <v>21.0</v>
      </c>
      <c r="M83" s="212">
        <f t="shared" si="4"/>
        <v>6546.8139</v>
      </c>
      <c r="N83" s="212">
        <v>0.0</v>
      </c>
      <c r="O83" s="212">
        <f t="shared" si="5"/>
        <v>0</v>
      </c>
      <c r="P83" s="212">
        <v>0.0</v>
      </c>
      <c r="Q83" s="212">
        <f t="shared" si="6"/>
        <v>0</v>
      </c>
      <c r="R83" s="212"/>
      <c r="S83" s="212" t="s">
        <v>178</v>
      </c>
      <c r="T83" s="212" t="s">
        <v>179</v>
      </c>
      <c r="U83" s="212">
        <v>0.0</v>
      </c>
      <c r="V83" s="212">
        <f t="shared" si="7"/>
        <v>0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04">
        <v>24.0</v>
      </c>
      <c r="B84" s="205" t="s">
        <v>648</v>
      </c>
      <c r="C84" s="206" t="s">
        <v>822</v>
      </c>
      <c r="D84" s="207" t="s">
        <v>372</v>
      </c>
      <c r="E84" s="208">
        <v>1.0</v>
      </c>
      <c r="F84" s="209">
        <v>86053.93</v>
      </c>
      <c r="G84" s="210">
        <f t="shared" si="1"/>
        <v>86053.93</v>
      </c>
      <c r="H84" s="211"/>
      <c r="I84" s="212">
        <f t="shared" si="2"/>
        <v>0</v>
      </c>
      <c r="J84" s="211"/>
      <c r="K84" s="212">
        <f t="shared" si="3"/>
        <v>0</v>
      </c>
      <c r="L84" s="212">
        <v>21.0</v>
      </c>
      <c r="M84" s="212">
        <f t="shared" si="4"/>
        <v>104125.2553</v>
      </c>
      <c r="N84" s="212">
        <v>0.0</v>
      </c>
      <c r="O84" s="212">
        <f t="shared" si="5"/>
        <v>0</v>
      </c>
      <c r="P84" s="212">
        <v>0.0</v>
      </c>
      <c r="Q84" s="212">
        <f t="shared" si="6"/>
        <v>0</v>
      </c>
      <c r="R84" s="212"/>
      <c r="S84" s="212" t="s">
        <v>178</v>
      </c>
      <c r="T84" s="212" t="s">
        <v>179</v>
      </c>
      <c r="U84" s="212">
        <v>0.0</v>
      </c>
      <c r="V84" s="212">
        <f t="shared" si="7"/>
        <v>0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04">
        <v>25.0</v>
      </c>
      <c r="B85" s="205" t="s">
        <v>650</v>
      </c>
      <c r="C85" s="206" t="s">
        <v>651</v>
      </c>
      <c r="D85" s="207" t="s">
        <v>372</v>
      </c>
      <c r="E85" s="208">
        <v>1.0</v>
      </c>
      <c r="F85" s="209">
        <v>1704.5</v>
      </c>
      <c r="G85" s="210">
        <f t="shared" si="1"/>
        <v>1704.5</v>
      </c>
      <c r="H85" s="211"/>
      <c r="I85" s="212">
        <f t="shared" si="2"/>
        <v>0</v>
      </c>
      <c r="J85" s="211"/>
      <c r="K85" s="212">
        <f t="shared" si="3"/>
        <v>0</v>
      </c>
      <c r="L85" s="212">
        <v>21.0</v>
      </c>
      <c r="M85" s="212">
        <f t="shared" si="4"/>
        <v>2062.445</v>
      </c>
      <c r="N85" s="212">
        <v>0.0</v>
      </c>
      <c r="O85" s="212">
        <f t="shared" si="5"/>
        <v>0</v>
      </c>
      <c r="P85" s="212">
        <v>0.0</v>
      </c>
      <c r="Q85" s="212">
        <f t="shared" si="6"/>
        <v>0</v>
      </c>
      <c r="R85" s="212"/>
      <c r="S85" s="212" t="s">
        <v>178</v>
      </c>
      <c r="T85" s="212" t="s">
        <v>179</v>
      </c>
      <c r="U85" s="212">
        <v>0.0</v>
      </c>
      <c r="V85" s="212">
        <f t="shared" si="7"/>
        <v>0</v>
      </c>
      <c r="W85" s="212"/>
      <c r="X85" s="212" t="s">
        <v>225</v>
      </c>
      <c r="Y85" s="213"/>
      <c r="Z85" s="213"/>
      <c r="AA85" s="213"/>
      <c r="AB85" s="213"/>
      <c r="AC85" s="213"/>
      <c r="AD85" s="213"/>
      <c r="AE85" s="213"/>
      <c r="AF85" s="213"/>
      <c r="AG85" s="213" t="s">
        <v>226</v>
      </c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04">
        <v>26.0</v>
      </c>
      <c r="B86" s="205" t="s">
        <v>652</v>
      </c>
      <c r="C86" s="206" t="s">
        <v>823</v>
      </c>
      <c r="D86" s="207" t="s">
        <v>372</v>
      </c>
      <c r="E86" s="208">
        <v>1.0</v>
      </c>
      <c r="F86" s="209">
        <v>1909.31</v>
      </c>
      <c r="G86" s="210">
        <f t="shared" si="1"/>
        <v>1909.31</v>
      </c>
      <c r="H86" s="211"/>
      <c r="I86" s="212">
        <f t="shared" si="2"/>
        <v>0</v>
      </c>
      <c r="J86" s="211"/>
      <c r="K86" s="212">
        <f t="shared" si="3"/>
        <v>0</v>
      </c>
      <c r="L86" s="212">
        <v>21.0</v>
      </c>
      <c r="M86" s="212">
        <f t="shared" si="4"/>
        <v>2310.2651</v>
      </c>
      <c r="N86" s="212">
        <v>0.0</v>
      </c>
      <c r="O86" s="212">
        <f t="shared" si="5"/>
        <v>0</v>
      </c>
      <c r="P86" s="212">
        <v>0.0</v>
      </c>
      <c r="Q86" s="212">
        <f t="shared" si="6"/>
        <v>0</v>
      </c>
      <c r="R86" s="212"/>
      <c r="S86" s="212" t="s">
        <v>178</v>
      </c>
      <c r="T86" s="212" t="s">
        <v>179</v>
      </c>
      <c r="U86" s="212">
        <v>0.0</v>
      </c>
      <c r="V86" s="212">
        <f t="shared" si="7"/>
        <v>0</v>
      </c>
      <c r="W86" s="212"/>
      <c r="X86" s="212" t="s">
        <v>225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226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04">
        <v>27.0</v>
      </c>
      <c r="B87" s="205" t="s">
        <v>654</v>
      </c>
      <c r="C87" s="206" t="s">
        <v>655</v>
      </c>
      <c r="D87" s="207" t="s">
        <v>372</v>
      </c>
      <c r="E87" s="208">
        <v>1.0</v>
      </c>
      <c r="F87" s="209">
        <v>631.0</v>
      </c>
      <c r="G87" s="210">
        <f t="shared" si="1"/>
        <v>631</v>
      </c>
      <c r="H87" s="211"/>
      <c r="I87" s="212">
        <f t="shared" si="2"/>
        <v>0</v>
      </c>
      <c r="J87" s="211"/>
      <c r="K87" s="212">
        <f t="shared" si="3"/>
        <v>0</v>
      </c>
      <c r="L87" s="212">
        <v>21.0</v>
      </c>
      <c r="M87" s="212">
        <f t="shared" si="4"/>
        <v>763.51</v>
      </c>
      <c r="N87" s="212">
        <v>0.0</v>
      </c>
      <c r="O87" s="212">
        <f t="shared" si="5"/>
        <v>0</v>
      </c>
      <c r="P87" s="212">
        <v>0.0</v>
      </c>
      <c r="Q87" s="212">
        <f t="shared" si="6"/>
        <v>0</v>
      </c>
      <c r="R87" s="212"/>
      <c r="S87" s="212" t="s">
        <v>178</v>
      </c>
      <c r="T87" s="212" t="s">
        <v>179</v>
      </c>
      <c r="U87" s="212">
        <v>0.0</v>
      </c>
      <c r="V87" s="212">
        <f t="shared" si="7"/>
        <v>0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04">
        <v>28.0</v>
      </c>
      <c r="B88" s="205" t="s">
        <v>656</v>
      </c>
      <c r="C88" s="206" t="s">
        <v>824</v>
      </c>
      <c r="D88" s="207" t="s">
        <v>372</v>
      </c>
      <c r="E88" s="208">
        <v>2.0</v>
      </c>
      <c r="F88" s="209">
        <v>697.5</v>
      </c>
      <c r="G88" s="210">
        <f t="shared" si="1"/>
        <v>1395</v>
      </c>
      <c r="H88" s="211"/>
      <c r="I88" s="212">
        <f t="shared" si="2"/>
        <v>0</v>
      </c>
      <c r="J88" s="211"/>
      <c r="K88" s="212">
        <f t="shared" si="3"/>
        <v>0</v>
      </c>
      <c r="L88" s="212">
        <v>21.0</v>
      </c>
      <c r="M88" s="212">
        <f t="shared" si="4"/>
        <v>1687.95</v>
      </c>
      <c r="N88" s="212">
        <v>0.0</v>
      </c>
      <c r="O88" s="212">
        <f t="shared" si="5"/>
        <v>0</v>
      </c>
      <c r="P88" s="212">
        <v>0.0</v>
      </c>
      <c r="Q88" s="212">
        <f t="shared" si="6"/>
        <v>0</v>
      </c>
      <c r="R88" s="212"/>
      <c r="S88" s="212" t="s">
        <v>178</v>
      </c>
      <c r="T88" s="212" t="s">
        <v>179</v>
      </c>
      <c r="U88" s="212">
        <v>0.0</v>
      </c>
      <c r="V88" s="212">
        <f t="shared" si="7"/>
        <v>0</v>
      </c>
      <c r="W88" s="212"/>
      <c r="X88" s="212" t="s">
        <v>225</v>
      </c>
      <c r="Y88" s="213"/>
      <c r="Z88" s="213"/>
      <c r="AA88" s="213"/>
      <c r="AB88" s="213"/>
      <c r="AC88" s="213"/>
      <c r="AD88" s="213"/>
      <c r="AE88" s="213"/>
      <c r="AF88" s="213"/>
      <c r="AG88" s="213" t="s">
        <v>226</v>
      </c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04">
        <v>29.0</v>
      </c>
      <c r="B89" s="205" t="s">
        <v>658</v>
      </c>
      <c r="C89" s="206" t="s">
        <v>659</v>
      </c>
      <c r="D89" s="207" t="s">
        <v>372</v>
      </c>
      <c r="E89" s="208">
        <v>3.0</v>
      </c>
      <c r="F89" s="209">
        <v>591.0</v>
      </c>
      <c r="G89" s="210">
        <f t="shared" si="1"/>
        <v>1773</v>
      </c>
      <c r="H89" s="211"/>
      <c r="I89" s="212">
        <f t="shared" si="2"/>
        <v>0</v>
      </c>
      <c r="J89" s="211"/>
      <c r="K89" s="212">
        <f t="shared" si="3"/>
        <v>0</v>
      </c>
      <c r="L89" s="212">
        <v>21.0</v>
      </c>
      <c r="M89" s="212">
        <f t="shared" si="4"/>
        <v>2145.33</v>
      </c>
      <c r="N89" s="212">
        <v>0.0</v>
      </c>
      <c r="O89" s="212">
        <f t="shared" si="5"/>
        <v>0</v>
      </c>
      <c r="P89" s="212">
        <v>0.0</v>
      </c>
      <c r="Q89" s="212">
        <f t="shared" si="6"/>
        <v>0</v>
      </c>
      <c r="R89" s="212"/>
      <c r="S89" s="212" t="s">
        <v>178</v>
      </c>
      <c r="T89" s="212" t="s">
        <v>179</v>
      </c>
      <c r="U89" s="212">
        <v>0.0</v>
      </c>
      <c r="V89" s="212">
        <f t="shared" si="7"/>
        <v>0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04">
        <v>30.0</v>
      </c>
      <c r="B90" s="205" t="s">
        <v>660</v>
      </c>
      <c r="C90" s="206" t="s">
        <v>825</v>
      </c>
      <c r="D90" s="207" t="s">
        <v>372</v>
      </c>
      <c r="E90" s="208">
        <v>4.0</v>
      </c>
      <c r="F90" s="209">
        <v>533.5</v>
      </c>
      <c r="G90" s="210">
        <f t="shared" si="1"/>
        <v>2134</v>
      </c>
      <c r="H90" s="211"/>
      <c r="I90" s="212">
        <f t="shared" si="2"/>
        <v>0</v>
      </c>
      <c r="J90" s="211"/>
      <c r="K90" s="212">
        <f t="shared" si="3"/>
        <v>0</v>
      </c>
      <c r="L90" s="212">
        <v>21.0</v>
      </c>
      <c r="M90" s="212">
        <f t="shared" si="4"/>
        <v>2582.14</v>
      </c>
      <c r="N90" s="212">
        <v>0.0</v>
      </c>
      <c r="O90" s="212">
        <f t="shared" si="5"/>
        <v>0</v>
      </c>
      <c r="P90" s="212">
        <v>0.0</v>
      </c>
      <c r="Q90" s="212">
        <f t="shared" si="6"/>
        <v>0</v>
      </c>
      <c r="R90" s="212"/>
      <c r="S90" s="212" t="s">
        <v>178</v>
      </c>
      <c r="T90" s="212" t="s">
        <v>179</v>
      </c>
      <c r="U90" s="212">
        <v>0.0</v>
      </c>
      <c r="V90" s="212">
        <f t="shared" si="7"/>
        <v>0</v>
      </c>
      <c r="W90" s="212"/>
      <c r="X90" s="212" t="s">
        <v>225</v>
      </c>
      <c r="Y90" s="213"/>
      <c r="Z90" s="213"/>
      <c r="AA90" s="213"/>
      <c r="AB90" s="213"/>
      <c r="AC90" s="213"/>
      <c r="AD90" s="213"/>
      <c r="AE90" s="213"/>
      <c r="AF90" s="213"/>
      <c r="AG90" s="213" t="s">
        <v>226</v>
      </c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04">
        <v>31.0</v>
      </c>
      <c r="B91" s="205" t="s">
        <v>826</v>
      </c>
      <c r="C91" s="206" t="s">
        <v>1010</v>
      </c>
      <c r="D91" s="207" t="s">
        <v>372</v>
      </c>
      <c r="E91" s="208">
        <v>5.0</v>
      </c>
      <c r="F91" s="209">
        <v>1791.27</v>
      </c>
      <c r="G91" s="210">
        <f t="shared" si="1"/>
        <v>8956.35</v>
      </c>
      <c r="H91" s="211"/>
      <c r="I91" s="212">
        <f t="shared" si="2"/>
        <v>0</v>
      </c>
      <c r="J91" s="211"/>
      <c r="K91" s="212">
        <f t="shared" si="3"/>
        <v>0</v>
      </c>
      <c r="L91" s="212">
        <v>21.0</v>
      </c>
      <c r="M91" s="212">
        <f t="shared" si="4"/>
        <v>10837.1835</v>
      </c>
      <c r="N91" s="212">
        <v>0.0</v>
      </c>
      <c r="O91" s="212">
        <f t="shared" si="5"/>
        <v>0</v>
      </c>
      <c r="P91" s="212">
        <v>0.0</v>
      </c>
      <c r="Q91" s="212">
        <f t="shared" si="6"/>
        <v>0</v>
      </c>
      <c r="R91" s="212"/>
      <c r="S91" s="212" t="s">
        <v>178</v>
      </c>
      <c r="T91" s="212" t="s">
        <v>179</v>
      </c>
      <c r="U91" s="212">
        <v>0.0</v>
      </c>
      <c r="V91" s="212">
        <f t="shared" si="7"/>
        <v>0</v>
      </c>
      <c r="W91" s="212"/>
      <c r="X91" s="212" t="s">
        <v>225</v>
      </c>
      <c r="Y91" s="213"/>
      <c r="Z91" s="213"/>
      <c r="AA91" s="213"/>
      <c r="AB91" s="213"/>
      <c r="AC91" s="213"/>
      <c r="AD91" s="213"/>
      <c r="AE91" s="213"/>
      <c r="AF91" s="213"/>
      <c r="AG91" s="213" t="s">
        <v>226</v>
      </c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04">
        <v>32.0</v>
      </c>
      <c r="B92" s="205" t="s">
        <v>828</v>
      </c>
      <c r="C92" s="206" t="s">
        <v>1011</v>
      </c>
      <c r="D92" s="207" t="s">
        <v>372</v>
      </c>
      <c r="E92" s="208">
        <v>2.0</v>
      </c>
      <c r="F92" s="209">
        <v>384.0</v>
      </c>
      <c r="G92" s="210">
        <f t="shared" si="1"/>
        <v>768</v>
      </c>
      <c r="H92" s="211"/>
      <c r="I92" s="212">
        <f t="shared" si="2"/>
        <v>0</v>
      </c>
      <c r="J92" s="211"/>
      <c r="K92" s="212">
        <f t="shared" si="3"/>
        <v>0</v>
      </c>
      <c r="L92" s="212">
        <v>21.0</v>
      </c>
      <c r="M92" s="212">
        <f t="shared" si="4"/>
        <v>929.28</v>
      </c>
      <c r="N92" s="212">
        <v>0.0</v>
      </c>
      <c r="O92" s="212">
        <f t="shared" si="5"/>
        <v>0</v>
      </c>
      <c r="P92" s="212">
        <v>0.0</v>
      </c>
      <c r="Q92" s="212">
        <f t="shared" si="6"/>
        <v>0</v>
      </c>
      <c r="R92" s="212"/>
      <c r="S92" s="212" t="s">
        <v>178</v>
      </c>
      <c r="T92" s="212" t="s">
        <v>179</v>
      </c>
      <c r="U92" s="212">
        <v>0.0</v>
      </c>
      <c r="V92" s="212">
        <f t="shared" si="7"/>
        <v>0</v>
      </c>
      <c r="W92" s="212"/>
      <c r="X92" s="212" t="s">
        <v>225</v>
      </c>
      <c r="Y92" s="213"/>
      <c r="Z92" s="213"/>
      <c r="AA92" s="213"/>
      <c r="AB92" s="213"/>
      <c r="AC92" s="213"/>
      <c r="AD92" s="213"/>
      <c r="AE92" s="213"/>
      <c r="AF92" s="213"/>
      <c r="AG92" s="213" t="s">
        <v>226</v>
      </c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04">
        <v>33.0</v>
      </c>
      <c r="B93" s="205" t="s">
        <v>830</v>
      </c>
      <c r="C93" s="206" t="s">
        <v>837</v>
      </c>
      <c r="D93" s="207" t="s">
        <v>372</v>
      </c>
      <c r="E93" s="208">
        <v>1.0</v>
      </c>
      <c r="F93" s="209">
        <v>6320.0</v>
      </c>
      <c r="G93" s="210">
        <f t="shared" si="1"/>
        <v>6320</v>
      </c>
      <c r="H93" s="211"/>
      <c r="I93" s="212">
        <f t="shared" si="2"/>
        <v>0</v>
      </c>
      <c r="J93" s="211"/>
      <c r="K93" s="212">
        <f t="shared" si="3"/>
        <v>0</v>
      </c>
      <c r="L93" s="212">
        <v>21.0</v>
      </c>
      <c r="M93" s="212">
        <f t="shared" si="4"/>
        <v>7647.2</v>
      </c>
      <c r="N93" s="212">
        <v>0.0</v>
      </c>
      <c r="O93" s="212">
        <f t="shared" si="5"/>
        <v>0</v>
      </c>
      <c r="P93" s="212">
        <v>0.0</v>
      </c>
      <c r="Q93" s="212">
        <f t="shared" si="6"/>
        <v>0</v>
      </c>
      <c r="R93" s="212"/>
      <c r="S93" s="212" t="s">
        <v>178</v>
      </c>
      <c r="T93" s="212" t="s">
        <v>179</v>
      </c>
      <c r="U93" s="212">
        <v>0.0</v>
      </c>
      <c r="V93" s="212">
        <f t="shared" si="7"/>
        <v>0</v>
      </c>
      <c r="W93" s="212"/>
      <c r="X93" s="212" t="s">
        <v>225</v>
      </c>
      <c r="Y93" s="213"/>
      <c r="Z93" s="213"/>
      <c r="AA93" s="213"/>
      <c r="AB93" s="213"/>
      <c r="AC93" s="213"/>
      <c r="AD93" s="213"/>
      <c r="AE93" s="213"/>
      <c r="AF93" s="213"/>
      <c r="AG93" s="213" t="s">
        <v>226</v>
      </c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04">
        <v>34.0</v>
      </c>
      <c r="B94" s="205" t="s">
        <v>832</v>
      </c>
      <c r="C94" s="206" t="s">
        <v>1012</v>
      </c>
      <c r="D94" s="207" t="s">
        <v>372</v>
      </c>
      <c r="E94" s="208">
        <v>1.0</v>
      </c>
      <c r="F94" s="209">
        <v>704.52</v>
      </c>
      <c r="G94" s="210">
        <f t="shared" si="1"/>
        <v>704.52</v>
      </c>
      <c r="H94" s="211"/>
      <c r="I94" s="212">
        <f t="shared" si="2"/>
        <v>0</v>
      </c>
      <c r="J94" s="211"/>
      <c r="K94" s="212">
        <f t="shared" si="3"/>
        <v>0</v>
      </c>
      <c r="L94" s="212">
        <v>21.0</v>
      </c>
      <c r="M94" s="212">
        <f t="shared" si="4"/>
        <v>852.4692</v>
      </c>
      <c r="N94" s="212">
        <v>0.0</v>
      </c>
      <c r="O94" s="212">
        <f t="shared" si="5"/>
        <v>0</v>
      </c>
      <c r="P94" s="212">
        <v>0.0</v>
      </c>
      <c r="Q94" s="212">
        <f t="shared" si="6"/>
        <v>0</v>
      </c>
      <c r="R94" s="212"/>
      <c r="S94" s="212" t="s">
        <v>178</v>
      </c>
      <c r="T94" s="212" t="s">
        <v>179</v>
      </c>
      <c r="U94" s="212">
        <v>0.0</v>
      </c>
      <c r="V94" s="212">
        <f t="shared" si="7"/>
        <v>0</v>
      </c>
      <c r="W94" s="212"/>
      <c r="X94" s="212" t="s">
        <v>225</v>
      </c>
      <c r="Y94" s="213"/>
      <c r="Z94" s="213"/>
      <c r="AA94" s="213"/>
      <c r="AB94" s="213"/>
      <c r="AC94" s="213"/>
      <c r="AD94" s="213"/>
      <c r="AE94" s="213"/>
      <c r="AF94" s="213"/>
      <c r="AG94" s="213" t="s">
        <v>226</v>
      </c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04">
        <v>35.0</v>
      </c>
      <c r="B95" s="205" t="s">
        <v>834</v>
      </c>
      <c r="C95" s="206" t="s">
        <v>1013</v>
      </c>
      <c r="D95" s="207" t="s">
        <v>251</v>
      </c>
      <c r="E95" s="208">
        <v>9.0</v>
      </c>
      <c r="F95" s="209">
        <v>821.84</v>
      </c>
      <c r="G95" s="210">
        <f t="shared" si="1"/>
        <v>7396.56</v>
      </c>
      <c r="H95" s="211"/>
      <c r="I95" s="212">
        <f t="shared" si="2"/>
        <v>0</v>
      </c>
      <c r="J95" s="211"/>
      <c r="K95" s="212">
        <f t="shared" si="3"/>
        <v>0</v>
      </c>
      <c r="L95" s="212">
        <v>21.0</v>
      </c>
      <c r="M95" s="212">
        <f t="shared" si="4"/>
        <v>8949.8376</v>
      </c>
      <c r="N95" s="212">
        <v>0.0</v>
      </c>
      <c r="O95" s="212">
        <f t="shared" si="5"/>
        <v>0</v>
      </c>
      <c r="P95" s="212">
        <v>0.0</v>
      </c>
      <c r="Q95" s="212">
        <f t="shared" si="6"/>
        <v>0</v>
      </c>
      <c r="R95" s="212"/>
      <c r="S95" s="212" t="s">
        <v>178</v>
      </c>
      <c r="T95" s="212" t="s">
        <v>179</v>
      </c>
      <c r="U95" s="212">
        <v>0.0</v>
      </c>
      <c r="V95" s="212">
        <f t="shared" si="7"/>
        <v>0</v>
      </c>
      <c r="W95" s="212"/>
      <c r="X95" s="212" t="s">
        <v>225</v>
      </c>
      <c r="Y95" s="213"/>
      <c r="Z95" s="213"/>
      <c r="AA95" s="213"/>
      <c r="AB95" s="213"/>
      <c r="AC95" s="213"/>
      <c r="AD95" s="213"/>
      <c r="AE95" s="213"/>
      <c r="AF95" s="213"/>
      <c r="AG95" s="213" t="s">
        <v>226</v>
      </c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04">
        <v>36.0</v>
      </c>
      <c r="B96" s="205" t="s">
        <v>838</v>
      </c>
      <c r="C96" s="206" t="s">
        <v>839</v>
      </c>
      <c r="D96" s="207" t="s">
        <v>251</v>
      </c>
      <c r="E96" s="208">
        <v>19.57</v>
      </c>
      <c r="F96" s="209">
        <v>245.5</v>
      </c>
      <c r="G96" s="210">
        <f t="shared" si="1"/>
        <v>4804.44</v>
      </c>
      <c r="H96" s="211"/>
      <c r="I96" s="212">
        <f t="shared" si="2"/>
        <v>0</v>
      </c>
      <c r="J96" s="211"/>
      <c r="K96" s="212">
        <f t="shared" si="3"/>
        <v>0</v>
      </c>
      <c r="L96" s="212">
        <v>21.0</v>
      </c>
      <c r="M96" s="212">
        <f t="shared" si="4"/>
        <v>5813.3724</v>
      </c>
      <c r="N96" s="212">
        <v>0.0</v>
      </c>
      <c r="O96" s="212">
        <f t="shared" si="5"/>
        <v>0</v>
      </c>
      <c r="P96" s="212">
        <v>0.0</v>
      </c>
      <c r="Q96" s="212">
        <f t="shared" si="6"/>
        <v>0</v>
      </c>
      <c r="R96" s="212"/>
      <c r="S96" s="212" t="s">
        <v>184</v>
      </c>
      <c r="T96" s="212" t="s">
        <v>184</v>
      </c>
      <c r="U96" s="212">
        <v>0.044</v>
      </c>
      <c r="V96" s="212">
        <f t="shared" si="7"/>
        <v>0.86</v>
      </c>
      <c r="W96" s="212"/>
      <c r="X96" s="212" t="s">
        <v>225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226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04">
        <v>37.0</v>
      </c>
      <c r="B97" s="205" t="s">
        <v>840</v>
      </c>
      <c r="C97" s="206" t="s">
        <v>841</v>
      </c>
      <c r="D97" s="207" t="s">
        <v>251</v>
      </c>
      <c r="E97" s="208">
        <v>19.57</v>
      </c>
      <c r="F97" s="209">
        <v>129.78</v>
      </c>
      <c r="G97" s="210">
        <f t="shared" si="1"/>
        <v>2539.79</v>
      </c>
      <c r="H97" s="211"/>
      <c r="I97" s="212">
        <f t="shared" si="2"/>
        <v>0</v>
      </c>
      <c r="J97" s="211"/>
      <c r="K97" s="212">
        <f t="shared" si="3"/>
        <v>0</v>
      </c>
      <c r="L97" s="212">
        <v>21.0</v>
      </c>
      <c r="M97" s="212">
        <f t="shared" si="4"/>
        <v>3073.1459</v>
      </c>
      <c r="N97" s="212">
        <v>0.0</v>
      </c>
      <c r="O97" s="212">
        <f t="shared" si="5"/>
        <v>0</v>
      </c>
      <c r="P97" s="212">
        <v>0.0</v>
      </c>
      <c r="Q97" s="212">
        <f t="shared" si="6"/>
        <v>0</v>
      </c>
      <c r="R97" s="212"/>
      <c r="S97" s="212" t="s">
        <v>184</v>
      </c>
      <c r="T97" s="212" t="s">
        <v>184</v>
      </c>
      <c r="U97" s="212">
        <v>0.21</v>
      </c>
      <c r="V97" s="212">
        <f t="shared" si="7"/>
        <v>4.11</v>
      </c>
      <c r="W97" s="212"/>
      <c r="X97" s="212" t="s">
        <v>225</v>
      </c>
      <c r="Y97" s="213"/>
      <c r="Z97" s="213"/>
      <c r="AA97" s="213"/>
      <c r="AB97" s="213"/>
      <c r="AC97" s="213"/>
      <c r="AD97" s="213"/>
      <c r="AE97" s="213"/>
      <c r="AF97" s="213"/>
      <c r="AG97" s="213" t="s">
        <v>226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14">
        <v>38.0</v>
      </c>
      <c r="B98" s="215" t="s">
        <v>666</v>
      </c>
      <c r="C98" s="216" t="s">
        <v>667</v>
      </c>
      <c r="D98" s="217" t="s">
        <v>251</v>
      </c>
      <c r="E98" s="218">
        <v>21.527</v>
      </c>
      <c r="F98" s="219">
        <v>26.0</v>
      </c>
      <c r="G98" s="220">
        <f t="shared" si="1"/>
        <v>559.7</v>
      </c>
      <c r="H98" s="211"/>
      <c r="I98" s="212">
        <f t="shared" si="2"/>
        <v>0</v>
      </c>
      <c r="J98" s="211"/>
      <c r="K98" s="212">
        <f t="shared" si="3"/>
        <v>0</v>
      </c>
      <c r="L98" s="212">
        <v>21.0</v>
      </c>
      <c r="M98" s="212">
        <f t="shared" si="4"/>
        <v>677.237</v>
      </c>
      <c r="N98" s="212">
        <v>0.0</v>
      </c>
      <c r="O98" s="212">
        <f t="shared" si="5"/>
        <v>0</v>
      </c>
      <c r="P98" s="212">
        <v>0.0</v>
      </c>
      <c r="Q98" s="212">
        <f t="shared" si="6"/>
        <v>0</v>
      </c>
      <c r="R98" s="212"/>
      <c r="S98" s="212" t="s">
        <v>184</v>
      </c>
      <c r="T98" s="212" t="s">
        <v>184</v>
      </c>
      <c r="U98" s="212">
        <v>0.026</v>
      </c>
      <c r="V98" s="212">
        <f t="shared" si="7"/>
        <v>0.56</v>
      </c>
      <c r="W98" s="212"/>
      <c r="X98" s="212" t="s">
        <v>225</v>
      </c>
      <c r="Y98" s="213"/>
      <c r="Z98" s="213"/>
      <c r="AA98" s="213"/>
      <c r="AB98" s="213"/>
      <c r="AC98" s="213"/>
      <c r="AD98" s="213"/>
      <c r="AE98" s="213"/>
      <c r="AF98" s="213"/>
      <c r="AG98" s="213" t="s">
        <v>226</v>
      </c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1014</v>
      </c>
      <c r="D99" s="238"/>
      <c r="E99" s="239">
        <v>21.53</v>
      </c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14">
        <v>39.0</v>
      </c>
      <c r="B100" s="215" t="s">
        <v>572</v>
      </c>
      <c r="C100" s="216" t="s">
        <v>843</v>
      </c>
      <c r="D100" s="217" t="s">
        <v>251</v>
      </c>
      <c r="E100" s="218">
        <v>20.5485</v>
      </c>
      <c r="F100" s="219">
        <v>2110.0</v>
      </c>
      <c r="G100" s="220">
        <f>ROUND(E100*F100,2)</f>
        <v>43357.34</v>
      </c>
      <c r="H100" s="211"/>
      <c r="I100" s="212">
        <f>ROUND(E100*H100,2)</f>
        <v>0</v>
      </c>
      <c r="J100" s="211"/>
      <c r="K100" s="212">
        <f>ROUND(E100*J100,2)</f>
        <v>0</v>
      </c>
      <c r="L100" s="212">
        <v>21.0</v>
      </c>
      <c r="M100" s="212">
        <f>G100*(1+L100/100)</f>
        <v>52462.3814</v>
      </c>
      <c r="N100" s="212">
        <v>0.028</v>
      </c>
      <c r="O100" s="212">
        <f>ROUND(E100*N100,2)</f>
        <v>0.58</v>
      </c>
      <c r="P100" s="212">
        <v>0.0</v>
      </c>
      <c r="Q100" s="212">
        <f>ROUND(E100*P100,2)</f>
        <v>0</v>
      </c>
      <c r="R100" s="212"/>
      <c r="S100" s="212" t="s">
        <v>178</v>
      </c>
      <c r="T100" s="212" t="s">
        <v>179</v>
      </c>
      <c r="U100" s="212">
        <v>0.0</v>
      </c>
      <c r="V100" s="212">
        <f>ROUND(E100*U100,2)</f>
        <v>0</v>
      </c>
      <c r="W100" s="212"/>
      <c r="X100" s="212" t="s">
        <v>225</v>
      </c>
      <c r="Y100" s="213"/>
      <c r="Z100" s="213"/>
      <c r="AA100" s="213"/>
      <c r="AB100" s="213"/>
      <c r="AC100" s="213"/>
      <c r="AD100" s="213"/>
      <c r="AE100" s="213"/>
      <c r="AF100" s="213"/>
      <c r="AG100" s="213" t="s">
        <v>226</v>
      </c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35"/>
      <c r="B101" s="236"/>
      <c r="C101" s="237" t="s">
        <v>812</v>
      </c>
      <c r="D101" s="238"/>
      <c r="E101" s="239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3"/>
      <c r="Z101" s="213"/>
      <c r="AA101" s="213"/>
      <c r="AB101" s="213"/>
      <c r="AC101" s="213"/>
      <c r="AD101" s="213"/>
      <c r="AE101" s="213"/>
      <c r="AF101" s="213"/>
      <c r="AG101" s="213" t="s">
        <v>228</v>
      </c>
      <c r="AH101" s="213">
        <v>0.0</v>
      </c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37" t="s">
        <v>1015</v>
      </c>
      <c r="D102" s="238"/>
      <c r="E102" s="239">
        <v>20.55</v>
      </c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0.0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04">
        <v>40.0</v>
      </c>
      <c r="B103" s="205" t="s">
        <v>670</v>
      </c>
      <c r="C103" s="206" t="s">
        <v>845</v>
      </c>
      <c r="D103" s="207" t="s">
        <v>372</v>
      </c>
      <c r="E103" s="208">
        <v>1.0</v>
      </c>
      <c r="F103" s="209">
        <v>1077.5</v>
      </c>
      <c r="G103" s="210">
        <f t="shared" ref="G103:G112" si="8">ROUND(E103*F103,2)</f>
        <v>1077.5</v>
      </c>
      <c r="H103" s="211"/>
      <c r="I103" s="212">
        <f t="shared" ref="I103:I112" si="9">ROUND(E103*H103,2)</f>
        <v>0</v>
      </c>
      <c r="J103" s="211"/>
      <c r="K103" s="212">
        <f t="shared" ref="K103:K112" si="10">ROUND(E103*J103,2)</f>
        <v>0</v>
      </c>
      <c r="L103" s="212">
        <v>21.0</v>
      </c>
      <c r="M103" s="212">
        <f t="shared" ref="M103:M112" si="11">G103*(1+L103/100)</f>
        <v>1303.775</v>
      </c>
      <c r="N103" s="212">
        <v>0.0</v>
      </c>
      <c r="O103" s="212">
        <f t="shared" ref="O103:O112" si="12">ROUND(E103*N103,2)</f>
        <v>0</v>
      </c>
      <c r="P103" s="212">
        <v>0.0</v>
      </c>
      <c r="Q103" s="212">
        <f t="shared" ref="Q103:Q112" si="13">ROUND(E103*P103,2)</f>
        <v>0</v>
      </c>
      <c r="R103" s="212"/>
      <c r="S103" s="212" t="s">
        <v>178</v>
      </c>
      <c r="T103" s="212" t="s">
        <v>179</v>
      </c>
      <c r="U103" s="212">
        <v>0.0</v>
      </c>
      <c r="V103" s="212">
        <f t="shared" ref="V103:V112" si="14">ROUND(E103*U103,2)</f>
        <v>0</v>
      </c>
      <c r="W103" s="212"/>
      <c r="X103" s="212" t="s">
        <v>225</v>
      </c>
      <c r="Y103" s="213"/>
      <c r="Z103" s="213"/>
      <c r="AA103" s="213"/>
      <c r="AB103" s="213"/>
      <c r="AC103" s="213"/>
      <c r="AD103" s="213"/>
      <c r="AE103" s="213"/>
      <c r="AF103" s="213"/>
      <c r="AG103" s="213" t="s">
        <v>226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04">
        <v>41.0</v>
      </c>
      <c r="B104" s="205" t="s">
        <v>672</v>
      </c>
      <c r="C104" s="206" t="s">
        <v>852</v>
      </c>
      <c r="D104" s="207" t="s">
        <v>372</v>
      </c>
      <c r="E104" s="208">
        <v>4.0</v>
      </c>
      <c r="F104" s="209">
        <v>1072.5</v>
      </c>
      <c r="G104" s="210">
        <f t="shared" si="8"/>
        <v>4290</v>
      </c>
      <c r="H104" s="211"/>
      <c r="I104" s="212">
        <f t="shared" si="9"/>
        <v>0</v>
      </c>
      <c r="J104" s="211"/>
      <c r="K104" s="212">
        <f t="shared" si="10"/>
        <v>0</v>
      </c>
      <c r="L104" s="212">
        <v>21.0</v>
      </c>
      <c r="M104" s="212">
        <f t="shared" si="11"/>
        <v>5190.9</v>
      </c>
      <c r="N104" s="212">
        <v>0.0</v>
      </c>
      <c r="O104" s="212">
        <f t="shared" si="12"/>
        <v>0</v>
      </c>
      <c r="P104" s="212">
        <v>0.0</v>
      </c>
      <c r="Q104" s="212">
        <f t="shared" si="13"/>
        <v>0</v>
      </c>
      <c r="R104" s="212"/>
      <c r="S104" s="212" t="s">
        <v>178</v>
      </c>
      <c r="T104" s="212" t="s">
        <v>179</v>
      </c>
      <c r="U104" s="212">
        <v>0.0</v>
      </c>
      <c r="V104" s="212">
        <f t="shared" si="14"/>
        <v>0</v>
      </c>
      <c r="W104" s="212"/>
      <c r="X104" s="212" t="s">
        <v>225</v>
      </c>
      <c r="Y104" s="213"/>
      <c r="Z104" s="213"/>
      <c r="AA104" s="213"/>
      <c r="AB104" s="213"/>
      <c r="AC104" s="213"/>
      <c r="AD104" s="213"/>
      <c r="AE104" s="213"/>
      <c r="AF104" s="213"/>
      <c r="AG104" s="213" t="s">
        <v>226</v>
      </c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04">
        <v>42.0</v>
      </c>
      <c r="B105" s="205" t="s">
        <v>674</v>
      </c>
      <c r="C105" s="206" t="s">
        <v>850</v>
      </c>
      <c r="D105" s="207" t="s">
        <v>372</v>
      </c>
      <c r="E105" s="208">
        <v>1.0</v>
      </c>
      <c r="F105" s="209">
        <v>1567.0</v>
      </c>
      <c r="G105" s="210">
        <f t="shared" si="8"/>
        <v>1567</v>
      </c>
      <c r="H105" s="211"/>
      <c r="I105" s="212">
        <f t="shared" si="9"/>
        <v>0</v>
      </c>
      <c r="J105" s="211"/>
      <c r="K105" s="212">
        <f t="shared" si="10"/>
        <v>0</v>
      </c>
      <c r="L105" s="212">
        <v>21.0</v>
      </c>
      <c r="M105" s="212">
        <f t="shared" si="11"/>
        <v>1896.07</v>
      </c>
      <c r="N105" s="212">
        <v>0.0</v>
      </c>
      <c r="O105" s="212">
        <f t="shared" si="12"/>
        <v>0</v>
      </c>
      <c r="P105" s="212">
        <v>0.0</v>
      </c>
      <c r="Q105" s="212">
        <f t="shared" si="13"/>
        <v>0</v>
      </c>
      <c r="R105" s="212"/>
      <c r="S105" s="212" t="s">
        <v>178</v>
      </c>
      <c r="T105" s="212" t="s">
        <v>179</v>
      </c>
      <c r="U105" s="212">
        <v>0.0</v>
      </c>
      <c r="V105" s="212">
        <f t="shared" si="14"/>
        <v>0</v>
      </c>
      <c r="W105" s="212"/>
      <c r="X105" s="212" t="s">
        <v>225</v>
      </c>
      <c r="Y105" s="213"/>
      <c r="Z105" s="213"/>
      <c r="AA105" s="213"/>
      <c r="AB105" s="213"/>
      <c r="AC105" s="213"/>
      <c r="AD105" s="213"/>
      <c r="AE105" s="213"/>
      <c r="AF105" s="213"/>
      <c r="AG105" s="213" t="s">
        <v>226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04">
        <v>43.0</v>
      </c>
      <c r="B106" s="205" t="s">
        <v>676</v>
      </c>
      <c r="C106" s="206" t="s">
        <v>846</v>
      </c>
      <c r="D106" s="207" t="s">
        <v>372</v>
      </c>
      <c r="E106" s="208">
        <v>1.0</v>
      </c>
      <c r="F106" s="209">
        <v>1798.5</v>
      </c>
      <c r="G106" s="210">
        <f t="shared" si="8"/>
        <v>1798.5</v>
      </c>
      <c r="H106" s="211"/>
      <c r="I106" s="212">
        <f t="shared" si="9"/>
        <v>0</v>
      </c>
      <c r="J106" s="211"/>
      <c r="K106" s="212">
        <f t="shared" si="10"/>
        <v>0</v>
      </c>
      <c r="L106" s="212">
        <v>21.0</v>
      </c>
      <c r="M106" s="212">
        <f t="shared" si="11"/>
        <v>2176.185</v>
      </c>
      <c r="N106" s="212">
        <v>0.0</v>
      </c>
      <c r="O106" s="212">
        <f t="shared" si="12"/>
        <v>0</v>
      </c>
      <c r="P106" s="212">
        <v>0.0</v>
      </c>
      <c r="Q106" s="212">
        <f t="shared" si="13"/>
        <v>0</v>
      </c>
      <c r="R106" s="212"/>
      <c r="S106" s="212" t="s">
        <v>178</v>
      </c>
      <c r="T106" s="212" t="s">
        <v>179</v>
      </c>
      <c r="U106" s="212">
        <v>0.0</v>
      </c>
      <c r="V106" s="212">
        <f t="shared" si="14"/>
        <v>0</v>
      </c>
      <c r="W106" s="212"/>
      <c r="X106" s="212" t="s">
        <v>225</v>
      </c>
      <c r="Y106" s="213"/>
      <c r="Z106" s="213"/>
      <c r="AA106" s="213"/>
      <c r="AB106" s="213"/>
      <c r="AC106" s="213"/>
      <c r="AD106" s="213"/>
      <c r="AE106" s="213"/>
      <c r="AF106" s="213"/>
      <c r="AG106" s="213" t="s">
        <v>226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04">
        <v>44.0</v>
      </c>
      <c r="B107" s="205" t="s">
        <v>678</v>
      </c>
      <c r="C107" s="206" t="s">
        <v>1016</v>
      </c>
      <c r="D107" s="207" t="s">
        <v>372</v>
      </c>
      <c r="E107" s="208">
        <v>2.0</v>
      </c>
      <c r="F107" s="209">
        <v>2089.97</v>
      </c>
      <c r="G107" s="210">
        <f t="shared" si="8"/>
        <v>4179.94</v>
      </c>
      <c r="H107" s="211"/>
      <c r="I107" s="212">
        <f t="shared" si="9"/>
        <v>0</v>
      </c>
      <c r="J107" s="211"/>
      <c r="K107" s="212">
        <f t="shared" si="10"/>
        <v>0</v>
      </c>
      <c r="L107" s="212">
        <v>21.0</v>
      </c>
      <c r="M107" s="212">
        <f t="shared" si="11"/>
        <v>5057.7274</v>
      </c>
      <c r="N107" s="212">
        <v>0.0</v>
      </c>
      <c r="O107" s="212">
        <f t="shared" si="12"/>
        <v>0</v>
      </c>
      <c r="P107" s="212">
        <v>0.0</v>
      </c>
      <c r="Q107" s="212">
        <f t="shared" si="13"/>
        <v>0</v>
      </c>
      <c r="R107" s="212"/>
      <c r="S107" s="212" t="s">
        <v>178</v>
      </c>
      <c r="T107" s="212" t="s">
        <v>179</v>
      </c>
      <c r="U107" s="212">
        <v>0.0</v>
      </c>
      <c r="V107" s="212">
        <f t="shared" si="14"/>
        <v>0</v>
      </c>
      <c r="W107" s="212"/>
      <c r="X107" s="212" t="s">
        <v>225</v>
      </c>
      <c r="Y107" s="213"/>
      <c r="Z107" s="213"/>
      <c r="AA107" s="213"/>
      <c r="AB107" s="213"/>
      <c r="AC107" s="213"/>
      <c r="AD107" s="213"/>
      <c r="AE107" s="213"/>
      <c r="AF107" s="213"/>
      <c r="AG107" s="213" t="s">
        <v>226</v>
      </c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04">
        <v>45.0</v>
      </c>
      <c r="B108" s="205" t="s">
        <v>680</v>
      </c>
      <c r="C108" s="206" t="s">
        <v>848</v>
      </c>
      <c r="D108" s="207" t="s">
        <v>372</v>
      </c>
      <c r="E108" s="208">
        <v>2.0</v>
      </c>
      <c r="F108" s="209">
        <v>5650.0</v>
      </c>
      <c r="G108" s="210">
        <f t="shared" si="8"/>
        <v>11300</v>
      </c>
      <c r="H108" s="211"/>
      <c r="I108" s="212">
        <f t="shared" si="9"/>
        <v>0</v>
      </c>
      <c r="J108" s="211"/>
      <c r="K108" s="212">
        <f t="shared" si="10"/>
        <v>0</v>
      </c>
      <c r="L108" s="212">
        <v>21.0</v>
      </c>
      <c r="M108" s="212">
        <f t="shared" si="11"/>
        <v>13673</v>
      </c>
      <c r="N108" s="212">
        <v>0.0</v>
      </c>
      <c r="O108" s="212">
        <f t="shared" si="12"/>
        <v>0</v>
      </c>
      <c r="P108" s="212">
        <v>0.0</v>
      </c>
      <c r="Q108" s="212">
        <f t="shared" si="13"/>
        <v>0</v>
      </c>
      <c r="R108" s="212"/>
      <c r="S108" s="212" t="s">
        <v>178</v>
      </c>
      <c r="T108" s="212" t="s">
        <v>179</v>
      </c>
      <c r="U108" s="212">
        <v>0.0</v>
      </c>
      <c r="V108" s="212">
        <f t="shared" si="14"/>
        <v>0</v>
      </c>
      <c r="W108" s="212"/>
      <c r="X108" s="212" t="s">
        <v>225</v>
      </c>
      <c r="Y108" s="213"/>
      <c r="Z108" s="213"/>
      <c r="AA108" s="213"/>
      <c r="AB108" s="213"/>
      <c r="AC108" s="213"/>
      <c r="AD108" s="213"/>
      <c r="AE108" s="213"/>
      <c r="AF108" s="213"/>
      <c r="AG108" s="213" t="s">
        <v>226</v>
      </c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04">
        <v>46.0</v>
      </c>
      <c r="B109" s="205" t="s">
        <v>682</v>
      </c>
      <c r="C109" s="206" t="s">
        <v>1017</v>
      </c>
      <c r="D109" s="207" t="s">
        <v>372</v>
      </c>
      <c r="E109" s="208">
        <v>2.0</v>
      </c>
      <c r="F109" s="209">
        <v>136.99</v>
      </c>
      <c r="G109" s="210">
        <f t="shared" si="8"/>
        <v>273.98</v>
      </c>
      <c r="H109" s="211"/>
      <c r="I109" s="212">
        <f t="shared" si="9"/>
        <v>0</v>
      </c>
      <c r="J109" s="211"/>
      <c r="K109" s="212">
        <f t="shared" si="10"/>
        <v>0</v>
      </c>
      <c r="L109" s="212">
        <v>21.0</v>
      </c>
      <c r="M109" s="212">
        <f t="shared" si="11"/>
        <v>331.5158</v>
      </c>
      <c r="N109" s="212">
        <v>0.0</v>
      </c>
      <c r="O109" s="212">
        <f t="shared" si="12"/>
        <v>0</v>
      </c>
      <c r="P109" s="212">
        <v>0.0</v>
      </c>
      <c r="Q109" s="212">
        <f t="shared" si="13"/>
        <v>0</v>
      </c>
      <c r="R109" s="212"/>
      <c r="S109" s="212" t="s">
        <v>178</v>
      </c>
      <c r="T109" s="212" t="s">
        <v>179</v>
      </c>
      <c r="U109" s="212">
        <v>0.0</v>
      </c>
      <c r="V109" s="212">
        <f t="shared" si="14"/>
        <v>0</v>
      </c>
      <c r="W109" s="212"/>
      <c r="X109" s="212" t="s">
        <v>225</v>
      </c>
      <c r="Y109" s="213"/>
      <c r="Z109" s="213"/>
      <c r="AA109" s="213"/>
      <c r="AB109" s="213"/>
      <c r="AC109" s="213"/>
      <c r="AD109" s="213"/>
      <c r="AE109" s="213"/>
      <c r="AF109" s="213"/>
      <c r="AG109" s="213" t="s">
        <v>226</v>
      </c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04">
        <v>47.0</v>
      </c>
      <c r="B110" s="205" t="s">
        <v>684</v>
      </c>
      <c r="C110" s="206" t="s">
        <v>1018</v>
      </c>
      <c r="D110" s="207" t="s">
        <v>372</v>
      </c>
      <c r="E110" s="208">
        <v>1.0</v>
      </c>
      <c r="F110" s="209">
        <v>3020.78</v>
      </c>
      <c r="G110" s="210">
        <f t="shared" si="8"/>
        <v>3020.78</v>
      </c>
      <c r="H110" s="211"/>
      <c r="I110" s="212">
        <f t="shared" si="9"/>
        <v>0</v>
      </c>
      <c r="J110" s="211"/>
      <c r="K110" s="212">
        <f t="shared" si="10"/>
        <v>0</v>
      </c>
      <c r="L110" s="212">
        <v>21.0</v>
      </c>
      <c r="M110" s="212">
        <f t="shared" si="11"/>
        <v>3655.1438</v>
      </c>
      <c r="N110" s="212">
        <v>0.0</v>
      </c>
      <c r="O110" s="212">
        <f t="shared" si="12"/>
        <v>0</v>
      </c>
      <c r="P110" s="212">
        <v>0.0</v>
      </c>
      <c r="Q110" s="212">
        <f t="shared" si="13"/>
        <v>0</v>
      </c>
      <c r="R110" s="212"/>
      <c r="S110" s="212" t="s">
        <v>178</v>
      </c>
      <c r="T110" s="212" t="s">
        <v>179</v>
      </c>
      <c r="U110" s="212">
        <v>0.0</v>
      </c>
      <c r="V110" s="212">
        <f t="shared" si="14"/>
        <v>0</v>
      </c>
      <c r="W110" s="212"/>
      <c r="X110" s="212" t="s">
        <v>225</v>
      </c>
      <c r="Y110" s="213"/>
      <c r="Z110" s="213"/>
      <c r="AA110" s="213"/>
      <c r="AB110" s="213"/>
      <c r="AC110" s="213"/>
      <c r="AD110" s="213"/>
      <c r="AE110" s="213"/>
      <c r="AF110" s="213"/>
      <c r="AG110" s="213" t="s">
        <v>226</v>
      </c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04">
        <v>48.0</v>
      </c>
      <c r="B111" s="205" t="s">
        <v>686</v>
      </c>
      <c r="C111" s="206" t="s">
        <v>1019</v>
      </c>
      <c r="D111" s="207" t="s">
        <v>372</v>
      </c>
      <c r="E111" s="208">
        <v>1.0</v>
      </c>
      <c r="F111" s="209">
        <v>2113.56</v>
      </c>
      <c r="G111" s="210">
        <f t="shared" si="8"/>
        <v>2113.56</v>
      </c>
      <c r="H111" s="211"/>
      <c r="I111" s="212">
        <f t="shared" si="9"/>
        <v>0</v>
      </c>
      <c r="J111" s="211"/>
      <c r="K111" s="212">
        <f t="shared" si="10"/>
        <v>0</v>
      </c>
      <c r="L111" s="212">
        <v>21.0</v>
      </c>
      <c r="M111" s="212">
        <f t="shared" si="11"/>
        <v>2557.4076</v>
      </c>
      <c r="N111" s="212">
        <v>0.0</v>
      </c>
      <c r="O111" s="212">
        <f t="shared" si="12"/>
        <v>0</v>
      </c>
      <c r="P111" s="212">
        <v>0.0</v>
      </c>
      <c r="Q111" s="212">
        <f t="shared" si="13"/>
        <v>0</v>
      </c>
      <c r="R111" s="212"/>
      <c r="S111" s="212" t="s">
        <v>178</v>
      </c>
      <c r="T111" s="212" t="s">
        <v>179</v>
      </c>
      <c r="U111" s="212">
        <v>0.0</v>
      </c>
      <c r="V111" s="212">
        <f t="shared" si="14"/>
        <v>0</v>
      </c>
      <c r="W111" s="212"/>
      <c r="X111" s="212" t="s">
        <v>225</v>
      </c>
      <c r="Y111" s="213"/>
      <c r="Z111" s="213"/>
      <c r="AA111" s="213"/>
      <c r="AB111" s="213"/>
      <c r="AC111" s="213"/>
      <c r="AD111" s="213"/>
      <c r="AE111" s="213"/>
      <c r="AF111" s="213"/>
      <c r="AG111" s="213" t="s">
        <v>226</v>
      </c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04">
        <v>49.0</v>
      </c>
      <c r="B112" s="205" t="s">
        <v>854</v>
      </c>
      <c r="C112" s="206" t="s">
        <v>849</v>
      </c>
      <c r="D112" s="207" t="s">
        <v>372</v>
      </c>
      <c r="E112" s="208">
        <v>1.0</v>
      </c>
      <c r="F112" s="209">
        <v>1362.5</v>
      </c>
      <c r="G112" s="210">
        <f t="shared" si="8"/>
        <v>1362.5</v>
      </c>
      <c r="H112" s="211"/>
      <c r="I112" s="212">
        <f t="shared" si="9"/>
        <v>0</v>
      </c>
      <c r="J112" s="211"/>
      <c r="K112" s="212">
        <f t="shared" si="10"/>
        <v>0</v>
      </c>
      <c r="L112" s="212">
        <v>21.0</v>
      </c>
      <c r="M112" s="212">
        <f t="shared" si="11"/>
        <v>1648.625</v>
      </c>
      <c r="N112" s="212">
        <v>0.0</v>
      </c>
      <c r="O112" s="212">
        <f t="shared" si="12"/>
        <v>0</v>
      </c>
      <c r="P112" s="212">
        <v>0.0</v>
      </c>
      <c r="Q112" s="212">
        <f t="shared" si="13"/>
        <v>0</v>
      </c>
      <c r="R112" s="212"/>
      <c r="S112" s="212" t="s">
        <v>178</v>
      </c>
      <c r="T112" s="212" t="s">
        <v>179</v>
      </c>
      <c r="U112" s="212">
        <v>0.0</v>
      </c>
      <c r="V112" s="212">
        <f t="shared" si="14"/>
        <v>0</v>
      </c>
      <c r="W112" s="212"/>
      <c r="X112" s="212" t="s">
        <v>225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226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>
      <c r="A113" s="196" t="s">
        <v>173</v>
      </c>
      <c r="B113" s="197" t="s">
        <v>122</v>
      </c>
      <c r="C113" s="198" t="s">
        <v>123</v>
      </c>
      <c r="D113" s="199"/>
      <c r="E113" s="200"/>
      <c r="F113" s="201"/>
      <c r="G113" s="202">
        <f>SUMIF(AG114:AG117,"&lt;&gt;NOR",G114:G117)</f>
        <v>2703.42</v>
      </c>
      <c r="H113" s="203"/>
      <c r="I113" s="203">
        <f>SUM(I114:I117)</f>
        <v>0</v>
      </c>
      <c r="J113" s="203"/>
      <c r="K113" s="203">
        <f>SUM(K114:K117)</f>
        <v>0</v>
      </c>
      <c r="L113" s="203"/>
      <c r="M113" s="203">
        <f>SUM(M114:M117)</f>
        <v>3271.1382</v>
      </c>
      <c r="N113" s="203"/>
      <c r="O113" s="203">
        <f>SUM(O114:O117)</f>
        <v>0</v>
      </c>
      <c r="P113" s="203"/>
      <c r="Q113" s="203">
        <f>SUM(Q114:Q117)</f>
        <v>0</v>
      </c>
      <c r="R113" s="203"/>
      <c r="S113" s="203"/>
      <c r="T113" s="203"/>
      <c r="U113" s="203"/>
      <c r="V113" s="203">
        <f>SUM(V114:V117)</f>
        <v>9.91</v>
      </c>
      <c r="W113" s="203"/>
      <c r="X113" s="203"/>
      <c r="AG113" s="184" t="s">
        <v>174</v>
      </c>
    </row>
    <row r="114" ht="12.75" customHeight="1" outlineLevel="1">
      <c r="A114" s="214">
        <v>50.0</v>
      </c>
      <c r="B114" s="215" t="s">
        <v>395</v>
      </c>
      <c r="C114" s="216" t="s">
        <v>396</v>
      </c>
      <c r="D114" s="217" t="s">
        <v>316</v>
      </c>
      <c r="E114" s="218">
        <v>21.94516</v>
      </c>
      <c r="F114" s="219">
        <v>123.19</v>
      </c>
      <c r="G114" s="220">
        <f>ROUND(E114*F114,2)</f>
        <v>2703.42</v>
      </c>
      <c r="H114" s="211"/>
      <c r="I114" s="212">
        <f>ROUND(E114*H114,2)</f>
        <v>0</v>
      </c>
      <c r="J114" s="211"/>
      <c r="K114" s="212">
        <f>ROUND(E114*J114,2)</f>
        <v>0</v>
      </c>
      <c r="L114" s="212">
        <v>21.0</v>
      </c>
      <c r="M114" s="212">
        <f>G114*(1+L114/100)</f>
        <v>3271.1382</v>
      </c>
      <c r="N114" s="212">
        <v>0.0</v>
      </c>
      <c r="O114" s="212">
        <f>ROUND(E114*N114,2)</f>
        <v>0</v>
      </c>
      <c r="P114" s="212">
        <v>0.0</v>
      </c>
      <c r="Q114" s="212">
        <f>ROUND(E114*P114,2)</f>
        <v>0</v>
      </c>
      <c r="R114" s="212"/>
      <c r="S114" s="212" t="s">
        <v>184</v>
      </c>
      <c r="T114" s="212" t="s">
        <v>184</v>
      </c>
      <c r="U114" s="212">
        <v>0.4518</v>
      </c>
      <c r="V114" s="212">
        <f>ROUND(E114*U114,2)</f>
        <v>9.91</v>
      </c>
      <c r="W114" s="212"/>
      <c r="X114" s="212" t="s">
        <v>397</v>
      </c>
      <c r="Y114" s="213"/>
      <c r="Z114" s="213"/>
      <c r="AA114" s="213"/>
      <c r="AB114" s="213"/>
      <c r="AC114" s="213"/>
      <c r="AD114" s="213"/>
      <c r="AE114" s="213"/>
      <c r="AF114" s="213"/>
      <c r="AG114" s="213" t="s">
        <v>398</v>
      </c>
      <c r="AH114" s="213"/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399</v>
      </c>
      <c r="D115" s="238"/>
      <c r="E115" s="239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35"/>
      <c r="B116" s="236"/>
      <c r="C116" s="237" t="s">
        <v>1020</v>
      </c>
      <c r="D116" s="238"/>
      <c r="E116" s="239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3"/>
      <c r="Z116" s="213"/>
      <c r="AA116" s="213"/>
      <c r="AB116" s="213"/>
      <c r="AC116" s="213"/>
      <c r="AD116" s="213"/>
      <c r="AE116" s="213"/>
      <c r="AF116" s="213"/>
      <c r="AG116" s="213" t="s">
        <v>228</v>
      </c>
      <c r="AH116" s="213">
        <v>0.0</v>
      </c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1021</v>
      </c>
      <c r="D117" s="238"/>
      <c r="E117" s="239">
        <v>21.94516</v>
      </c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>
      <c r="A118" s="196" t="s">
        <v>173</v>
      </c>
      <c r="B118" s="197" t="s">
        <v>126</v>
      </c>
      <c r="C118" s="198" t="s">
        <v>127</v>
      </c>
      <c r="D118" s="199"/>
      <c r="E118" s="200"/>
      <c r="F118" s="201"/>
      <c r="G118" s="202">
        <f>SUMIF(AG119:AG121,"&lt;&gt;NOR",G119:G121)</f>
        <v>867.83</v>
      </c>
      <c r="H118" s="203"/>
      <c r="I118" s="203">
        <f>SUM(I119:I121)</f>
        <v>0</v>
      </c>
      <c r="J118" s="203"/>
      <c r="K118" s="203">
        <f>SUM(K119:K121)</f>
        <v>0</v>
      </c>
      <c r="L118" s="203"/>
      <c r="M118" s="203">
        <f>SUM(M119:M121)</f>
        <v>1050.0743</v>
      </c>
      <c r="N118" s="203"/>
      <c r="O118" s="203">
        <f>SUM(O119:O121)</f>
        <v>0</v>
      </c>
      <c r="P118" s="203"/>
      <c r="Q118" s="203">
        <f>SUM(Q119:Q121)</f>
        <v>0</v>
      </c>
      <c r="R118" s="203"/>
      <c r="S118" s="203"/>
      <c r="T118" s="203"/>
      <c r="U118" s="203"/>
      <c r="V118" s="203">
        <f>SUM(V119:V121)</f>
        <v>1.04</v>
      </c>
      <c r="W118" s="203"/>
      <c r="X118" s="203"/>
      <c r="AG118" s="184" t="s">
        <v>174</v>
      </c>
    </row>
    <row r="119" ht="12.75" customHeight="1" outlineLevel="1">
      <c r="A119" s="214">
        <v>51.0</v>
      </c>
      <c r="B119" s="215" t="s">
        <v>690</v>
      </c>
      <c r="C119" s="216" t="s">
        <v>691</v>
      </c>
      <c r="D119" s="217" t="s">
        <v>251</v>
      </c>
      <c r="E119" s="218">
        <v>22.5</v>
      </c>
      <c r="F119" s="219">
        <v>38.57</v>
      </c>
      <c r="G119" s="220">
        <f>ROUND(E119*F119,2)</f>
        <v>867.83</v>
      </c>
      <c r="H119" s="211"/>
      <c r="I119" s="212">
        <f>ROUND(E119*H119,2)</f>
        <v>0</v>
      </c>
      <c r="J119" s="211"/>
      <c r="K119" s="212">
        <f>ROUND(E119*J119,2)</f>
        <v>0</v>
      </c>
      <c r="L119" s="212">
        <v>21.0</v>
      </c>
      <c r="M119" s="212">
        <f>G119*(1+L119/100)</f>
        <v>1050.0743</v>
      </c>
      <c r="N119" s="212">
        <v>4.0E-5</v>
      </c>
      <c r="O119" s="212">
        <f>ROUND(E119*N119,2)</f>
        <v>0</v>
      </c>
      <c r="P119" s="212">
        <v>0.0</v>
      </c>
      <c r="Q119" s="212">
        <f>ROUND(E119*P119,2)</f>
        <v>0</v>
      </c>
      <c r="R119" s="212"/>
      <c r="S119" s="212" t="s">
        <v>184</v>
      </c>
      <c r="T119" s="212" t="s">
        <v>184</v>
      </c>
      <c r="U119" s="212">
        <v>0.04633</v>
      </c>
      <c r="V119" s="212">
        <f>ROUND(E119*U119,2)</f>
        <v>1.04</v>
      </c>
      <c r="W119" s="212"/>
      <c r="X119" s="212" t="s">
        <v>225</v>
      </c>
      <c r="Y119" s="213"/>
      <c r="Z119" s="213"/>
      <c r="AA119" s="213"/>
      <c r="AB119" s="213"/>
      <c r="AC119" s="213"/>
      <c r="AD119" s="213"/>
      <c r="AE119" s="213"/>
      <c r="AF119" s="213"/>
      <c r="AG119" s="213" t="s">
        <v>408</v>
      </c>
      <c r="AH119" s="213"/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35"/>
      <c r="B120" s="236"/>
      <c r="C120" s="237" t="s">
        <v>692</v>
      </c>
      <c r="D120" s="238"/>
      <c r="E120" s="239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3"/>
      <c r="Z120" s="213"/>
      <c r="AA120" s="213"/>
      <c r="AB120" s="213"/>
      <c r="AC120" s="213"/>
      <c r="AD120" s="213"/>
      <c r="AE120" s="213"/>
      <c r="AF120" s="213"/>
      <c r="AG120" s="213" t="s">
        <v>228</v>
      </c>
      <c r="AH120" s="213">
        <v>0.0</v>
      </c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35"/>
      <c r="B121" s="236"/>
      <c r="C121" s="237" t="s">
        <v>1022</v>
      </c>
      <c r="D121" s="238"/>
      <c r="E121" s="239">
        <v>22.5</v>
      </c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3"/>
      <c r="Z121" s="213"/>
      <c r="AA121" s="213"/>
      <c r="AB121" s="213"/>
      <c r="AC121" s="213"/>
      <c r="AD121" s="213"/>
      <c r="AE121" s="213"/>
      <c r="AF121" s="213"/>
      <c r="AG121" s="213" t="s">
        <v>228</v>
      </c>
      <c r="AH121" s="213">
        <v>0.0</v>
      </c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>
      <c r="A122" s="175"/>
      <c r="B122" s="179"/>
      <c r="C122" s="221"/>
      <c r="D122" s="181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AE122" s="184">
        <v>15.0</v>
      </c>
      <c r="AF122" s="184">
        <v>21.0</v>
      </c>
      <c r="AG122" s="184" t="s">
        <v>160</v>
      </c>
    </row>
    <row r="123" ht="12.75" customHeight="1">
      <c r="A123" s="222"/>
      <c r="B123" s="223" t="s">
        <v>24</v>
      </c>
      <c r="C123" s="224"/>
      <c r="D123" s="225"/>
      <c r="E123" s="226"/>
      <c r="F123" s="226"/>
      <c r="G123" s="227">
        <f>G8+G58+G72+G113+G118</f>
        <v>311015.48</v>
      </c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AE123" s="184">
        <f>SUMIF(L7:L121,AE122,G7:G121)</f>
        <v>0</v>
      </c>
      <c r="AF123" s="184">
        <f>SUMIF(L7:L121,AF122,G7:G121)</f>
        <v>311015.48</v>
      </c>
      <c r="AG123" s="184" t="s">
        <v>218</v>
      </c>
    </row>
    <row r="124" ht="12.75" customHeight="1">
      <c r="A124" s="175"/>
      <c r="B124" s="179"/>
      <c r="C124" s="221"/>
      <c r="D124" s="181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</row>
    <row r="125" ht="12.75" customHeight="1">
      <c r="A125" s="175"/>
      <c r="B125" s="179"/>
      <c r="C125" s="221"/>
      <c r="D125" s="181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 ht="12.75" customHeight="1">
      <c r="A126" s="175" t="s">
        <v>219</v>
      </c>
      <c r="D126" s="181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</row>
    <row r="127" ht="12.75" customHeight="1">
      <c r="A127" s="228"/>
      <c r="B127" s="27"/>
      <c r="C127" s="27"/>
      <c r="D127" s="27"/>
      <c r="E127" s="27"/>
      <c r="F127" s="27"/>
      <c r="G127" s="229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AG127" s="184" t="s">
        <v>220</v>
      </c>
    </row>
    <row r="128" ht="12.75" customHeight="1">
      <c r="A128" s="230"/>
      <c r="G128" s="231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</row>
    <row r="129" ht="12.75" customHeight="1">
      <c r="A129" s="230"/>
      <c r="G129" s="231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</row>
    <row r="130" ht="12.75" customHeight="1">
      <c r="A130" s="230"/>
      <c r="G130" s="231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</row>
    <row r="131" ht="12.75" customHeight="1">
      <c r="A131" s="232"/>
      <c r="B131" s="38"/>
      <c r="C131" s="38"/>
      <c r="D131" s="38"/>
      <c r="E131" s="38"/>
      <c r="F131" s="38"/>
      <c r="G131" s="233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</row>
    <row r="132" ht="12.75" customHeight="1">
      <c r="A132" s="175"/>
      <c r="B132" s="179"/>
      <c r="C132" s="221"/>
      <c r="D132" s="181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</row>
    <row r="133" ht="12.75" customHeight="1">
      <c r="B133" s="185"/>
      <c r="C133" s="234"/>
      <c r="D133" s="126"/>
      <c r="AG133" s="184" t="s">
        <v>221</v>
      </c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  <c r="D331" s="126"/>
    </row>
    <row r="332" ht="12.75" customHeight="1">
      <c r="B332" s="185"/>
      <c r="C332" s="185"/>
      <c r="D332" s="126"/>
    </row>
    <row r="333" ht="12.75" customHeight="1">
      <c r="B333" s="185"/>
      <c r="C333" s="185"/>
      <c r="D333" s="126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26:C126"/>
    <mergeCell ref="A127:G131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76</v>
      </c>
      <c r="C3" s="177" t="s">
        <v>77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76</v>
      </c>
      <c r="C4" s="188" t="s">
        <v>77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SUMIF(AG9:AG57,"&lt;&gt;NOR",G9:G57)</f>
        <v>20635.4</v>
      </c>
      <c r="H8" s="203"/>
      <c r="I8" s="203">
        <f>SUM(I9:I57)</f>
        <v>0</v>
      </c>
      <c r="J8" s="203"/>
      <c r="K8" s="203">
        <f>SUM(K9:K57)</f>
        <v>0</v>
      </c>
      <c r="L8" s="203"/>
      <c r="M8" s="203">
        <f>SUM(M9:M57)</f>
        <v>24968.834</v>
      </c>
      <c r="N8" s="203"/>
      <c r="O8" s="203">
        <f>SUM(O9:O57)</f>
        <v>7.75</v>
      </c>
      <c r="P8" s="203"/>
      <c r="Q8" s="203">
        <f>SUM(Q9:Q57)</f>
        <v>0</v>
      </c>
      <c r="R8" s="203"/>
      <c r="S8" s="203"/>
      <c r="T8" s="203"/>
      <c r="U8" s="203"/>
      <c r="V8" s="203">
        <f>SUM(V9:V57)</f>
        <v>38.22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9.3018</v>
      </c>
      <c r="F9" s="219">
        <v>39.6</v>
      </c>
      <c r="G9" s="220">
        <f>ROUND(E9*F9,2)</f>
        <v>368.35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445.7035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0.78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1023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1024</v>
      </c>
      <c r="D12" s="241"/>
      <c r="E12" s="242">
        <v>18.60375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1025</v>
      </c>
      <c r="D14" s="238"/>
      <c r="E14" s="239">
        <v>9.30185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18.6037</v>
      </c>
      <c r="F15" s="219">
        <v>214.5</v>
      </c>
      <c r="G15" s="220">
        <f>ROUND(E15*F15,2)</f>
        <v>3990.49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4828.4929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4.13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1023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1026</v>
      </c>
      <c r="D17" s="238"/>
      <c r="E17" s="239">
        <v>18.6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608</v>
      </c>
      <c r="C18" s="216" t="s">
        <v>609</v>
      </c>
      <c r="D18" s="217" t="s">
        <v>224</v>
      </c>
      <c r="E18" s="218">
        <v>33.825</v>
      </c>
      <c r="F18" s="219">
        <v>77.25</v>
      </c>
      <c r="G18" s="220">
        <f>ROUND(E18*F18,2)</f>
        <v>2612.98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3161.7058</v>
      </c>
      <c r="N18" s="212">
        <v>9.9E-4</v>
      </c>
      <c r="O18" s="212">
        <f>ROUND(E18*N18,2)</f>
        <v>0.03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0.236</v>
      </c>
      <c r="V18" s="212">
        <f>ROUND(E18*U18,2)</f>
        <v>7.98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1023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1027</v>
      </c>
      <c r="D20" s="238"/>
      <c r="E20" s="239">
        <v>33.83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611</v>
      </c>
      <c r="C21" s="216" t="s">
        <v>612</v>
      </c>
      <c r="D21" s="217" t="s">
        <v>224</v>
      </c>
      <c r="E21" s="218">
        <v>33.825</v>
      </c>
      <c r="F21" s="219">
        <v>38.63</v>
      </c>
      <c r="G21" s="220">
        <f>ROUND(E21*F21,2)</f>
        <v>1306.66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1581.0586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0.07</v>
      </c>
      <c r="V21" s="212">
        <f>ROUND(E21*U21,2)</f>
        <v>2.37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1023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1027</v>
      </c>
      <c r="D23" s="238"/>
      <c r="E23" s="239">
        <v>33.83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18.6037</v>
      </c>
      <c r="F24" s="219">
        <v>36.6</v>
      </c>
      <c r="G24" s="220">
        <f>ROUND(E24*F24,2)</f>
        <v>680.9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823.889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0.73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1023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1026</v>
      </c>
      <c r="D26" s="238"/>
      <c r="E26" s="239">
        <v>18.6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18.6037</v>
      </c>
      <c r="F27" s="219">
        <v>64.0</v>
      </c>
      <c r="G27" s="220">
        <f>ROUND(E27*F27,2)</f>
        <v>1190.64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1440.6744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9.66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1023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1026</v>
      </c>
      <c r="D29" s="238"/>
      <c r="E29" s="239">
        <v>18.6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4.9913</v>
      </c>
      <c r="F30" s="219">
        <v>215.5</v>
      </c>
      <c r="G30" s="220">
        <f>ROUND(E30*F30,2)</f>
        <v>1075.63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1301.5123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0.05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1028</v>
      </c>
      <c r="D32" s="238"/>
      <c r="E32" s="239">
        <v>4.99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614</v>
      </c>
      <c r="C33" s="216" t="s">
        <v>615</v>
      </c>
      <c r="D33" s="217" t="s">
        <v>234</v>
      </c>
      <c r="E33" s="218">
        <v>4.9913</v>
      </c>
      <c r="F33" s="219">
        <v>68.96</v>
      </c>
      <c r="G33" s="220">
        <f>ROUND(E33*F33,2)</f>
        <v>344.2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416.482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0.652</v>
      </c>
      <c r="V33" s="212">
        <f>ROUND(E33*U33,2)</f>
        <v>3.25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1028</v>
      </c>
      <c r="D35" s="238"/>
      <c r="E35" s="239">
        <v>4.99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4.9913</v>
      </c>
      <c r="F36" s="219">
        <v>15.1</v>
      </c>
      <c r="G36" s="220">
        <f>ROUND(E36*F36,2)</f>
        <v>75.37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91.1977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0.04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1028</v>
      </c>
      <c r="D38" s="238"/>
      <c r="E38" s="239">
        <v>4.99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13.6125</v>
      </c>
      <c r="F39" s="219">
        <v>169.0</v>
      </c>
      <c r="G39" s="220">
        <f>ROUND(E39*F39,2)</f>
        <v>2300.51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2783.6171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2.75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503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1023</v>
      </c>
      <c r="D41" s="238"/>
      <c r="E41" s="239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1029</v>
      </c>
      <c r="D42" s="238"/>
      <c r="E42" s="239">
        <v>13.61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14">
        <v>11.0</v>
      </c>
      <c r="B43" s="215" t="s">
        <v>311</v>
      </c>
      <c r="C43" s="216" t="s">
        <v>312</v>
      </c>
      <c r="D43" s="217" t="s">
        <v>234</v>
      </c>
      <c r="E43" s="218">
        <v>4.0838</v>
      </c>
      <c r="F43" s="219">
        <v>477.51</v>
      </c>
      <c r="G43" s="220">
        <f>ROUND(E43*F43,2)</f>
        <v>1950.06</v>
      </c>
      <c r="H43" s="211"/>
      <c r="I43" s="212">
        <f>ROUND(E43*H43,2)</f>
        <v>0</v>
      </c>
      <c r="J43" s="211"/>
      <c r="K43" s="212">
        <f>ROUND(E43*J43,2)</f>
        <v>0</v>
      </c>
      <c r="L43" s="212">
        <v>21.0</v>
      </c>
      <c r="M43" s="212">
        <f>G43*(1+L43/100)</f>
        <v>2359.5726</v>
      </c>
      <c r="N43" s="212">
        <v>0.0</v>
      </c>
      <c r="O43" s="212">
        <f>ROUND(E43*N43,2)</f>
        <v>0</v>
      </c>
      <c r="P43" s="212">
        <v>0.0</v>
      </c>
      <c r="Q43" s="212">
        <f>ROUND(E43*P43,2)</f>
        <v>0</v>
      </c>
      <c r="R43" s="212"/>
      <c r="S43" s="212" t="s">
        <v>184</v>
      </c>
      <c r="T43" s="212" t="s">
        <v>184</v>
      </c>
      <c r="U43" s="212">
        <v>1.587</v>
      </c>
      <c r="V43" s="212">
        <f>ROUND(E43*U43,2)</f>
        <v>6.48</v>
      </c>
      <c r="W43" s="212"/>
      <c r="X43" s="212" t="s">
        <v>225</v>
      </c>
      <c r="Y43" s="213"/>
      <c r="Z43" s="213"/>
      <c r="AA43" s="213"/>
      <c r="AB43" s="213"/>
      <c r="AC43" s="213"/>
      <c r="AD43" s="213"/>
      <c r="AE43" s="213"/>
      <c r="AF43" s="213"/>
      <c r="AG43" s="213" t="s">
        <v>226</v>
      </c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1023</v>
      </c>
      <c r="D44" s="238"/>
      <c r="E44" s="239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1030</v>
      </c>
      <c r="D45" s="238"/>
      <c r="E45" s="239">
        <v>4.08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12.0</v>
      </c>
      <c r="B46" s="215" t="s">
        <v>314</v>
      </c>
      <c r="C46" s="216" t="s">
        <v>315</v>
      </c>
      <c r="D46" s="217" t="s">
        <v>316</v>
      </c>
      <c r="E46" s="218">
        <v>9.4835</v>
      </c>
      <c r="F46" s="219">
        <v>285.0</v>
      </c>
      <c r="G46" s="220">
        <f>ROUND(E46*F46,2)</f>
        <v>2702.8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3270.388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184</v>
      </c>
      <c r="T46" s="212" t="s">
        <v>184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295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0" t="s">
        <v>236</v>
      </c>
      <c r="D48" s="241"/>
      <c r="E48" s="24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3" t="s">
        <v>1031</v>
      </c>
      <c r="D49" s="241"/>
      <c r="E49" s="242">
        <v>4.99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2.0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40" t="s">
        <v>238</v>
      </c>
      <c r="D50" s="241"/>
      <c r="E50" s="24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1032</v>
      </c>
      <c r="D51" s="238"/>
      <c r="E51" s="239">
        <v>9.48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13.0</v>
      </c>
      <c r="B52" s="215" t="s">
        <v>620</v>
      </c>
      <c r="C52" s="216" t="s">
        <v>621</v>
      </c>
      <c r="D52" s="217" t="s">
        <v>321</v>
      </c>
      <c r="E52" s="218">
        <v>7.7184</v>
      </c>
      <c r="F52" s="219">
        <v>263.89</v>
      </c>
      <c r="G52" s="220">
        <f>ROUND(E52*F52,2)</f>
        <v>2036.81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2464.5401</v>
      </c>
      <c r="N52" s="212">
        <v>1.0</v>
      </c>
      <c r="O52" s="212">
        <f>ROUND(E52*N52,2)</f>
        <v>7.72</v>
      </c>
      <c r="P52" s="212">
        <v>0.0</v>
      </c>
      <c r="Q52" s="212">
        <f>ROUND(E52*P52,2)</f>
        <v>0</v>
      </c>
      <c r="R52" s="212" t="s">
        <v>322</v>
      </c>
      <c r="S52" s="212" t="s">
        <v>184</v>
      </c>
      <c r="T52" s="212" t="s">
        <v>184</v>
      </c>
      <c r="U52" s="212">
        <v>0.0</v>
      </c>
      <c r="V52" s="212">
        <f>ROUND(E52*U52,2)</f>
        <v>0</v>
      </c>
      <c r="W52" s="212"/>
      <c r="X52" s="212" t="s">
        <v>323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324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1023</v>
      </c>
      <c r="D53" s="238"/>
      <c r="E53" s="239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0" t="s">
        <v>236</v>
      </c>
      <c r="D54" s="241"/>
      <c r="E54" s="24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3" t="s">
        <v>1033</v>
      </c>
      <c r="D55" s="241"/>
      <c r="E55" s="242">
        <v>4.08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2.0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40" t="s">
        <v>238</v>
      </c>
      <c r="D56" s="241"/>
      <c r="E56" s="24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1034</v>
      </c>
      <c r="D57" s="238"/>
      <c r="E57" s="239">
        <v>7.72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>
      <c r="A58" s="196" t="s">
        <v>173</v>
      </c>
      <c r="B58" s="197" t="s">
        <v>100</v>
      </c>
      <c r="C58" s="198" t="s">
        <v>101</v>
      </c>
      <c r="D58" s="199"/>
      <c r="E58" s="200"/>
      <c r="F58" s="201"/>
      <c r="G58" s="202">
        <f>SUMIF(AG59:AG71,"&lt;&gt;NOR",G59:G71)</f>
        <v>2937.81</v>
      </c>
      <c r="H58" s="203"/>
      <c r="I58" s="203">
        <f>SUM(I59:I71)</f>
        <v>0</v>
      </c>
      <c r="J58" s="203"/>
      <c r="K58" s="203">
        <f>SUM(K59:K71)</f>
        <v>0</v>
      </c>
      <c r="L58" s="203"/>
      <c r="M58" s="203">
        <f>SUM(M59:M71)</f>
        <v>3554.7501</v>
      </c>
      <c r="N58" s="203"/>
      <c r="O58" s="203">
        <f>SUM(O59:O71)</f>
        <v>1.58</v>
      </c>
      <c r="P58" s="203"/>
      <c r="Q58" s="203">
        <f>SUM(Q59:Q71)</f>
        <v>0</v>
      </c>
      <c r="R58" s="203"/>
      <c r="S58" s="203"/>
      <c r="T58" s="203"/>
      <c r="U58" s="203"/>
      <c r="V58" s="203">
        <f>SUM(V59:V71)</f>
        <v>3.77</v>
      </c>
      <c r="W58" s="203"/>
      <c r="X58" s="203"/>
      <c r="AG58" s="184" t="s">
        <v>174</v>
      </c>
    </row>
    <row r="59" ht="12.75" customHeight="1" outlineLevel="1">
      <c r="A59" s="214">
        <v>14.0</v>
      </c>
      <c r="B59" s="215" t="s">
        <v>347</v>
      </c>
      <c r="C59" s="216" t="s">
        <v>348</v>
      </c>
      <c r="D59" s="217" t="s">
        <v>234</v>
      </c>
      <c r="E59" s="218">
        <v>0.9075</v>
      </c>
      <c r="F59" s="219">
        <v>1010.69</v>
      </c>
      <c r="G59" s="220">
        <f>ROUND(E59*F59,2)</f>
        <v>917.2</v>
      </c>
      <c r="H59" s="211"/>
      <c r="I59" s="212">
        <f>ROUND(E59*H59,2)</f>
        <v>0</v>
      </c>
      <c r="J59" s="211"/>
      <c r="K59" s="212">
        <f>ROUND(E59*J59,2)</f>
        <v>0</v>
      </c>
      <c r="L59" s="212">
        <v>21.0</v>
      </c>
      <c r="M59" s="212">
        <f>G59*(1+L59/100)</f>
        <v>1109.812</v>
      </c>
      <c r="N59" s="212">
        <v>1.1322</v>
      </c>
      <c r="O59" s="212">
        <f>ROUND(E59*N59,2)</f>
        <v>1.03</v>
      </c>
      <c r="P59" s="212">
        <v>0.0</v>
      </c>
      <c r="Q59" s="212">
        <f>ROUND(E59*P59,2)</f>
        <v>0</v>
      </c>
      <c r="R59" s="212"/>
      <c r="S59" s="212" t="s">
        <v>184</v>
      </c>
      <c r="T59" s="212" t="s">
        <v>184</v>
      </c>
      <c r="U59" s="212">
        <v>1.695</v>
      </c>
      <c r="V59" s="212">
        <f>ROUND(E59*U59,2)</f>
        <v>1.54</v>
      </c>
      <c r="W59" s="212"/>
      <c r="X59" s="212" t="s">
        <v>225</v>
      </c>
      <c r="Y59" s="213"/>
      <c r="Z59" s="213"/>
      <c r="AA59" s="213"/>
      <c r="AB59" s="213"/>
      <c r="AC59" s="213"/>
      <c r="AD59" s="213"/>
      <c r="AE59" s="213"/>
      <c r="AF59" s="213"/>
      <c r="AG59" s="213" t="s">
        <v>226</v>
      </c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1023</v>
      </c>
      <c r="D60" s="238"/>
      <c r="E60" s="239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1035</v>
      </c>
      <c r="D61" s="238"/>
      <c r="E61" s="239">
        <v>0.91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14">
        <v>15.0</v>
      </c>
      <c r="B62" s="215" t="s">
        <v>625</v>
      </c>
      <c r="C62" s="216" t="s">
        <v>626</v>
      </c>
      <c r="D62" s="217" t="s">
        <v>234</v>
      </c>
      <c r="E62" s="218">
        <v>0.216</v>
      </c>
      <c r="F62" s="219">
        <v>3460.8</v>
      </c>
      <c r="G62" s="220">
        <f>ROUND(E62*F62,2)</f>
        <v>747.53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904.5113</v>
      </c>
      <c r="N62" s="212">
        <v>2.5</v>
      </c>
      <c r="O62" s="212">
        <f>ROUND(E62*N62,2)</f>
        <v>0.54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1.192</v>
      </c>
      <c r="V62" s="212">
        <f>ROUND(E62*U62,2)</f>
        <v>0.26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226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806</v>
      </c>
      <c r="D63" s="238"/>
      <c r="E63" s="239">
        <v>0.05</v>
      </c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806</v>
      </c>
      <c r="D64" s="238"/>
      <c r="E64" s="239">
        <v>0.05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807</v>
      </c>
      <c r="D65" s="238"/>
      <c r="E65" s="239">
        <v>0.06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807</v>
      </c>
      <c r="D66" s="238"/>
      <c r="E66" s="239">
        <v>0.06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14">
        <v>16.0</v>
      </c>
      <c r="B67" s="215" t="s">
        <v>629</v>
      </c>
      <c r="C67" s="216" t="s">
        <v>630</v>
      </c>
      <c r="D67" s="217" t="s">
        <v>224</v>
      </c>
      <c r="E67" s="218">
        <v>2.4</v>
      </c>
      <c r="F67" s="219">
        <v>530.45</v>
      </c>
      <c r="G67" s="220">
        <f>ROUND(E67*F67,2)</f>
        <v>1273.08</v>
      </c>
      <c r="H67" s="211"/>
      <c r="I67" s="212">
        <f>ROUND(E67*H67,2)</f>
        <v>0</v>
      </c>
      <c r="J67" s="211"/>
      <c r="K67" s="212">
        <f>ROUND(E67*J67,2)</f>
        <v>0</v>
      </c>
      <c r="L67" s="212">
        <v>21.0</v>
      </c>
      <c r="M67" s="212">
        <f>G67*(1+L67/100)</f>
        <v>1540.4268</v>
      </c>
      <c r="N67" s="212">
        <v>0.00442</v>
      </c>
      <c r="O67" s="212">
        <f>ROUND(E67*N67,2)</f>
        <v>0.01</v>
      </c>
      <c r="P67" s="212">
        <v>0.0</v>
      </c>
      <c r="Q67" s="212">
        <f>ROUND(E67*P67,2)</f>
        <v>0</v>
      </c>
      <c r="R67" s="212"/>
      <c r="S67" s="212" t="s">
        <v>184</v>
      </c>
      <c r="T67" s="212" t="s">
        <v>184</v>
      </c>
      <c r="U67" s="212">
        <v>0.821</v>
      </c>
      <c r="V67" s="212">
        <f>ROUND(E67*U67,2)</f>
        <v>1.97</v>
      </c>
      <c r="W67" s="212"/>
      <c r="X67" s="212" t="s">
        <v>225</v>
      </c>
      <c r="Y67" s="213"/>
      <c r="Z67" s="213"/>
      <c r="AA67" s="213"/>
      <c r="AB67" s="213"/>
      <c r="AC67" s="213"/>
      <c r="AD67" s="213"/>
      <c r="AE67" s="213"/>
      <c r="AF67" s="213"/>
      <c r="AG67" s="213" t="s">
        <v>226</v>
      </c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808</v>
      </c>
      <c r="D68" s="238"/>
      <c r="E68" s="239">
        <v>0.56</v>
      </c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808</v>
      </c>
      <c r="D69" s="238"/>
      <c r="E69" s="239">
        <v>0.56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809</v>
      </c>
      <c r="D70" s="238"/>
      <c r="E70" s="239">
        <v>0.64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809</v>
      </c>
      <c r="D71" s="238"/>
      <c r="E71" s="239">
        <v>0.64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>
      <c r="A72" s="196" t="s">
        <v>173</v>
      </c>
      <c r="B72" s="197" t="s">
        <v>106</v>
      </c>
      <c r="C72" s="198" t="s">
        <v>107</v>
      </c>
      <c r="D72" s="199"/>
      <c r="E72" s="200"/>
      <c r="F72" s="201"/>
      <c r="G72" s="202">
        <f>SUMIF(AG73:AG109,"&lt;&gt;NOR",G73:G109)</f>
        <v>220248.29</v>
      </c>
      <c r="H72" s="203"/>
      <c r="I72" s="203">
        <f>SUM(I73:I109)</f>
        <v>0</v>
      </c>
      <c r="J72" s="203"/>
      <c r="K72" s="203">
        <f>SUM(K73:K109)</f>
        <v>0</v>
      </c>
      <c r="L72" s="203"/>
      <c r="M72" s="203">
        <f>SUM(M73:M109)</f>
        <v>266500.4309</v>
      </c>
      <c r="N72" s="203"/>
      <c r="O72" s="203">
        <f>SUM(O73:O109)</f>
        <v>0.24</v>
      </c>
      <c r="P72" s="203"/>
      <c r="Q72" s="203">
        <f>SUM(Q73:Q109)</f>
        <v>0</v>
      </c>
      <c r="R72" s="203"/>
      <c r="S72" s="203"/>
      <c r="T72" s="203"/>
      <c r="U72" s="203"/>
      <c r="V72" s="203">
        <f>SUM(V73:V109)</f>
        <v>31.69</v>
      </c>
      <c r="W72" s="203"/>
      <c r="X72" s="203"/>
      <c r="AG72" s="184" t="s">
        <v>174</v>
      </c>
    </row>
    <row r="73" ht="12.75" customHeight="1" outlineLevel="1">
      <c r="A73" s="214">
        <v>17.0</v>
      </c>
      <c r="B73" s="215" t="s">
        <v>810</v>
      </c>
      <c r="C73" s="216" t="s">
        <v>811</v>
      </c>
      <c r="D73" s="217" t="s">
        <v>251</v>
      </c>
      <c r="E73" s="218">
        <v>8.25</v>
      </c>
      <c r="F73" s="219">
        <v>149.35</v>
      </c>
      <c r="G73" s="220">
        <f>ROUND(E73*F73,2)</f>
        <v>1232.14</v>
      </c>
      <c r="H73" s="211"/>
      <c r="I73" s="212">
        <f>ROUND(E73*H73,2)</f>
        <v>0</v>
      </c>
      <c r="J73" s="211"/>
      <c r="K73" s="212">
        <f>ROUND(E73*J73,2)</f>
        <v>0</v>
      </c>
      <c r="L73" s="212">
        <v>21.0</v>
      </c>
      <c r="M73" s="212">
        <f>G73*(1+L73/100)</f>
        <v>1490.8894</v>
      </c>
      <c r="N73" s="212">
        <v>0.0</v>
      </c>
      <c r="O73" s="212">
        <f>ROUND(E73*N73,2)</f>
        <v>0</v>
      </c>
      <c r="P73" s="212">
        <v>0.0</v>
      </c>
      <c r="Q73" s="212">
        <f>ROUND(E73*P73,2)</f>
        <v>0</v>
      </c>
      <c r="R73" s="212"/>
      <c r="S73" s="212" t="s">
        <v>184</v>
      </c>
      <c r="T73" s="212" t="s">
        <v>184</v>
      </c>
      <c r="U73" s="212">
        <v>0.409</v>
      </c>
      <c r="V73" s="212">
        <f>ROUND(E73*U73,2)</f>
        <v>3.37</v>
      </c>
      <c r="W73" s="212"/>
      <c r="X73" s="212" t="s">
        <v>225</v>
      </c>
      <c r="Y73" s="213"/>
      <c r="Z73" s="213"/>
      <c r="AA73" s="213"/>
      <c r="AB73" s="213"/>
      <c r="AC73" s="213"/>
      <c r="AD73" s="213"/>
      <c r="AE73" s="213"/>
      <c r="AF73" s="213"/>
      <c r="AG73" s="213" t="s">
        <v>226</v>
      </c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812</v>
      </c>
      <c r="D74" s="238"/>
      <c r="E74" s="239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1036</v>
      </c>
      <c r="D75" s="238"/>
      <c r="E75" s="239">
        <v>8.25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14">
        <v>18.0</v>
      </c>
      <c r="B76" s="215" t="s">
        <v>814</v>
      </c>
      <c r="C76" s="216" t="s">
        <v>815</v>
      </c>
      <c r="D76" s="217" t="s">
        <v>372</v>
      </c>
      <c r="E76" s="218">
        <v>14.0</v>
      </c>
      <c r="F76" s="219">
        <v>1225.7</v>
      </c>
      <c r="G76" s="220">
        <f>ROUND(E76*F76,2)</f>
        <v>17159.8</v>
      </c>
      <c r="H76" s="211"/>
      <c r="I76" s="212">
        <f>ROUND(E76*H76,2)</f>
        <v>0</v>
      </c>
      <c r="J76" s="211"/>
      <c r="K76" s="212">
        <f>ROUND(E76*J76,2)</f>
        <v>0</v>
      </c>
      <c r="L76" s="212">
        <v>21.0</v>
      </c>
      <c r="M76" s="212">
        <f>G76*(1+L76/100)</f>
        <v>20763.358</v>
      </c>
      <c r="N76" s="212">
        <v>2.1E-4</v>
      </c>
      <c r="O76" s="212">
        <f>ROUND(E76*N76,2)</f>
        <v>0</v>
      </c>
      <c r="P76" s="212">
        <v>0.0</v>
      </c>
      <c r="Q76" s="212">
        <f>ROUND(E76*P76,2)</f>
        <v>0</v>
      </c>
      <c r="R76" s="212"/>
      <c r="S76" s="212" t="s">
        <v>184</v>
      </c>
      <c r="T76" s="212" t="s">
        <v>184</v>
      </c>
      <c r="U76" s="212">
        <v>1.6504</v>
      </c>
      <c r="V76" s="212">
        <f>ROUND(E76*U76,2)</f>
        <v>23.11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226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638</v>
      </c>
      <c r="D77" s="238"/>
      <c r="E77" s="239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1037</v>
      </c>
      <c r="D78" s="238"/>
      <c r="E78" s="239">
        <v>14.0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19.0</v>
      </c>
      <c r="B79" s="205" t="s">
        <v>370</v>
      </c>
      <c r="C79" s="206" t="s">
        <v>817</v>
      </c>
      <c r="D79" s="207" t="s">
        <v>372</v>
      </c>
      <c r="E79" s="208">
        <v>1.0</v>
      </c>
      <c r="F79" s="209">
        <v>4770.0</v>
      </c>
      <c r="G79" s="210">
        <f t="shared" ref="G79:G96" si="1">ROUND(E79*F79,2)</f>
        <v>4770</v>
      </c>
      <c r="H79" s="211"/>
      <c r="I79" s="212">
        <f t="shared" ref="I79:I96" si="2">ROUND(E79*H79,2)</f>
        <v>0</v>
      </c>
      <c r="J79" s="211"/>
      <c r="K79" s="212">
        <f t="shared" ref="K79:K96" si="3">ROUND(E79*J79,2)</f>
        <v>0</v>
      </c>
      <c r="L79" s="212">
        <v>21.0</v>
      </c>
      <c r="M79" s="212">
        <f t="shared" ref="M79:M96" si="4">G79*(1+L79/100)</f>
        <v>5771.7</v>
      </c>
      <c r="N79" s="212">
        <v>0.0</v>
      </c>
      <c r="O79" s="212">
        <f t="shared" ref="O79:O96" si="5">ROUND(E79*N79,2)</f>
        <v>0</v>
      </c>
      <c r="P79" s="212">
        <v>0.0</v>
      </c>
      <c r="Q79" s="212">
        <f t="shared" ref="Q79:Q96" si="6">ROUND(E79*P79,2)</f>
        <v>0</v>
      </c>
      <c r="R79" s="212"/>
      <c r="S79" s="212" t="s">
        <v>178</v>
      </c>
      <c r="T79" s="212" t="s">
        <v>179</v>
      </c>
      <c r="U79" s="212">
        <v>0.0</v>
      </c>
      <c r="V79" s="212">
        <f t="shared" ref="V79:V96" si="7">ROUND(E79*U79,2)</f>
        <v>0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04">
        <v>20.0</v>
      </c>
      <c r="B80" s="205" t="s">
        <v>375</v>
      </c>
      <c r="C80" s="206" t="s">
        <v>818</v>
      </c>
      <c r="D80" s="207" t="s">
        <v>372</v>
      </c>
      <c r="E80" s="208">
        <v>2.0</v>
      </c>
      <c r="F80" s="209">
        <v>5431.81</v>
      </c>
      <c r="G80" s="210">
        <f t="shared" si="1"/>
        <v>10863.62</v>
      </c>
      <c r="H80" s="211"/>
      <c r="I80" s="212">
        <f t="shared" si="2"/>
        <v>0</v>
      </c>
      <c r="J80" s="211"/>
      <c r="K80" s="212">
        <f t="shared" si="3"/>
        <v>0</v>
      </c>
      <c r="L80" s="212">
        <v>21.0</v>
      </c>
      <c r="M80" s="212">
        <f t="shared" si="4"/>
        <v>13144.9802</v>
      </c>
      <c r="N80" s="212">
        <v>0.0</v>
      </c>
      <c r="O80" s="212">
        <f t="shared" si="5"/>
        <v>0</v>
      </c>
      <c r="P80" s="212">
        <v>0.0</v>
      </c>
      <c r="Q80" s="212">
        <f t="shared" si="6"/>
        <v>0</v>
      </c>
      <c r="R80" s="212"/>
      <c r="S80" s="212" t="s">
        <v>178</v>
      </c>
      <c r="T80" s="212" t="s">
        <v>179</v>
      </c>
      <c r="U80" s="212">
        <v>0.0</v>
      </c>
      <c r="V80" s="212">
        <f t="shared" si="7"/>
        <v>0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04">
        <v>21.0</v>
      </c>
      <c r="B81" s="205" t="s">
        <v>642</v>
      </c>
      <c r="C81" s="206" t="s">
        <v>819</v>
      </c>
      <c r="D81" s="207" t="s">
        <v>372</v>
      </c>
      <c r="E81" s="208">
        <v>1.0</v>
      </c>
      <c r="F81" s="209">
        <v>6114.49</v>
      </c>
      <c r="G81" s="210">
        <f t="shared" si="1"/>
        <v>6114.49</v>
      </c>
      <c r="H81" s="211"/>
      <c r="I81" s="212">
        <f t="shared" si="2"/>
        <v>0</v>
      </c>
      <c r="J81" s="211"/>
      <c r="K81" s="212">
        <f t="shared" si="3"/>
        <v>0</v>
      </c>
      <c r="L81" s="212">
        <v>21.0</v>
      </c>
      <c r="M81" s="212">
        <f t="shared" si="4"/>
        <v>7398.5329</v>
      </c>
      <c r="N81" s="212">
        <v>0.0</v>
      </c>
      <c r="O81" s="212">
        <f t="shared" si="5"/>
        <v>0</v>
      </c>
      <c r="P81" s="212">
        <v>0.0</v>
      </c>
      <c r="Q81" s="212">
        <f t="shared" si="6"/>
        <v>0</v>
      </c>
      <c r="R81" s="212"/>
      <c r="S81" s="212" t="s">
        <v>178</v>
      </c>
      <c r="T81" s="212" t="s">
        <v>179</v>
      </c>
      <c r="U81" s="212">
        <v>0.0</v>
      </c>
      <c r="V81" s="212">
        <f t="shared" si="7"/>
        <v>0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04">
        <v>22.0</v>
      </c>
      <c r="B82" s="205" t="s">
        <v>644</v>
      </c>
      <c r="C82" s="206" t="s">
        <v>820</v>
      </c>
      <c r="D82" s="207" t="s">
        <v>372</v>
      </c>
      <c r="E82" s="208">
        <v>1.0</v>
      </c>
      <c r="F82" s="209">
        <v>6460.26</v>
      </c>
      <c r="G82" s="210">
        <f t="shared" si="1"/>
        <v>6460.26</v>
      </c>
      <c r="H82" s="211"/>
      <c r="I82" s="212">
        <f t="shared" si="2"/>
        <v>0</v>
      </c>
      <c r="J82" s="211"/>
      <c r="K82" s="212">
        <f t="shared" si="3"/>
        <v>0</v>
      </c>
      <c r="L82" s="212">
        <v>21.0</v>
      </c>
      <c r="M82" s="212">
        <f t="shared" si="4"/>
        <v>7816.9146</v>
      </c>
      <c r="N82" s="212">
        <v>0.0</v>
      </c>
      <c r="O82" s="212">
        <f t="shared" si="5"/>
        <v>0</v>
      </c>
      <c r="P82" s="212">
        <v>0.0</v>
      </c>
      <c r="Q82" s="212">
        <f t="shared" si="6"/>
        <v>0</v>
      </c>
      <c r="R82" s="212"/>
      <c r="S82" s="212" t="s">
        <v>178</v>
      </c>
      <c r="T82" s="212" t="s">
        <v>179</v>
      </c>
      <c r="U82" s="212">
        <v>0.0</v>
      </c>
      <c r="V82" s="212">
        <f t="shared" si="7"/>
        <v>0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04">
        <v>23.0</v>
      </c>
      <c r="B83" s="205" t="s">
        <v>646</v>
      </c>
      <c r="C83" s="206" t="s">
        <v>821</v>
      </c>
      <c r="D83" s="207" t="s">
        <v>372</v>
      </c>
      <c r="E83" s="208">
        <v>1.0</v>
      </c>
      <c r="F83" s="209">
        <v>5410.59</v>
      </c>
      <c r="G83" s="210">
        <f t="shared" si="1"/>
        <v>5410.59</v>
      </c>
      <c r="H83" s="211"/>
      <c r="I83" s="212">
        <f t="shared" si="2"/>
        <v>0</v>
      </c>
      <c r="J83" s="211"/>
      <c r="K83" s="212">
        <f t="shared" si="3"/>
        <v>0</v>
      </c>
      <c r="L83" s="212">
        <v>21.0</v>
      </c>
      <c r="M83" s="212">
        <f t="shared" si="4"/>
        <v>6546.8139</v>
      </c>
      <c r="N83" s="212">
        <v>0.0</v>
      </c>
      <c r="O83" s="212">
        <f t="shared" si="5"/>
        <v>0</v>
      </c>
      <c r="P83" s="212">
        <v>0.0</v>
      </c>
      <c r="Q83" s="212">
        <f t="shared" si="6"/>
        <v>0</v>
      </c>
      <c r="R83" s="212"/>
      <c r="S83" s="212" t="s">
        <v>178</v>
      </c>
      <c r="T83" s="212" t="s">
        <v>179</v>
      </c>
      <c r="U83" s="212">
        <v>0.0</v>
      </c>
      <c r="V83" s="212">
        <f t="shared" si="7"/>
        <v>0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04">
        <v>24.0</v>
      </c>
      <c r="B84" s="205" t="s">
        <v>648</v>
      </c>
      <c r="C84" s="206" t="s">
        <v>1038</v>
      </c>
      <c r="D84" s="207" t="s">
        <v>372</v>
      </c>
      <c r="E84" s="208">
        <v>1.0</v>
      </c>
      <c r="F84" s="209">
        <v>86053.93</v>
      </c>
      <c r="G84" s="210">
        <f t="shared" si="1"/>
        <v>86053.93</v>
      </c>
      <c r="H84" s="211"/>
      <c r="I84" s="212">
        <f t="shared" si="2"/>
        <v>0</v>
      </c>
      <c r="J84" s="211"/>
      <c r="K84" s="212">
        <f t="shared" si="3"/>
        <v>0</v>
      </c>
      <c r="L84" s="212">
        <v>21.0</v>
      </c>
      <c r="M84" s="212">
        <f t="shared" si="4"/>
        <v>104125.2553</v>
      </c>
      <c r="N84" s="212">
        <v>0.0</v>
      </c>
      <c r="O84" s="212">
        <f t="shared" si="5"/>
        <v>0</v>
      </c>
      <c r="P84" s="212">
        <v>0.0</v>
      </c>
      <c r="Q84" s="212">
        <f t="shared" si="6"/>
        <v>0</v>
      </c>
      <c r="R84" s="212"/>
      <c r="S84" s="212" t="s">
        <v>178</v>
      </c>
      <c r="T84" s="212" t="s">
        <v>179</v>
      </c>
      <c r="U84" s="212">
        <v>0.0</v>
      </c>
      <c r="V84" s="212">
        <f t="shared" si="7"/>
        <v>0</v>
      </c>
      <c r="W84" s="212"/>
      <c r="X84" s="212" t="s">
        <v>225</v>
      </c>
      <c r="Y84" s="213"/>
      <c r="Z84" s="213"/>
      <c r="AA84" s="213"/>
      <c r="AB84" s="213"/>
      <c r="AC84" s="213"/>
      <c r="AD84" s="213"/>
      <c r="AE84" s="213"/>
      <c r="AF84" s="213"/>
      <c r="AG84" s="213" t="s">
        <v>226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04">
        <v>25.0</v>
      </c>
      <c r="B85" s="205" t="s">
        <v>650</v>
      </c>
      <c r="C85" s="206" t="s">
        <v>651</v>
      </c>
      <c r="D85" s="207" t="s">
        <v>372</v>
      </c>
      <c r="E85" s="208">
        <v>1.0</v>
      </c>
      <c r="F85" s="209">
        <v>1704.5</v>
      </c>
      <c r="G85" s="210">
        <f t="shared" si="1"/>
        <v>1704.5</v>
      </c>
      <c r="H85" s="211"/>
      <c r="I85" s="212">
        <f t="shared" si="2"/>
        <v>0</v>
      </c>
      <c r="J85" s="211"/>
      <c r="K85" s="212">
        <f t="shared" si="3"/>
        <v>0</v>
      </c>
      <c r="L85" s="212">
        <v>21.0</v>
      </c>
      <c r="M85" s="212">
        <f t="shared" si="4"/>
        <v>2062.445</v>
      </c>
      <c r="N85" s="212">
        <v>0.0</v>
      </c>
      <c r="O85" s="212">
        <f t="shared" si="5"/>
        <v>0</v>
      </c>
      <c r="P85" s="212">
        <v>0.0</v>
      </c>
      <c r="Q85" s="212">
        <f t="shared" si="6"/>
        <v>0</v>
      </c>
      <c r="R85" s="212"/>
      <c r="S85" s="212" t="s">
        <v>178</v>
      </c>
      <c r="T85" s="212" t="s">
        <v>179</v>
      </c>
      <c r="U85" s="212">
        <v>0.0</v>
      </c>
      <c r="V85" s="212">
        <f t="shared" si="7"/>
        <v>0</v>
      </c>
      <c r="W85" s="212"/>
      <c r="X85" s="212" t="s">
        <v>225</v>
      </c>
      <c r="Y85" s="213"/>
      <c r="Z85" s="213"/>
      <c r="AA85" s="213"/>
      <c r="AB85" s="213"/>
      <c r="AC85" s="213"/>
      <c r="AD85" s="213"/>
      <c r="AE85" s="213"/>
      <c r="AF85" s="213"/>
      <c r="AG85" s="213" t="s">
        <v>226</v>
      </c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04">
        <v>26.0</v>
      </c>
      <c r="B86" s="205" t="s">
        <v>652</v>
      </c>
      <c r="C86" s="206" t="s">
        <v>823</v>
      </c>
      <c r="D86" s="207" t="s">
        <v>372</v>
      </c>
      <c r="E86" s="208">
        <v>1.0</v>
      </c>
      <c r="F86" s="209">
        <v>1909.31</v>
      </c>
      <c r="G86" s="210">
        <f t="shared" si="1"/>
        <v>1909.31</v>
      </c>
      <c r="H86" s="211"/>
      <c r="I86" s="212">
        <f t="shared" si="2"/>
        <v>0</v>
      </c>
      <c r="J86" s="211"/>
      <c r="K86" s="212">
        <f t="shared" si="3"/>
        <v>0</v>
      </c>
      <c r="L86" s="212">
        <v>21.0</v>
      </c>
      <c r="M86" s="212">
        <f t="shared" si="4"/>
        <v>2310.2651</v>
      </c>
      <c r="N86" s="212">
        <v>0.0</v>
      </c>
      <c r="O86" s="212">
        <f t="shared" si="5"/>
        <v>0</v>
      </c>
      <c r="P86" s="212">
        <v>0.0</v>
      </c>
      <c r="Q86" s="212">
        <f t="shared" si="6"/>
        <v>0</v>
      </c>
      <c r="R86" s="212"/>
      <c r="S86" s="212" t="s">
        <v>178</v>
      </c>
      <c r="T86" s="212" t="s">
        <v>179</v>
      </c>
      <c r="U86" s="212">
        <v>0.0</v>
      </c>
      <c r="V86" s="212">
        <f t="shared" si="7"/>
        <v>0</v>
      </c>
      <c r="W86" s="212"/>
      <c r="X86" s="212" t="s">
        <v>225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226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04">
        <v>27.0</v>
      </c>
      <c r="B87" s="205" t="s">
        <v>654</v>
      </c>
      <c r="C87" s="206" t="s">
        <v>655</v>
      </c>
      <c r="D87" s="207" t="s">
        <v>372</v>
      </c>
      <c r="E87" s="208">
        <v>1.0</v>
      </c>
      <c r="F87" s="209">
        <v>631.0</v>
      </c>
      <c r="G87" s="210">
        <f t="shared" si="1"/>
        <v>631</v>
      </c>
      <c r="H87" s="211"/>
      <c r="I87" s="212">
        <f t="shared" si="2"/>
        <v>0</v>
      </c>
      <c r="J87" s="211"/>
      <c r="K87" s="212">
        <f t="shared" si="3"/>
        <v>0</v>
      </c>
      <c r="L87" s="212">
        <v>21.0</v>
      </c>
      <c r="M87" s="212">
        <f t="shared" si="4"/>
        <v>763.51</v>
      </c>
      <c r="N87" s="212">
        <v>0.0</v>
      </c>
      <c r="O87" s="212">
        <f t="shared" si="5"/>
        <v>0</v>
      </c>
      <c r="P87" s="212">
        <v>0.0</v>
      </c>
      <c r="Q87" s="212">
        <f t="shared" si="6"/>
        <v>0</v>
      </c>
      <c r="R87" s="212"/>
      <c r="S87" s="212" t="s">
        <v>178</v>
      </c>
      <c r="T87" s="212" t="s">
        <v>179</v>
      </c>
      <c r="U87" s="212">
        <v>0.0</v>
      </c>
      <c r="V87" s="212">
        <f t="shared" si="7"/>
        <v>0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04">
        <v>28.0</v>
      </c>
      <c r="B88" s="205" t="s">
        <v>656</v>
      </c>
      <c r="C88" s="206" t="s">
        <v>824</v>
      </c>
      <c r="D88" s="207" t="s">
        <v>372</v>
      </c>
      <c r="E88" s="208">
        <v>2.0</v>
      </c>
      <c r="F88" s="209">
        <v>697.5</v>
      </c>
      <c r="G88" s="210">
        <f t="shared" si="1"/>
        <v>1395</v>
      </c>
      <c r="H88" s="211"/>
      <c r="I88" s="212">
        <f t="shared" si="2"/>
        <v>0</v>
      </c>
      <c r="J88" s="211"/>
      <c r="K88" s="212">
        <f t="shared" si="3"/>
        <v>0</v>
      </c>
      <c r="L88" s="212">
        <v>21.0</v>
      </c>
      <c r="M88" s="212">
        <f t="shared" si="4"/>
        <v>1687.95</v>
      </c>
      <c r="N88" s="212">
        <v>0.0</v>
      </c>
      <c r="O88" s="212">
        <f t="shared" si="5"/>
        <v>0</v>
      </c>
      <c r="P88" s="212">
        <v>0.0</v>
      </c>
      <c r="Q88" s="212">
        <f t="shared" si="6"/>
        <v>0</v>
      </c>
      <c r="R88" s="212"/>
      <c r="S88" s="212" t="s">
        <v>178</v>
      </c>
      <c r="T88" s="212" t="s">
        <v>179</v>
      </c>
      <c r="U88" s="212">
        <v>0.0</v>
      </c>
      <c r="V88" s="212">
        <f t="shared" si="7"/>
        <v>0</v>
      </c>
      <c r="W88" s="212"/>
      <c r="X88" s="212" t="s">
        <v>225</v>
      </c>
      <c r="Y88" s="213"/>
      <c r="Z88" s="213"/>
      <c r="AA88" s="213"/>
      <c r="AB88" s="213"/>
      <c r="AC88" s="213"/>
      <c r="AD88" s="213"/>
      <c r="AE88" s="213"/>
      <c r="AF88" s="213"/>
      <c r="AG88" s="213" t="s">
        <v>226</v>
      </c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04">
        <v>29.0</v>
      </c>
      <c r="B89" s="205" t="s">
        <v>658</v>
      </c>
      <c r="C89" s="206" t="s">
        <v>659</v>
      </c>
      <c r="D89" s="207" t="s">
        <v>372</v>
      </c>
      <c r="E89" s="208">
        <v>4.0</v>
      </c>
      <c r="F89" s="209">
        <v>591.0</v>
      </c>
      <c r="G89" s="210">
        <f t="shared" si="1"/>
        <v>2364</v>
      </c>
      <c r="H89" s="211"/>
      <c r="I89" s="212">
        <f t="shared" si="2"/>
        <v>0</v>
      </c>
      <c r="J89" s="211"/>
      <c r="K89" s="212">
        <f t="shared" si="3"/>
        <v>0</v>
      </c>
      <c r="L89" s="212">
        <v>21.0</v>
      </c>
      <c r="M89" s="212">
        <f t="shared" si="4"/>
        <v>2860.44</v>
      </c>
      <c r="N89" s="212">
        <v>0.0</v>
      </c>
      <c r="O89" s="212">
        <f t="shared" si="5"/>
        <v>0</v>
      </c>
      <c r="P89" s="212">
        <v>0.0</v>
      </c>
      <c r="Q89" s="212">
        <f t="shared" si="6"/>
        <v>0</v>
      </c>
      <c r="R89" s="212"/>
      <c r="S89" s="212" t="s">
        <v>178</v>
      </c>
      <c r="T89" s="212" t="s">
        <v>179</v>
      </c>
      <c r="U89" s="212">
        <v>0.0</v>
      </c>
      <c r="V89" s="212">
        <f t="shared" si="7"/>
        <v>0</v>
      </c>
      <c r="W89" s="212"/>
      <c r="X89" s="212" t="s">
        <v>225</v>
      </c>
      <c r="Y89" s="213"/>
      <c r="Z89" s="213"/>
      <c r="AA89" s="213"/>
      <c r="AB89" s="213"/>
      <c r="AC89" s="213"/>
      <c r="AD89" s="213"/>
      <c r="AE89" s="213"/>
      <c r="AF89" s="213"/>
      <c r="AG89" s="213" t="s">
        <v>226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04">
        <v>30.0</v>
      </c>
      <c r="B90" s="205" t="s">
        <v>660</v>
      </c>
      <c r="C90" s="206" t="s">
        <v>825</v>
      </c>
      <c r="D90" s="207" t="s">
        <v>372</v>
      </c>
      <c r="E90" s="208">
        <v>2.0</v>
      </c>
      <c r="F90" s="209">
        <v>533.5</v>
      </c>
      <c r="G90" s="210">
        <f t="shared" si="1"/>
        <v>1067</v>
      </c>
      <c r="H90" s="211"/>
      <c r="I90" s="212">
        <f t="shared" si="2"/>
        <v>0</v>
      </c>
      <c r="J90" s="211"/>
      <c r="K90" s="212">
        <f t="shared" si="3"/>
        <v>0</v>
      </c>
      <c r="L90" s="212">
        <v>21.0</v>
      </c>
      <c r="M90" s="212">
        <f t="shared" si="4"/>
        <v>1291.07</v>
      </c>
      <c r="N90" s="212">
        <v>0.0</v>
      </c>
      <c r="O90" s="212">
        <f t="shared" si="5"/>
        <v>0</v>
      </c>
      <c r="P90" s="212">
        <v>0.0</v>
      </c>
      <c r="Q90" s="212">
        <f t="shared" si="6"/>
        <v>0</v>
      </c>
      <c r="R90" s="212"/>
      <c r="S90" s="212" t="s">
        <v>178</v>
      </c>
      <c r="T90" s="212" t="s">
        <v>179</v>
      </c>
      <c r="U90" s="212">
        <v>0.0</v>
      </c>
      <c r="V90" s="212">
        <f t="shared" si="7"/>
        <v>0</v>
      </c>
      <c r="W90" s="212"/>
      <c r="X90" s="212" t="s">
        <v>225</v>
      </c>
      <c r="Y90" s="213"/>
      <c r="Z90" s="213"/>
      <c r="AA90" s="213"/>
      <c r="AB90" s="213"/>
      <c r="AC90" s="213"/>
      <c r="AD90" s="213"/>
      <c r="AE90" s="213"/>
      <c r="AF90" s="213"/>
      <c r="AG90" s="213" t="s">
        <v>226</v>
      </c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04">
        <v>31.0</v>
      </c>
      <c r="B91" s="205" t="s">
        <v>826</v>
      </c>
      <c r="C91" s="206" t="s">
        <v>1010</v>
      </c>
      <c r="D91" s="207" t="s">
        <v>372</v>
      </c>
      <c r="E91" s="208">
        <v>5.0</v>
      </c>
      <c r="F91" s="209">
        <v>1791.27</v>
      </c>
      <c r="G91" s="210">
        <f t="shared" si="1"/>
        <v>8956.35</v>
      </c>
      <c r="H91" s="211"/>
      <c r="I91" s="212">
        <f t="shared" si="2"/>
        <v>0</v>
      </c>
      <c r="J91" s="211"/>
      <c r="K91" s="212">
        <f t="shared" si="3"/>
        <v>0</v>
      </c>
      <c r="L91" s="212">
        <v>21.0</v>
      </c>
      <c r="M91" s="212">
        <f t="shared" si="4"/>
        <v>10837.1835</v>
      </c>
      <c r="N91" s="212">
        <v>0.0</v>
      </c>
      <c r="O91" s="212">
        <f t="shared" si="5"/>
        <v>0</v>
      </c>
      <c r="P91" s="212">
        <v>0.0</v>
      </c>
      <c r="Q91" s="212">
        <f t="shared" si="6"/>
        <v>0</v>
      </c>
      <c r="R91" s="212"/>
      <c r="S91" s="212" t="s">
        <v>178</v>
      </c>
      <c r="T91" s="212" t="s">
        <v>179</v>
      </c>
      <c r="U91" s="212">
        <v>0.0</v>
      </c>
      <c r="V91" s="212">
        <f t="shared" si="7"/>
        <v>0</v>
      </c>
      <c r="W91" s="212"/>
      <c r="X91" s="212" t="s">
        <v>225</v>
      </c>
      <c r="Y91" s="213"/>
      <c r="Z91" s="213"/>
      <c r="AA91" s="213"/>
      <c r="AB91" s="213"/>
      <c r="AC91" s="213"/>
      <c r="AD91" s="213"/>
      <c r="AE91" s="213"/>
      <c r="AF91" s="213"/>
      <c r="AG91" s="213" t="s">
        <v>226</v>
      </c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04">
        <v>32.0</v>
      </c>
      <c r="B92" s="205" t="s">
        <v>828</v>
      </c>
      <c r="C92" s="206" t="s">
        <v>1011</v>
      </c>
      <c r="D92" s="207" t="s">
        <v>372</v>
      </c>
      <c r="E92" s="208">
        <v>2.0</v>
      </c>
      <c r="F92" s="209">
        <v>384.0</v>
      </c>
      <c r="G92" s="210">
        <f t="shared" si="1"/>
        <v>768</v>
      </c>
      <c r="H92" s="211"/>
      <c r="I92" s="212">
        <f t="shared" si="2"/>
        <v>0</v>
      </c>
      <c r="J92" s="211"/>
      <c r="K92" s="212">
        <f t="shared" si="3"/>
        <v>0</v>
      </c>
      <c r="L92" s="212">
        <v>21.0</v>
      </c>
      <c r="M92" s="212">
        <f t="shared" si="4"/>
        <v>929.28</v>
      </c>
      <c r="N92" s="212">
        <v>0.0</v>
      </c>
      <c r="O92" s="212">
        <f t="shared" si="5"/>
        <v>0</v>
      </c>
      <c r="P92" s="212">
        <v>0.0</v>
      </c>
      <c r="Q92" s="212">
        <f t="shared" si="6"/>
        <v>0</v>
      </c>
      <c r="R92" s="212"/>
      <c r="S92" s="212" t="s">
        <v>178</v>
      </c>
      <c r="T92" s="212" t="s">
        <v>179</v>
      </c>
      <c r="U92" s="212">
        <v>0.0</v>
      </c>
      <c r="V92" s="212">
        <f t="shared" si="7"/>
        <v>0</v>
      </c>
      <c r="W92" s="212"/>
      <c r="X92" s="212" t="s">
        <v>225</v>
      </c>
      <c r="Y92" s="213"/>
      <c r="Z92" s="213"/>
      <c r="AA92" s="213"/>
      <c r="AB92" s="213"/>
      <c r="AC92" s="213"/>
      <c r="AD92" s="213"/>
      <c r="AE92" s="213"/>
      <c r="AF92" s="213"/>
      <c r="AG92" s="213" t="s">
        <v>226</v>
      </c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04">
        <v>33.0</v>
      </c>
      <c r="B93" s="205" t="s">
        <v>830</v>
      </c>
      <c r="C93" s="206" t="s">
        <v>837</v>
      </c>
      <c r="D93" s="207" t="s">
        <v>372</v>
      </c>
      <c r="E93" s="208">
        <v>1.0</v>
      </c>
      <c r="F93" s="209">
        <v>6320.0</v>
      </c>
      <c r="G93" s="210">
        <f t="shared" si="1"/>
        <v>6320</v>
      </c>
      <c r="H93" s="211"/>
      <c r="I93" s="212">
        <f t="shared" si="2"/>
        <v>0</v>
      </c>
      <c r="J93" s="211"/>
      <c r="K93" s="212">
        <f t="shared" si="3"/>
        <v>0</v>
      </c>
      <c r="L93" s="212">
        <v>21.0</v>
      </c>
      <c r="M93" s="212">
        <f t="shared" si="4"/>
        <v>7647.2</v>
      </c>
      <c r="N93" s="212">
        <v>0.0</v>
      </c>
      <c r="O93" s="212">
        <f t="shared" si="5"/>
        <v>0</v>
      </c>
      <c r="P93" s="212">
        <v>0.0</v>
      </c>
      <c r="Q93" s="212">
        <f t="shared" si="6"/>
        <v>0</v>
      </c>
      <c r="R93" s="212"/>
      <c r="S93" s="212" t="s">
        <v>178</v>
      </c>
      <c r="T93" s="212" t="s">
        <v>179</v>
      </c>
      <c r="U93" s="212">
        <v>0.0</v>
      </c>
      <c r="V93" s="212">
        <f t="shared" si="7"/>
        <v>0</v>
      </c>
      <c r="W93" s="212"/>
      <c r="X93" s="212" t="s">
        <v>225</v>
      </c>
      <c r="Y93" s="213"/>
      <c r="Z93" s="213"/>
      <c r="AA93" s="213"/>
      <c r="AB93" s="213"/>
      <c r="AC93" s="213"/>
      <c r="AD93" s="213"/>
      <c r="AE93" s="213"/>
      <c r="AF93" s="213"/>
      <c r="AG93" s="213" t="s">
        <v>226</v>
      </c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04">
        <v>34.0</v>
      </c>
      <c r="B94" s="205" t="s">
        <v>838</v>
      </c>
      <c r="C94" s="206" t="s">
        <v>839</v>
      </c>
      <c r="D94" s="207" t="s">
        <v>251</v>
      </c>
      <c r="E94" s="208">
        <v>19.57</v>
      </c>
      <c r="F94" s="209">
        <v>245.5</v>
      </c>
      <c r="G94" s="210">
        <f t="shared" si="1"/>
        <v>4804.44</v>
      </c>
      <c r="H94" s="211"/>
      <c r="I94" s="212">
        <f t="shared" si="2"/>
        <v>0</v>
      </c>
      <c r="J94" s="211"/>
      <c r="K94" s="212">
        <f t="shared" si="3"/>
        <v>0</v>
      </c>
      <c r="L94" s="212">
        <v>21.0</v>
      </c>
      <c r="M94" s="212">
        <f t="shared" si="4"/>
        <v>5813.3724</v>
      </c>
      <c r="N94" s="212">
        <v>0.0</v>
      </c>
      <c r="O94" s="212">
        <f t="shared" si="5"/>
        <v>0</v>
      </c>
      <c r="P94" s="212">
        <v>0.0</v>
      </c>
      <c r="Q94" s="212">
        <f t="shared" si="6"/>
        <v>0</v>
      </c>
      <c r="R94" s="212"/>
      <c r="S94" s="212" t="s">
        <v>184</v>
      </c>
      <c r="T94" s="212" t="s">
        <v>184</v>
      </c>
      <c r="U94" s="212">
        <v>0.044</v>
      </c>
      <c r="V94" s="212">
        <f t="shared" si="7"/>
        <v>0.86</v>
      </c>
      <c r="W94" s="212"/>
      <c r="X94" s="212" t="s">
        <v>225</v>
      </c>
      <c r="Y94" s="213"/>
      <c r="Z94" s="213"/>
      <c r="AA94" s="213"/>
      <c r="AB94" s="213"/>
      <c r="AC94" s="213"/>
      <c r="AD94" s="213"/>
      <c r="AE94" s="213"/>
      <c r="AF94" s="213"/>
      <c r="AG94" s="213" t="s">
        <v>226</v>
      </c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04">
        <v>35.0</v>
      </c>
      <c r="B95" s="205" t="s">
        <v>840</v>
      </c>
      <c r="C95" s="206" t="s">
        <v>841</v>
      </c>
      <c r="D95" s="207" t="s">
        <v>251</v>
      </c>
      <c r="E95" s="208">
        <v>19.57</v>
      </c>
      <c r="F95" s="209">
        <v>129.78</v>
      </c>
      <c r="G95" s="210">
        <f t="shared" si="1"/>
        <v>2539.79</v>
      </c>
      <c r="H95" s="211"/>
      <c r="I95" s="212">
        <f t="shared" si="2"/>
        <v>0</v>
      </c>
      <c r="J95" s="211"/>
      <c r="K95" s="212">
        <f t="shared" si="3"/>
        <v>0</v>
      </c>
      <c r="L95" s="212">
        <v>21.0</v>
      </c>
      <c r="M95" s="212">
        <f t="shared" si="4"/>
        <v>3073.1459</v>
      </c>
      <c r="N95" s="212">
        <v>0.0</v>
      </c>
      <c r="O95" s="212">
        <f t="shared" si="5"/>
        <v>0</v>
      </c>
      <c r="P95" s="212">
        <v>0.0</v>
      </c>
      <c r="Q95" s="212">
        <f t="shared" si="6"/>
        <v>0</v>
      </c>
      <c r="R95" s="212"/>
      <c r="S95" s="212" t="s">
        <v>184</v>
      </c>
      <c r="T95" s="212" t="s">
        <v>184</v>
      </c>
      <c r="U95" s="212">
        <v>0.21</v>
      </c>
      <c r="V95" s="212">
        <f t="shared" si="7"/>
        <v>4.11</v>
      </c>
      <c r="W95" s="212"/>
      <c r="X95" s="212" t="s">
        <v>225</v>
      </c>
      <c r="Y95" s="213"/>
      <c r="Z95" s="213"/>
      <c r="AA95" s="213"/>
      <c r="AB95" s="213"/>
      <c r="AC95" s="213"/>
      <c r="AD95" s="213"/>
      <c r="AE95" s="213"/>
      <c r="AF95" s="213"/>
      <c r="AG95" s="213" t="s">
        <v>226</v>
      </c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14">
        <v>36.0</v>
      </c>
      <c r="B96" s="215" t="s">
        <v>666</v>
      </c>
      <c r="C96" s="216" t="s">
        <v>667</v>
      </c>
      <c r="D96" s="217" t="s">
        <v>251</v>
      </c>
      <c r="E96" s="218">
        <v>9.075</v>
      </c>
      <c r="F96" s="219">
        <v>26.0</v>
      </c>
      <c r="G96" s="220">
        <f t="shared" si="1"/>
        <v>235.95</v>
      </c>
      <c r="H96" s="211"/>
      <c r="I96" s="212">
        <f t="shared" si="2"/>
        <v>0</v>
      </c>
      <c r="J96" s="211"/>
      <c r="K96" s="212">
        <f t="shared" si="3"/>
        <v>0</v>
      </c>
      <c r="L96" s="212">
        <v>21.0</v>
      </c>
      <c r="M96" s="212">
        <f t="shared" si="4"/>
        <v>285.4995</v>
      </c>
      <c r="N96" s="212">
        <v>0.0</v>
      </c>
      <c r="O96" s="212">
        <f t="shared" si="5"/>
        <v>0</v>
      </c>
      <c r="P96" s="212">
        <v>0.0</v>
      </c>
      <c r="Q96" s="212">
        <f t="shared" si="6"/>
        <v>0</v>
      </c>
      <c r="R96" s="212"/>
      <c r="S96" s="212" t="s">
        <v>184</v>
      </c>
      <c r="T96" s="212" t="s">
        <v>184</v>
      </c>
      <c r="U96" s="212">
        <v>0.026</v>
      </c>
      <c r="V96" s="212">
        <f t="shared" si="7"/>
        <v>0.24</v>
      </c>
      <c r="W96" s="212"/>
      <c r="X96" s="212" t="s">
        <v>225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226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35"/>
      <c r="B97" s="236"/>
      <c r="C97" s="237" t="s">
        <v>1039</v>
      </c>
      <c r="D97" s="238"/>
      <c r="E97" s="239">
        <v>9.07</v>
      </c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3"/>
      <c r="Z97" s="213"/>
      <c r="AA97" s="213"/>
      <c r="AB97" s="213"/>
      <c r="AC97" s="213"/>
      <c r="AD97" s="213"/>
      <c r="AE97" s="213"/>
      <c r="AF97" s="213"/>
      <c r="AG97" s="213" t="s">
        <v>228</v>
      </c>
      <c r="AH97" s="213">
        <v>0.0</v>
      </c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14">
        <v>37.0</v>
      </c>
      <c r="B98" s="215" t="s">
        <v>572</v>
      </c>
      <c r="C98" s="216" t="s">
        <v>843</v>
      </c>
      <c r="D98" s="217" t="s">
        <v>251</v>
      </c>
      <c r="E98" s="218">
        <v>8.6625</v>
      </c>
      <c r="F98" s="219">
        <v>2110.0</v>
      </c>
      <c r="G98" s="220">
        <f>ROUND(E98*F98,2)</f>
        <v>18277.88</v>
      </c>
      <c r="H98" s="211"/>
      <c r="I98" s="212">
        <f>ROUND(E98*H98,2)</f>
        <v>0</v>
      </c>
      <c r="J98" s="211"/>
      <c r="K98" s="212">
        <f>ROUND(E98*J98,2)</f>
        <v>0</v>
      </c>
      <c r="L98" s="212">
        <v>21.0</v>
      </c>
      <c r="M98" s="212">
        <f>G98*(1+L98/100)</f>
        <v>22116.2348</v>
      </c>
      <c r="N98" s="212">
        <v>0.028</v>
      </c>
      <c r="O98" s="212">
        <f>ROUND(E98*N98,2)</f>
        <v>0.24</v>
      </c>
      <c r="P98" s="212">
        <v>0.0</v>
      </c>
      <c r="Q98" s="212">
        <f>ROUND(E98*P98,2)</f>
        <v>0</v>
      </c>
      <c r="R98" s="212"/>
      <c r="S98" s="212" t="s">
        <v>178</v>
      </c>
      <c r="T98" s="212" t="s">
        <v>179</v>
      </c>
      <c r="U98" s="212">
        <v>0.0</v>
      </c>
      <c r="V98" s="212">
        <f>ROUND(E98*U98,2)</f>
        <v>0</v>
      </c>
      <c r="W98" s="212"/>
      <c r="X98" s="212" t="s">
        <v>225</v>
      </c>
      <c r="Y98" s="213"/>
      <c r="Z98" s="213"/>
      <c r="AA98" s="213"/>
      <c r="AB98" s="213"/>
      <c r="AC98" s="213"/>
      <c r="AD98" s="213"/>
      <c r="AE98" s="213"/>
      <c r="AF98" s="213"/>
      <c r="AG98" s="213" t="s">
        <v>226</v>
      </c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812</v>
      </c>
      <c r="D99" s="238"/>
      <c r="E99" s="239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35"/>
      <c r="B100" s="236"/>
      <c r="C100" s="237" t="s">
        <v>1040</v>
      </c>
      <c r="D100" s="238"/>
      <c r="E100" s="239">
        <v>8.66</v>
      </c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3"/>
      <c r="Z100" s="213"/>
      <c r="AA100" s="213"/>
      <c r="AB100" s="213"/>
      <c r="AC100" s="213"/>
      <c r="AD100" s="213"/>
      <c r="AE100" s="213"/>
      <c r="AF100" s="213"/>
      <c r="AG100" s="213" t="s">
        <v>228</v>
      </c>
      <c r="AH100" s="213">
        <v>0.0</v>
      </c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04">
        <v>38.0</v>
      </c>
      <c r="B101" s="205" t="s">
        <v>670</v>
      </c>
      <c r="C101" s="206" t="s">
        <v>845</v>
      </c>
      <c r="D101" s="207" t="s">
        <v>372</v>
      </c>
      <c r="E101" s="208">
        <v>1.0</v>
      </c>
      <c r="F101" s="209">
        <v>1077.5</v>
      </c>
      <c r="G101" s="210">
        <f t="shared" ref="G101:G109" si="8">ROUND(E101*F101,2)</f>
        <v>1077.5</v>
      </c>
      <c r="H101" s="211"/>
      <c r="I101" s="212">
        <f t="shared" ref="I101:I109" si="9">ROUND(E101*H101,2)</f>
        <v>0</v>
      </c>
      <c r="J101" s="211"/>
      <c r="K101" s="212">
        <f t="shared" ref="K101:K109" si="10">ROUND(E101*J101,2)</f>
        <v>0</v>
      </c>
      <c r="L101" s="212">
        <v>21.0</v>
      </c>
      <c r="M101" s="212">
        <f t="shared" ref="M101:M109" si="11">G101*(1+L101/100)</f>
        <v>1303.775</v>
      </c>
      <c r="N101" s="212">
        <v>0.0</v>
      </c>
      <c r="O101" s="212">
        <f t="shared" ref="O101:O109" si="12">ROUND(E101*N101,2)</f>
        <v>0</v>
      </c>
      <c r="P101" s="212">
        <v>0.0</v>
      </c>
      <c r="Q101" s="212">
        <f t="shared" ref="Q101:Q109" si="13">ROUND(E101*P101,2)</f>
        <v>0</v>
      </c>
      <c r="R101" s="212"/>
      <c r="S101" s="212" t="s">
        <v>178</v>
      </c>
      <c r="T101" s="212" t="s">
        <v>179</v>
      </c>
      <c r="U101" s="212">
        <v>0.0</v>
      </c>
      <c r="V101" s="212">
        <f t="shared" ref="V101:V109" si="14">ROUND(E101*U101,2)</f>
        <v>0</v>
      </c>
      <c r="W101" s="212"/>
      <c r="X101" s="212" t="s">
        <v>225</v>
      </c>
      <c r="Y101" s="213"/>
      <c r="Z101" s="213"/>
      <c r="AA101" s="213"/>
      <c r="AB101" s="213"/>
      <c r="AC101" s="213"/>
      <c r="AD101" s="213"/>
      <c r="AE101" s="213"/>
      <c r="AF101" s="213"/>
      <c r="AG101" s="213" t="s">
        <v>226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04">
        <v>39.0</v>
      </c>
      <c r="B102" s="205" t="s">
        <v>672</v>
      </c>
      <c r="C102" s="206" t="s">
        <v>852</v>
      </c>
      <c r="D102" s="207" t="s">
        <v>372</v>
      </c>
      <c r="E102" s="208">
        <v>4.0</v>
      </c>
      <c r="F102" s="209">
        <v>1072.5</v>
      </c>
      <c r="G102" s="210">
        <f t="shared" si="8"/>
        <v>4290</v>
      </c>
      <c r="H102" s="211"/>
      <c r="I102" s="212">
        <f t="shared" si="9"/>
        <v>0</v>
      </c>
      <c r="J102" s="211"/>
      <c r="K102" s="212">
        <f t="shared" si="10"/>
        <v>0</v>
      </c>
      <c r="L102" s="212">
        <v>21.0</v>
      </c>
      <c r="M102" s="212">
        <f t="shared" si="11"/>
        <v>5190.9</v>
      </c>
      <c r="N102" s="212">
        <v>0.0</v>
      </c>
      <c r="O102" s="212">
        <f t="shared" si="12"/>
        <v>0</v>
      </c>
      <c r="P102" s="212">
        <v>0.0</v>
      </c>
      <c r="Q102" s="212">
        <f t="shared" si="13"/>
        <v>0</v>
      </c>
      <c r="R102" s="212"/>
      <c r="S102" s="212" t="s">
        <v>178</v>
      </c>
      <c r="T102" s="212" t="s">
        <v>179</v>
      </c>
      <c r="U102" s="212">
        <v>0.0</v>
      </c>
      <c r="V102" s="212">
        <f t="shared" si="14"/>
        <v>0</v>
      </c>
      <c r="W102" s="212"/>
      <c r="X102" s="212" t="s">
        <v>225</v>
      </c>
      <c r="Y102" s="213"/>
      <c r="Z102" s="213"/>
      <c r="AA102" s="213"/>
      <c r="AB102" s="213"/>
      <c r="AC102" s="213"/>
      <c r="AD102" s="213"/>
      <c r="AE102" s="213"/>
      <c r="AF102" s="213"/>
      <c r="AG102" s="213" t="s">
        <v>226</v>
      </c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04">
        <v>40.0</v>
      </c>
      <c r="B103" s="205" t="s">
        <v>674</v>
      </c>
      <c r="C103" s="206" t="s">
        <v>850</v>
      </c>
      <c r="D103" s="207" t="s">
        <v>372</v>
      </c>
      <c r="E103" s="208">
        <v>1.0</v>
      </c>
      <c r="F103" s="209">
        <v>1567.0</v>
      </c>
      <c r="G103" s="210">
        <f t="shared" si="8"/>
        <v>1567</v>
      </c>
      <c r="H103" s="211"/>
      <c r="I103" s="212">
        <f t="shared" si="9"/>
        <v>0</v>
      </c>
      <c r="J103" s="211"/>
      <c r="K103" s="212">
        <f t="shared" si="10"/>
        <v>0</v>
      </c>
      <c r="L103" s="212">
        <v>21.0</v>
      </c>
      <c r="M103" s="212">
        <f t="shared" si="11"/>
        <v>1896.07</v>
      </c>
      <c r="N103" s="212">
        <v>0.0</v>
      </c>
      <c r="O103" s="212">
        <f t="shared" si="12"/>
        <v>0</v>
      </c>
      <c r="P103" s="212">
        <v>0.0</v>
      </c>
      <c r="Q103" s="212">
        <f t="shared" si="13"/>
        <v>0</v>
      </c>
      <c r="R103" s="212"/>
      <c r="S103" s="212" t="s">
        <v>178</v>
      </c>
      <c r="T103" s="212" t="s">
        <v>179</v>
      </c>
      <c r="U103" s="212">
        <v>0.0</v>
      </c>
      <c r="V103" s="212">
        <f t="shared" si="14"/>
        <v>0</v>
      </c>
      <c r="W103" s="212"/>
      <c r="X103" s="212" t="s">
        <v>225</v>
      </c>
      <c r="Y103" s="213"/>
      <c r="Z103" s="213"/>
      <c r="AA103" s="213"/>
      <c r="AB103" s="213"/>
      <c r="AC103" s="213"/>
      <c r="AD103" s="213"/>
      <c r="AE103" s="213"/>
      <c r="AF103" s="213"/>
      <c r="AG103" s="213" t="s">
        <v>226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04">
        <v>41.0</v>
      </c>
      <c r="B104" s="205" t="s">
        <v>676</v>
      </c>
      <c r="C104" s="206" t="s">
        <v>1016</v>
      </c>
      <c r="D104" s="207" t="s">
        <v>372</v>
      </c>
      <c r="E104" s="208">
        <v>2.0</v>
      </c>
      <c r="F104" s="209">
        <v>2089.97</v>
      </c>
      <c r="G104" s="210">
        <f t="shared" si="8"/>
        <v>4179.94</v>
      </c>
      <c r="H104" s="211"/>
      <c r="I104" s="212">
        <f t="shared" si="9"/>
        <v>0</v>
      </c>
      <c r="J104" s="211"/>
      <c r="K104" s="212">
        <f t="shared" si="10"/>
        <v>0</v>
      </c>
      <c r="L104" s="212">
        <v>21.0</v>
      </c>
      <c r="M104" s="212">
        <f t="shared" si="11"/>
        <v>5057.7274</v>
      </c>
      <c r="N104" s="212">
        <v>0.0</v>
      </c>
      <c r="O104" s="212">
        <f t="shared" si="12"/>
        <v>0</v>
      </c>
      <c r="P104" s="212">
        <v>0.0</v>
      </c>
      <c r="Q104" s="212">
        <f t="shared" si="13"/>
        <v>0</v>
      </c>
      <c r="R104" s="212"/>
      <c r="S104" s="212" t="s">
        <v>178</v>
      </c>
      <c r="T104" s="212" t="s">
        <v>179</v>
      </c>
      <c r="U104" s="212">
        <v>0.0</v>
      </c>
      <c r="V104" s="212">
        <f t="shared" si="14"/>
        <v>0</v>
      </c>
      <c r="W104" s="212"/>
      <c r="X104" s="212" t="s">
        <v>225</v>
      </c>
      <c r="Y104" s="213"/>
      <c r="Z104" s="213"/>
      <c r="AA104" s="213"/>
      <c r="AB104" s="213"/>
      <c r="AC104" s="213"/>
      <c r="AD104" s="213"/>
      <c r="AE104" s="213"/>
      <c r="AF104" s="213"/>
      <c r="AG104" s="213" t="s">
        <v>226</v>
      </c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04">
        <v>42.0</v>
      </c>
      <c r="B105" s="205" t="s">
        <v>678</v>
      </c>
      <c r="C105" s="206" t="s">
        <v>848</v>
      </c>
      <c r="D105" s="207" t="s">
        <v>372</v>
      </c>
      <c r="E105" s="208">
        <v>2.0</v>
      </c>
      <c r="F105" s="209">
        <v>5650.0</v>
      </c>
      <c r="G105" s="210">
        <f t="shared" si="8"/>
        <v>11300</v>
      </c>
      <c r="H105" s="211"/>
      <c r="I105" s="212">
        <f t="shared" si="9"/>
        <v>0</v>
      </c>
      <c r="J105" s="211"/>
      <c r="K105" s="212">
        <f t="shared" si="10"/>
        <v>0</v>
      </c>
      <c r="L105" s="212">
        <v>21.0</v>
      </c>
      <c r="M105" s="212">
        <f t="shared" si="11"/>
        <v>13673</v>
      </c>
      <c r="N105" s="212">
        <v>0.0</v>
      </c>
      <c r="O105" s="212">
        <f t="shared" si="12"/>
        <v>0</v>
      </c>
      <c r="P105" s="212">
        <v>0.0</v>
      </c>
      <c r="Q105" s="212">
        <f t="shared" si="13"/>
        <v>0</v>
      </c>
      <c r="R105" s="212"/>
      <c r="S105" s="212" t="s">
        <v>178</v>
      </c>
      <c r="T105" s="212" t="s">
        <v>179</v>
      </c>
      <c r="U105" s="212">
        <v>0.0</v>
      </c>
      <c r="V105" s="212">
        <f t="shared" si="14"/>
        <v>0</v>
      </c>
      <c r="W105" s="212"/>
      <c r="X105" s="212" t="s">
        <v>225</v>
      </c>
      <c r="Y105" s="213"/>
      <c r="Z105" s="213"/>
      <c r="AA105" s="213"/>
      <c r="AB105" s="213"/>
      <c r="AC105" s="213"/>
      <c r="AD105" s="213"/>
      <c r="AE105" s="213"/>
      <c r="AF105" s="213"/>
      <c r="AG105" s="213" t="s">
        <v>226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04">
        <v>43.0</v>
      </c>
      <c r="B106" s="205" t="s">
        <v>680</v>
      </c>
      <c r="C106" s="206" t="s">
        <v>1017</v>
      </c>
      <c r="D106" s="207" t="s">
        <v>372</v>
      </c>
      <c r="E106" s="208">
        <v>2.0</v>
      </c>
      <c r="F106" s="209">
        <v>1149.48</v>
      </c>
      <c r="G106" s="210">
        <f t="shared" si="8"/>
        <v>2298.96</v>
      </c>
      <c r="H106" s="211"/>
      <c r="I106" s="212">
        <f t="shared" si="9"/>
        <v>0</v>
      </c>
      <c r="J106" s="211"/>
      <c r="K106" s="212">
        <f t="shared" si="10"/>
        <v>0</v>
      </c>
      <c r="L106" s="212">
        <v>21.0</v>
      </c>
      <c r="M106" s="212">
        <f t="shared" si="11"/>
        <v>2781.7416</v>
      </c>
      <c r="N106" s="212">
        <v>0.0</v>
      </c>
      <c r="O106" s="212">
        <f t="shared" si="12"/>
        <v>0</v>
      </c>
      <c r="P106" s="212">
        <v>0.0</v>
      </c>
      <c r="Q106" s="212">
        <f t="shared" si="13"/>
        <v>0</v>
      </c>
      <c r="R106" s="212"/>
      <c r="S106" s="212" t="s">
        <v>178</v>
      </c>
      <c r="T106" s="212" t="s">
        <v>179</v>
      </c>
      <c r="U106" s="212">
        <v>0.0</v>
      </c>
      <c r="V106" s="212">
        <f t="shared" si="14"/>
        <v>0</v>
      </c>
      <c r="W106" s="212"/>
      <c r="X106" s="212" t="s">
        <v>225</v>
      </c>
      <c r="Y106" s="213"/>
      <c r="Z106" s="213"/>
      <c r="AA106" s="213"/>
      <c r="AB106" s="213"/>
      <c r="AC106" s="213"/>
      <c r="AD106" s="213"/>
      <c r="AE106" s="213"/>
      <c r="AF106" s="213"/>
      <c r="AG106" s="213" t="s">
        <v>226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04">
        <v>44.0</v>
      </c>
      <c r="B107" s="205" t="s">
        <v>682</v>
      </c>
      <c r="C107" s="206" t="s">
        <v>1018</v>
      </c>
      <c r="D107" s="207" t="s">
        <v>372</v>
      </c>
      <c r="E107" s="208">
        <v>1.0</v>
      </c>
      <c r="F107" s="209">
        <v>3020.78</v>
      </c>
      <c r="G107" s="210">
        <f t="shared" si="8"/>
        <v>3020.78</v>
      </c>
      <c r="H107" s="211"/>
      <c r="I107" s="212">
        <f t="shared" si="9"/>
        <v>0</v>
      </c>
      <c r="J107" s="211"/>
      <c r="K107" s="212">
        <f t="shared" si="10"/>
        <v>0</v>
      </c>
      <c r="L107" s="212">
        <v>21.0</v>
      </c>
      <c r="M107" s="212">
        <f t="shared" si="11"/>
        <v>3655.1438</v>
      </c>
      <c r="N107" s="212">
        <v>0.0</v>
      </c>
      <c r="O107" s="212">
        <f t="shared" si="12"/>
        <v>0</v>
      </c>
      <c r="P107" s="212">
        <v>0.0</v>
      </c>
      <c r="Q107" s="212">
        <f t="shared" si="13"/>
        <v>0</v>
      </c>
      <c r="R107" s="212"/>
      <c r="S107" s="212" t="s">
        <v>178</v>
      </c>
      <c r="T107" s="212" t="s">
        <v>179</v>
      </c>
      <c r="U107" s="212">
        <v>0.0</v>
      </c>
      <c r="V107" s="212">
        <f t="shared" si="14"/>
        <v>0</v>
      </c>
      <c r="W107" s="212"/>
      <c r="X107" s="212" t="s">
        <v>225</v>
      </c>
      <c r="Y107" s="213"/>
      <c r="Z107" s="213"/>
      <c r="AA107" s="213"/>
      <c r="AB107" s="213"/>
      <c r="AC107" s="213"/>
      <c r="AD107" s="213"/>
      <c r="AE107" s="213"/>
      <c r="AF107" s="213"/>
      <c r="AG107" s="213" t="s">
        <v>226</v>
      </c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04">
        <v>45.0</v>
      </c>
      <c r="B108" s="205" t="s">
        <v>684</v>
      </c>
      <c r="C108" s="206" t="s">
        <v>1019</v>
      </c>
      <c r="D108" s="207" t="s">
        <v>372</v>
      </c>
      <c r="E108" s="208">
        <v>1.0</v>
      </c>
      <c r="F108" s="209">
        <v>2113.56</v>
      </c>
      <c r="G108" s="210">
        <f t="shared" si="8"/>
        <v>2113.56</v>
      </c>
      <c r="H108" s="211"/>
      <c r="I108" s="212">
        <f t="shared" si="9"/>
        <v>0</v>
      </c>
      <c r="J108" s="211"/>
      <c r="K108" s="212">
        <f t="shared" si="10"/>
        <v>0</v>
      </c>
      <c r="L108" s="212">
        <v>21.0</v>
      </c>
      <c r="M108" s="212">
        <f t="shared" si="11"/>
        <v>2557.4076</v>
      </c>
      <c r="N108" s="212">
        <v>0.0</v>
      </c>
      <c r="O108" s="212">
        <f t="shared" si="12"/>
        <v>0</v>
      </c>
      <c r="P108" s="212">
        <v>0.0</v>
      </c>
      <c r="Q108" s="212">
        <f t="shared" si="13"/>
        <v>0</v>
      </c>
      <c r="R108" s="212"/>
      <c r="S108" s="212" t="s">
        <v>178</v>
      </c>
      <c r="T108" s="212" t="s">
        <v>179</v>
      </c>
      <c r="U108" s="212">
        <v>0.0</v>
      </c>
      <c r="V108" s="212">
        <f t="shared" si="14"/>
        <v>0</v>
      </c>
      <c r="W108" s="212"/>
      <c r="X108" s="212" t="s">
        <v>225</v>
      </c>
      <c r="Y108" s="213"/>
      <c r="Z108" s="213"/>
      <c r="AA108" s="213"/>
      <c r="AB108" s="213"/>
      <c r="AC108" s="213"/>
      <c r="AD108" s="213"/>
      <c r="AE108" s="213"/>
      <c r="AF108" s="213"/>
      <c r="AG108" s="213" t="s">
        <v>226</v>
      </c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04">
        <v>46.0</v>
      </c>
      <c r="B109" s="205" t="s">
        <v>686</v>
      </c>
      <c r="C109" s="206" t="s">
        <v>849</v>
      </c>
      <c r="D109" s="207" t="s">
        <v>372</v>
      </c>
      <c r="E109" s="208">
        <v>1.0</v>
      </c>
      <c r="F109" s="209">
        <v>1362.5</v>
      </c>
      <c r="G109" s="210">
        <f t="shared" si="8"/>
        <v>1362.5</v>
      </c>
      <c r="H109" s="211"/>
      <c r="I109" s="212">
        <f t="shared" si="9"/>
        <v>0</v>
      </c>
      <c r="J109" s="211"/>
      <c r="K109" s="212">
        <f t="shared" si="10"/>
        <v>0</v>
      </c>
      <c r="L109" s="212">
        <v>21.0</v>
      </c>
      <c r="M109" s="212">
        <f t="shared" si="11"/>
        <v>1648.625</v>
      </c>
      <c r="N109" s="212">
        <v>0.0</v>
      </c>
      <c r="O109" s="212">
        <f t="shared" si="12"/>
        <v>0</v>
      </c>
      <c r="P109" s="212">
        <v>0.0</v>
      </c>
      <c r="Q109" s="212">
        <f t="shared" si="13"/>
        <v>0</v>
      </c>
      <c r="R109" s="212"/>
      <c r="S109" s="212" t="s">
        <v>178</v>
      </c>
      <c r="T109" s="212" t="s">
        <v>179</v>
      </c>
      <c r="U109" s="212">
        <v>0.0</v>
      </c>
      <c r="V109" s="212">
        <f t="shared" si="14"/>
        <v>0</v>
      </c>
      <c r="W109" s="212"/>
      <c r="X109" s="212" t="s">
        <v>225</v>
      </c>
      <c r="Y109" s="213"/>
      <c r="Z109" s="213"/>
      <c r="AA109" s="213"/>
      <c r="AB109" s="213"/>
      <c r="AC109" s="213"/>
      <c r="AD109" s="213"/>
      <c r="AE109" s="213"/>
      <c r="AF109" s="213"/>
      <c r="AG109" s="213" t="s">
        <v>226</v>
      </c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>
      <c r="A110" s="196" t="s">
        <v>173</v>
      </c>
      <c r="B110" s="197" t="s">
        <v>122</v>
      </c>
      <c r="C110" s="198" t="s">
        <v>123</v>
      </c>
      <c r="D110" s="199"/>
      <c r="E110" s="200"/>
      <c r="F110" s="201"/>
      <c r="G110" s="202">
        <f>SUMIF(AG111:AG114,"&lt;&gt;NOR",G111:G114)</f>
        <v>1179.6</v>
      </c>
      <c r="H110" s="203"/>
      <c r="I110" s="203">
        <f>SUM(I111:I114)</f>
        <v>0</v>
      </c>
      <c r="J110" s="203"/>
      <c r="K110" s="203">
        <f>SUM(K111:K114)</f>
        <v>0</v>
      </c>
      <c r="L110" s="203"/>
      <c r="M110" s="203">
        <f>SUM(M111:M114)</f>
        <v>1427.316</v>
      </c>
      <c r="N110" s="203"/>
      <c r="O110" s="203">
        <f>SUM(O111:O114)</f>
        <v>0</v>
      </c>
      <c r="P110" s="203"/>
      <c r="Q110" s="203">
        <f>SUM(Q111:Q114)</f>
        <v>0</v>
      </c>
      <c r="R110" s="203"/>
      <c r="S110" s="203"/>
      <c r="T110" s="203"/>
      <c r="U110" s="203"/>
      <c r="V110" s="203">
        <f>SUM(V111:V114)</f>
        <v>4.33</v>
      </c>
      <c r="W110" s="203"/>
      <c r="X110" s="203"/>
      <c r="AG110" s="184" t="s">
        <v>174</v>
      </c>
    </row>
    <row r="111" ht="12.75" customHeight="1" outlineLevel="1">
      <c r="A111" s="214">
        <v>47.0</v>
      </c>
      <c r="B111" s="215" t="s">
        <v>395</v>
      </c>
      <c r="C111" s="216" t="s">
        <v>396</v>
      </c>
      <c r="D111" s="217" t="s">
        <v>316</v>
      </c>
      <c r="E111" s="218">
        <v>9.57546</v>
      </c>
      <c r="F111" s="219">
        <v>123.19</v>
      </c>
      <c r="G111" s="220">
        <f>ROUND(E111*F111,2)</f>
        <v>1179.6</v>
      </c>
      <c r="H111" s="211"/>
      <c r="I111" s="212">
        <f>ROUND(E111*H111,2)</f>
        <v>0</v>
      </c>
      <c r="J111" s="211"/>
      <c r="K111" s="212">
        <f>ROUND(E111*J111,2)</f>
        <v>0</v>
      </c>
      <c r="L111" s="212">
        <v>21.0</v>
      </c>
      <c r="M111" s="212">
        <f>G111*(1+L111/100)</f>
        <v>1427.316</v>
      </c>
      <c r="N111" s="212">
        <v>0.0</v>
      </c>
      <c r="O111" s="212">
        <f>ROUND(E111*N111,2)</f>
        <v>0</v>
      </c>
      <c r="P111" s="212">
        <v>0.0</v>
      </c>
      <c r="Q111" s="212">
        <f>ROUND(E111*P111,2)</f>
        <v>0</v>
      </c>
      <c r="R111" s="212"/>
      <c r="S111" s="212" t="s">
        <v>184</v>
      </c>
      <c r="T111" s="212" t="s">
        <v>184</v>
      </c>
      <c r="U111" s="212">
        <v>0.4518</v>
      </c>
      <c r="V111" s="212">
        <f>ROUND(E111*U111,2)</f>
        <v>4.33</v>
      </c>
      <c r="W111" s="212"/>
      <c r="X111" s="212" t="s">
        <v>397</v>
      </c>
      <c r="Y111" s="213"/>
      <c r="Z111" s="213"/>
      <c r="AA111" s="213"/>
      <c r="AB111" s="213"/>
      <c r="AC111" s="213"/>
      <c r="AD111" s="213"/>
      <c r="AE111" s="213"/>
      <c r="AF111" s="213"/>
      <c r="AG111" s="213" t="s">
        <v>398</v>
      </c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35"/>
      <c r="B112" s="236"/>
      <c r="C112" s="237" t="s">
        <v>399</v>
      </c>
      <c r="D112" s="238"/>
      <c r="E112" s="239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3"/>
      <c r="Z112" s="213"/>
      <c r="AA112" s="213"/>
      <c r="AB112" s="213"/>
      <c r="AC112" s="213"/>
      <c r="AD112" s="213"/>
      <c r="AE112" s="213"/>
      <c r="AF112" s="213"/>
      <c r="AG112" s="213" t="s">
        <v>228</v>
      </c>
      <c r="AH112" s="213">
        <v>0.0</v>
      </c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35"/>
      <c r="B113" s="236"/>
      <c r="C113" s="237" t="s">
        <v>1041</v>
      </c>
      <c r="D113" s="238"/>
      <c r="E113" s="239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3"/>
      <c r="Z113" s="213"/>
      <c r="AA113" s="213"/>
      <c r="AB113" s="213"/>
      <c r="AC113" s="213"/>
      <c r="AD113" s="213"/>
      <c r="AE113" s="213"/>
      <c r="AF113" s="213"/>
      <c r="AG113" s="213" t="s">
        <v>228</v>
      </c>
      <c r="AH113" s="213">
        <v>0.0</v>
      </c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1042</v>
      </c>
      <c r="D114" s="238"/>
      <c r="E114" s="239">
        <v>9.57546</v>
      </c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>
      <c r="A115" s="196" t="s">
        <v>173</v>
      </c>
      <c r="B115" s="197" t="s">
        <v>126</v>
      </c>
      <c r="C115" s="198" t="s">
        <v>127</v>
      </c>
      <c r="D115" s="199"/>
      <c r="E115" s="200"/>
      <c r="F115" s="201"/>
      <c r="G115" s="202">
        <f>SUMIF(AG116:AG118,"&lt;&gt;NOR",G116:G118)</f>
        <v>424.27</v>
      </c>
      <c r="H115" s="203"/>
      <c r="I115" s="203">
        <f>SUM(I116:I118)</f>
        <v>0</v>
      </c>
      <c r="J115" s="203"/>
      <c r="K115" s="203">
        <f>SUM(K116:K118)</f>
        <v>0</v>
      </c>
      <c r="L115" s="203"/>
      <c r="M115" s="203">
        <f>SUM(M116:M118)</f>
        <v>513.3667</v>
      </c>
      <c r="N115" s="203"/>
      <c r="O115" s="203">
        <f>SUM(O116:O118)</f>
        <v>0</v>
      </c>
      <c r="P115" s="203"/>
      <c r="Q115" s="203">
        <f>SUM(Q116:Q118)</f>
        <v>0</v>
      </c>
      <c r="R115" s="203"/>
      <c r="S115" s="203"/>
      <c r="T115" s="203"/>
      <c r="U115" s="203"/>
      <c r="V115" s="203">
        <f>SUM(V116:V118)</f>
        <v>0.51</v>
      </c>
      <c r="W115" s="203"/>
      <c r="X115" s="203"/>
      <c r="AG115" s="184" t="s">
        <v>174</v>
      </c>
    </row>
    <row r="116" ht="12.75" customHeight="1" outlineLevel="1">
      <c r="A116" s="214">
        <v>48.0</v>
      </c>
      <c r="B116" s="215" t="s">
        <v>690</v>
      </c>
      <c r="C116" s="216" t="s">
        <v>691</v>
      </c>
      <c r="D116" s="217" t="s">
        <v>251</v>
      </c>
      <c r="E116" s="218">
        <v>11.0</v>
      </c>
      <c r="F116" s="219">
        <v>38.57</v>
      </c>
      <c r="G116" s="220">
        <f>ROUND(E116*F116,2)</f>
        <v>424.27</v>
      </c>
      <c r="H116" s="211"/>
      <c r="I116" s="212">
        <f>ROUND(E116*H116,2)</f>
        <v>0</v>
      </c>
      <c r="J116" s="211"/>
      <c r="K116" s="212">
        <f>ROUND(E116*J116,2)</f>
        <v>0</v>
      </c>
      <c r="L116" s="212">
        <v>21.0</v>
      </c>
      <c r="M116" s="212">
        <f>G116*(1+L116/100)</f>
        <v>513.3667</v>
      </c>
      <c r="N116" s="212">
        <v>4.0E-5</v>
      </c>
      <c r="O116" s="212">
        <f>ROUND(E116*N116,2)</f>
        <v>0</v>
      </c>
      <c r="P116" s="212">
        <v>0.0</v>
      </c>
      <c r="Q116" s="212">
        <f>ROUND(E116*P116,2)</f>
        <v>0</v>
      </c>
      <c r="R116" s="212"/>
      <c r="S116" s="212" t="s">
        <v>184</v>
      </c>
      <c r="T116" s="212" t="s">
        <v>184</v>
      </c>
      <c r="U116" s="212">
        <v>0.04633</v>
      </c>
      <c r="V116" s="212">
        <f>ROUND(E116*U116,2)</f>
        <v>0.51</v>
      </c>
      <c r="W116" s="212"/>
      <c r="X116" s="212" t="s">
        <v>225</v>
      </c>
      <c r="Y116" s="213"/>
      <c r="Z116" s="213"/>
      <c r="AA116" s="213"/>
      <c r="AB116" s="213"/>
      <c r="AC116" s="213"/>
      <c r="AD116" s="213"/>
      <c r="AE116" s="213"/>
      <c r="AF116" s="213"/>
      <c r="AG116" s="213" t="s">
        <v>408</v>
      </c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692</v>
      </c>
      <c r="D117" s="238"/>
      <c r="E117" s="239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35"/>
      <c r="B118" s="236"/>
      <c r="C118" s="237" t="s">
        <v>1043</v>
      </c>
      <c r="D118" s="238"/>
      <c r="E118" s="239">
        <v>11.0</v>
      </c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3"/>
      <c r="Z118" s="213"/>
      <c r="AA118" s="213"/>
      <c r="AB118" s="213"/>
      <c r="AC118" s="213"/>
      <c r="AD118" s="213"/>
      <c r="AE118" s="213"/>
      <c r="AF118" s="213"/>
      <c r="AG118" s="213" t="s">
        <v>228</v>
      </c>
      <c r="AH118" s="213">
        <v>0.0</v>
      </c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>
      <c r="A119" s="175"/>
      <c r="B119" s="179"/>
      <c r="C119" s="221"/>
      <c r="D119" s="181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AE119" s="184">
        <v>15.0</v>
      </c>
      <c r="AF119" s="184">
        <v>21.0</v>
      </c>
      <c r="AG119" s="184" t="s">
        <v>160</v>
      </c>
    </row>
    <row r="120" ht="12.75" customHeight="1">
      <c r="A120" s="222"/>
      <c r="B120" s="223" t="s">
        <v>24</v>
      </c>
      <c r="C120" s="224"/>
      <c r="D120" s="225"/>
      <c r="E120" s="226"/>
      <c r="F120" s="226"/>
      <c r="G120" s="227">
        <f>G8+G58+G72+G110+G115</f>
        <v>245425.37</v>
      </c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AE120" s="184">
        <f>SUMIF(L7:L118,AE119,G7:G118)</f>
        <v>0</v>
      </c>
      <c r="AF120" s="184">
        <f>SUMIF(L7:L118,AF119,G7:G118)</f>
        <v>245425.37</v>
      </c>
      <c r="AG120" s="184" t="s">
        <v>218</v>
      </c>
    </row>
    <row r="121" ht="12.75" customHeight="1">
      <c r="A121" s="175"/>
      <c r="B121" s="179"/>
      <c r="C121" s="221"/>
      <c r="D121" s="181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</row>
    <row r="122" ht="12.75" customHeight="1">
      <c r="A122" s="175"/>
      <c r="B122" s="179"/>
      <c r="C122" s="221"/>
      <c r="D122" s="181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</row>
    <row r="123" ht="12.75" customHeight="1">
      <c r="A123" s="175" t="s">
        <v>219</v>
      </c>
      <c r="D123" s="181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</row>
    <row r="124" ht="12.75" customHeight="1">
      <c r="A124" s="228"/>
      <c r="B124" s="27"/>
      <c r="C124" s="27"/>
      <c r="D124" s="27"/>
      <c r="E124" s="27"/>
      <c r="F124" s="27"/>
      <c r="G124" s="229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AG124" s="184" t="s">
        <v>220</v>
      </c>
    </row>
    <row r="125" ht="12.75" customHeight="1">
      <c r="A125" s="230"/>
      <c r="G125" s="231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 ht="12.75" customHeight="1">
      <c r="A126" s="230"/>
      <c r="G126" s="231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</row>
    <row r="127" ht="12.75" customHeight="1">
      <c r="A127" s="230"/>
      <c r="G127" s="231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</row>
    <row r="128" ht="12.75" customHeight="1">
      <c r="A128" s="232"/>
      <c r="B128" s="38"/>
      <c r="C128" s="38"/>
      <c r="D128" s="38"/>
      <c r="E128" s="38"/>
      <c r="F128" s="38"/>
      <c r="G128" s="233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</row>
    <row r="129" ht="12.75" customHeight="1">
      <c r="A129" s="175"/>
      <c r="B129" s="179"/>
      <c r="C129" s="221"/>
      <c r="D129" s="181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</row>
    <row r="130" ht="12.75" customHeight="1">
      <c r="B130" s="185"/>
      <c r="C130" s="234"/>
      <c r="D130" s="126"/>
      <c r="AG130" s="184" t="s">
        <v>221</v>
      </c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23:C123"/>
    <mergeCell ref="A124:G128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78</v>
      </c>
      <c r="C3" s="177" t="s">
        <v>79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78</v>
      </c>
      <c r="C4" s="188" t="s">
        <v>79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SUMIF(AG9:AG56,"&lt;&gt;NOR",G9:G56)</f>
        <v>529814.8</v>
      </c>
      <c r="H8" s="203"/>
      <c r="I8" s="203">
        <f>SUM(I9:I56)</f>
        <v>0</v>
      </c>
      <c r="J8" s="203"/>
      <c r="K8" s="203">
        <f>SUM(K9:K56)</f>
        <v>0</v>
      </c>
      <c r="L8" s="203"/>
      <c r="M8" s="203">
        <f>SUM(M9:M56)</f>
        <v>641075.908</v>
      </c>
      <c r="N8" s="203"/>
      <c r="O8" s="203">
        <f>SUM(O9:O56)</f>
        <v>164.77</v>
      </c>
      <c r="P8" s="203"/>
      <c r="Q8" s="203">
        <f>SUM(Q9:Q56)</f>
        <v>0</v>
      </c>
      <c r="R8" s="203"/>
      <c r="S8" s="203"/>
      <c r="T8" s="203"/>
      <c r="U8" s="203"/>
      <c r="V8" s="203">
        <f>SUM(V9:V56)</f>
        <v>1271.94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238.7055</v>
      </c>
      <c r="F9" s="219">
        <v>39.6</v>
      </c>
      <c r="G9" s="220">
        <f>ROUND(E9*F9,2)</f>
        <v>9452.74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11437.8154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20.05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1044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1045</v>
      </c>
      <c r="D12" s="241"/>
      <c r="E12" s="242">
        <v>477.411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1046</v>
      </c>
      <c r="D14" s="238"/>
      <c r="E14" s="239">
        <v>238.7055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477.411</v>
      </c>
      <c r="F15" s="219">
        <v>214.5</v>
      </c>
      <c r="G15" s="220">
        <f>ROUND(E15*F15,2)</f>
        <v>102404.66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123909.6386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105.99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1044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1047</v>
      </c>
      <c r="D17" s="238"/>
      <c r="E17" s="239">
        <v>477.41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278</v>
      </c>
      <c r="C18" s="216" t="s">
        <v>279</v>
      </c>
      <c r="D18" s="217" t="s">
        <v>224</v>
      </c>
      <c r="E18" s="218">
        <v>830.28</v>
      </c>
      <c r="F18" s="219">
        <v>69.5</v>
      </c>
      <c r="G18" s="220">
        <f>ROUND(E18*F18,2)</f>
        <v>57704.46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69822.3966</v>
      </c>
      <c r="N18" s="212">
        <v>8.6E-4</v>
      </c>
      <c r="O18" s="212">
        <f>ROUND(E18*N18,2)</f>
        <v>0.71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0.479</v>
      </c>
      <c r="V18" s="212">
        <f>ROUND(E18*U18,2)</f>
        <v>397.7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1044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1048</v>
      </c>
      <c r="D20" s="238"/>
      <c r="E20" s="239">
        <v>830.28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286</v>
      </c>
      <c r="C21" s="216" t="s">
        <v>287</v>
      </c>
      <c r="D21" s="217" t="s">
        <v>224</v>
      </c>
      <c r="E21" s="218">
        <v>830.28</v>
      </c>
      <c r="F21" s="219">
        <v>41.3</v>
      </c>
      <c r="G21" s="220">
        <f>ROUND(E21*F21,2)</f>
        <v>34290.56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41491.5776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0.327</v>
      </c>
      <c r="V21" s="212">
        <f>ROUND(E21*U21,2)</f>
        <v>271.5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1044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1048</v>
      </c>
      <c r="D23" s="238"/>
      <c r="E23" s="239">
        <v>830.28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477.411</v>
      </c>
      <c r="F24" s="219">
        <v>36.6</v>
      </c>
      <c r="G24" s="220">
        <f>ROUND(E24*F24,2)</f>
        <v>17473.24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21142.6204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18.62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1044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1047</v>
      </c>
      <c r="D26" s="238"/>
      <c r="E26" s="239">
        <v>477.41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477.411</v>
      </c>
      <c r="F27" s="219">
        <v>64.0</v>
      </c>
      <c r="G27" s="220">
        <f>ROUND(E27*F27,2)</f>
        <v>30554.3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36970.703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247.78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1044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1047</v>
      </c>
      <c r="D29" s="238"/>
      <c r="E29" s="239">
        <v>477.41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185.1776</v>
      </c>
      <c r="F30" s="219">
        <v>215.5</v>
      </c>
      <c r="G30" s="220">
        <f>ROUND(E30*F30,2)</f>
        <v>39905.77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48285.9817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2.04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1049</v>
      </c>
      <c r="D32" s="238"/>
      <c r="E32" s="239">
        <v>185.18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297</v>
      </c>
      <c r="C33" s="216" t="s">
        <v>298</v>
      </c>
      <c r="D33" s="217" t="s">
        <v>234</v>
      </c>
      <c r="E33" s="218">
        <v>185.1776</v>
      </c>
      <c r="F33" s="219">
        <v>61.0</v>
      </c>
      <c r="G33" s="220">
        <f>ROUND(E33*F33,2)</f>
        <v>11295.83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13667.9543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0.053</v>
      </c>
      <c r="V33" s="212">
        <f>ROUND(E33*U33,2)</f>
        <v>9.81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1049</v>
      </c>
      <c r="D35" s="238"/>
      <c r="E35" s="239">
        <v>185.18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185.1776</v>
      </c>
      <c r="F36" s="219">
        <v>15.1</v>
      </c>
      <c r="G36" s="220">
        <f>ROUND(E36*F36,2)</f>
        <v>2796.18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3383.3778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1.67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1049</v>
      </c>
      <c r="D38" s="238"/>
      <c r="E38" s="239">
        <v>185.18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292.2334</v>
      </c>
      <c r="F39" s="219">
        <v>169.0</v>
      </c>
      <c r="G39" s="220">
        <f>ROUND(E39*F39,2)</f>
        <v>49387.44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59758.8024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59.03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303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1050</v>
      </c>
      <c r="D41" s="238"/>
      <c r="E41" s="239">
        <v>292.23</v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11.0</v>
      </c>
      <c r="B42" s="215" t="s">
        <v>311</v>
      </c>
      <c r="C42" s="216" t="s">
        <v>312</v>
      </c>
      <c r="D42" s="217" t="s">
        <v>234</v>
      </c>
      <c r="E42" s="218">
        <v>86.802</v>
      </c>
      <c r="F42" s="219">
        <v>469.0</v>
      </c>
      <c r="G42" s="220">
        <f>ROUND(E42*F42,2)</f>
        <v>40710.14</v>
      </c>
      <c r="H42" s="211"/>
      <c r="I42" s="212">
        <f>ROUND(E42*H42,2)</f>
        <v>0</v>
      </c>
      <c r="J42" s="211"/>
      <c r="K42" s="212">
        <f>ROUND(E42*J42,2)</f>
        <v>0</v>
      </c>
      <c r="L42" s="212">
        <v>21.0</v>
      </c>
      <c r="M42" s="212">
        <f>G42*(1+L42/100)</f>
        <v>49259.2694</v>
      </c>
      <c r="N42" s="212">
        <v>0.0</v>
      </c>
      <c r="O42" s="212">
        <f>ROUND(E42*N42,2)</f>
        <v>0</v>
      </c>
      <c r="P42" s="212">
        <v>0.0</v>
      </c>
      <c r="Q42" s="212">
        <f>ROUND(E42*P42,2)</f>
        <v>0</v>
      </c>
      <c r="R42" s="212"/>
      <c r="S42" s="212" t="s">
        <v>184</v>
      </c>
      <c r="T42" s="212" t="s">
        <v>184</v>
      </c>
      <c r="U42" s="212">
        <v>1.587</v>
      </c>
      <c r="V42" s="212">
        <f>ROUND(E42*U42,2)</f>
        <v>137.75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1044</v>
      </c>
      <c r="D43" s="238"/>
      <c r="E43" s="239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1051</v>
      </c>
      <c r="D44" s="238"/>
      <c r="E44" s="239">
        <v>86.8</v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14">
        <v>12.0</v>
      </c>
      <c r="B45" s="215" t="s">
        <v>314</v>
      </c>
      <c r="C45" s="216" t="s">
        <v>315</v>
      </c>
      <c r="D45" s="217" t="s">
        <v>316</v>
      </c>
      <c r="E45" s="218">
        <v>351.8374</v>
      </c>
      <c r="F45" s="219">
        <v>285.0</v>
      </c>
      <c r="G45" s="220">
        <f>ROUND(E45*F45,2)</f>
        <v>100273.66</v>
      </c>
      <c r="H45" s="211"/>
      <c r="I45" s="212">
        <f>ROUND(E45*H45,2)</f>
        <v>0</v>
      </c>
      <c r="J45" s="211"/>
      <c r="K45" s="212">
        <f>ROUND(E45*J45,2)</f>
        <v>0</v>
      </c>
      <c r="L45" s="212">
        <v>21.0</v>
      </c>
      <c r="M45" s="212">
        <f>G45*(1+L45/100)</f>
        <v>121331.1286</v>
      </c>
      <c r="N45" s="212">
        <v>0.0</v>
      </c>
      <c r="O45" s="212">
        <f>ROUND(E45*N45,2)</f>
        <v>0</v>
      </c>
      <c r="P45" s="212">
        <v>0.0</v>
      </c>
      <c r="Q45" s="212">
        <f>ROUND(E45*P45,2)</f>
        <v>0</v>
      </c>
      <c r="R45" s="212"/>
      <c r="S45" s="212" t="s">
        <v>184</v>
      </c>
      <c r="T45" s="212" t="s">
        <v>184</v>
      </c>
      <c r="U45" s="212">
        <v>0.0</v>
      </c>
      <c r="V45" s="212">
        <f>ROUND(E45*U45,2)</f>
        <v>0</v>
      </c>
      <c r="W45" s="212"/>
      <c r="X45" s="212" t="s">
        <v>225</v>
      </c>
      <c r="Y45" s="213"/>
      <c r="Z45" s="213"/>
      <c r="AA45" s="213"/>
      <c r="AB45" s="213"/>
      <c r="AC45" s="213"/>
      <c r="AD45" s="213"/>
      <c r="AE45" s="213"/>
      <c r="AF45" s="213"/>
      <c r="AG45" s="213" t="s">
        <v>226</v>
      </c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37" t="s">
        <v>295</v>
      </c>
      <c r="D46" s="238"/>
      <c r="E46" s="239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>
        <v>0.0</v>
      </c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40" t="s">
        <v>236</v>
      </c>
      <c r="D47" s="241"/>
      <c r="E47" s="24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3" t="s">
        <v>1052</v>
      </c>
      <c r="D48" s="241"/>
      <c r="E48" s="242">
        <v>185.18</v>
      </c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>
        <v>2.0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0" t="s">
        <v>238</v>
      </c>
      <c r="D49" s="241"/>
      <c r="E49" s="24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1053</v>
      </c>
      <c r="D50" s="238"/>
      <c r="E50" s="239">
        <v>351.84</v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14">
        <v>13.0</v>
      </c>
      <c r="B51" s="215" t="s">
        <v>620</v>
      </c>
      <c r="C51" s="216" t="s">
        <v>621</v>
      </c>
      <c r="D51" s="217" t="s">
        <v>321</v>
      </c>
      <c r="E51" s="218">
        <v>164.0558</v>
      </c>
      <c r="F51" s="219">
        <v>204.6</v>
      </c>
      <c r="G51" s="220">
        <f>ROUND(E51*F51,2)</f>
        <v>33565.82</v>
      </c>
      <c r="H51" s="211"/>
      <c r="I51" s="212">
        <f>ROUND(E51*H51,2)</f>
        <v>0</v>
      </c>
      <c r="J51" s="211"/>
      <c r="K51" s="212">
        <f>ROUND(E51*J51,2)</f>
        <v>0</v>
      </c>
      <c r="L51" s="212">
        <v>21.0</v>
      </c>
      <c r="M51" s="212">
        <f>G51*(1+L51/100)</f>
        <v>40614.6422</v>
      </c>
      <c r="N51" s="212">
        <v>1.0</v>
      </c>
      <c r="O51" s="212">
        <f>ROUND(E51*N51,2)</f>
        <v>164.06</v>
      </c>
      <c r="P51" s="212">
        <v>0.0</v>
      </c>
      <c r="Q51" s="212">
        <f>ROUND(E51*P51,2)</f>
        <v>0</v>
      </c>
      <c r="R51" s="212" t="s">
        <v>322</v>
      </c>
      <c r="S51" s="212" t="s">
        <v>184</v>
      </c>
      <c r="T51" s="212" t="s">
        <v>184</v>
      </c>
      <c r="U51" s="212">
        <v>0.0</v>
      </c>
      <c r="V51" s="212">
        <f>ROUND(E51*U51,2)</f>
        <v>0</v>
      </c>
      <c r="W51" s="212"/>
      <c r="X51" s="212" t="s">
        <v>323</v>
      </c>
      <c r="Y51" s="213"/>
      <c r="Z51" s="213"/>
      <c r="AA51" s="213"/>
      <c r="AB51" s="213"/>
      <c r="AC51" s="213"/>
      <c r="AD51" s="213"/>
      <c r="AE51" s="213"/>
      <c r="AF51" s="213"/>
      <c r="AG51" s="213" t="s">
        <v>324</v>
      </c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35"/>
      <c r="B52" s="236"/>
      <c r="C52" s="237" t="s">
        <v>1044</v>
      </c>
      <c r="D52" s="238"/>
      <c r="E52" s="239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3"/>
      <c r="Z52" s="213"/>
      <c r="AA52" s="213"/>
      <c r="AB52" s="213"/>
      <c r="AC52" s="213"/>
      <c r="AD52" s="213"/>
      <c r="AE52" s="213"/>
      <c r="AF52" s="213"/>
      <c r="AG52" s="213" t="s">
        <v>228</v>
      </c>
      <c r="AH52" s="213">
        <v>0.0</v>
      </c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40" t="s">
        <v>236</v>
      </c>
      <c r="D53" s="241"/>
      <c r="E53" s="24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3" t="s">
        <v>1054</v>
      </c>
      <c r="D54" s="241"/>
      <c r="E54" s="242">
        <v>86.8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2.0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0" t="s">
        <v>238</v>
      </c>
      <c r="D55" s="241"/>
      <c r="E55" s="24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1055</v>
      </c>
      <c r="D56" s="238"/>
      <c r="E56" s="239">
        <v>164.06</v>
      </c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>
      <c r="A57" s="196" t="s">
        <v>173</v>
      </c>
      <c r="B57" s="197" t="s">
        <v>98</v>
      </c>
      <c r="C57" s="198" t="s">
        <v>99</v>
      </c>
      <c r="D57" s="199"/>
      <c r="E57" s="200"/>
      <c r="F57" s="201"/>
      <c r="G57" s="202">
        <f>SUMIF(AG58:AG60,"&lt;&gt;NOR",G58:G60)</f>
        <v>1319.22</v>
      </c>
      <c r="H57" s="203"/>
      <c r="I57" s="203">
        <f>SUM(I58:I60)</f>
        <v>0</v>
      </c>
      <c r="J57" s="203"/>
      <c r="K57" s="203">
        <f>SUM(K58:K60)</f>
        <v>0</v>
      </c>
      <c r="L57" s="203"/>
      <c r="M57" s="203">
        <f>SUM(M58:M60)</f>
        <v>1596.2562</v>
      </c>
      <c r="N57" s="203"/>
      <c r="O57" s="203">
        <f>SUM(O58:O60)</f>
        <v>2.41</v>
      </c>
      <c r="P57" s="203"/>
      <c r="Q57" s="203">
        <f>SUM(Q58:Q60)</f>
        <v>0</v>
      </c>
      <c r="R57" s="203"/>
      <c r="S57" s="203"/>
      <c r="T57" s="203"/>
      <c r="U57" s="203"/>
      <c r="V57" s="203">
        <f>SUM(V58:V60)</f>
        <v>1.46</v>
      </c>
      <c r="W57" s="203"/>
      <c r="X57" s="203"/>
      <c r="AG57" s="184" t="s">
        <v>174</v>
      </c>
    </row>
    <row r="58" ht="12.75" customHeight="1" outlineLevel="1">
      <c r="A58" s="214">
        <v>14.0</v>
      </c>
      <c r="B58" s="215" t="s">
        <v>507</v>
      </c>
      <c r="C58" s="216" t="s">
        <v>508</v>
      </c>
      <c r="D58" s="217" t="s">
        <v>234</v>
      </c>
      <c r="E58" s="218">
        <v>1.35</v>
      </c>
      <c r="F58" s="219">
        <v>977.2</v>
      </c>
      <c r="G58" s="220">
        <f>ROUND(E58*F58,2)</f>
        <v>1319.22</v>
      </c>
      <c r="H58" s="211"/>
      <c r="I58" s="212">
        <f>ROUND(E58*H58,2)</f>
        <v>0</v>
      </c>
      <c r="J58" s="211"/>
      <c r="K58" s="212">
        <f>ROUND(E58*J58,2)</f>
        <v>0</v>
      </c>
      <c r="L58" s="212">
        <v>21.0</v>
      </c>
      <c r="M58" s="212">
        <f>G58*(1+L58/100)</f>
        <v>1596.2562</v>
      </c>
      <c r="N58" s="212">
        <v>1.78164</v>
      </c>
      <c r="O58" s="212">
        <f>ROUND(E58*N58,2)</f>
        <v>2.41</v>
      </c>
      <c r="P58" s="212">
        <v>0.0</v>
      </c>
      <c r="Q58" s="212">
        <f>ROUND(E58*P58,2)</f>
        <v>0</v>
      </c>
      <c r="R58" s="212"/>
      <c r="S58" s="212" t="s">
        <v>184</v>
      </c>
      <c r="T58" s="212" t="s">
        <v>184</v>
      </c>
      <c r="U58" s="212">
        <v>1.085</v>
      </c>
      <c r="V58" s="212">
        <f>ROUND(E58*U58,2)</f>
        <v>1.46</v>
      </c>
      <c r="W58" s="212"/>
      <c r="X58" s="212" t="s">
        <v>225</v>
      </c>
      <c r="Y58" s="213"/>
      <c r="Z58" s="213"/>
      <c r="AA58" s="213"/>
      <c r="AB58" s="213"/>
      <c r="AC58" s="213"/>
      <c r="AD58" s="213"/>
      <c r="AE58" s="213"/>
      <c r="AF58" s="213"/>
      <c r="AG58" s="213" t="s">
        <v>226</v>
      </c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509</v>
      </c>
      <c r="D59" s="238"/>
      <c r="E59" s="239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1056</v>
      </c>
      <c r="D60" s="238"/>
      <c r="E60" s="239">
        <v>1.35</v>
      </c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>
      <c r="A61" s="196" t="s">
        <v>173</v>
      </c>
      <c r="B61" s="197" t="s">
        <v>100</v>
      </c>
      <c r="C61" s="198" t="s">
        <v>101</v>
      </c>
      <c r="D61" s="199"/>
      <c r="E61" s="200"/>
      <c r="F61" s="201"/>
      <c r="G61" s="202">
        <f>SUMIF(AG62:AG70,"&lt;&gt;NOR",G62:G70)</f>
        <v>39267.25</v>
      </c>
      <c r="H61" s="203"/>
      <c r="I61" s="203">
        <f>SUM(I62:I70)</f>
        <v>0</v>
      </c>
      <c r="J61" s="203"/>
      <c r="K61" s="203">
        <f>SUM(K62:K70)</f>
        <v>0</v>
      </c>
      <c r="L61" s="203"/>
      <c r="M61" s="203">
        <f>SUM(M62:M70)</f>
        <v>47513.3725</v>
      </c>
      <c r="N61" s="203"/>
      <c r="O61" s="203">
        <f>SUM(O62:O70)</f>
        <v>21.47</v>
      </c>
      <c r="P61" s="203"/>
      <c r="Q61" s="203">
        <f>SUM(Q62:Q70)</f>
        <v>0</v>
      </c>
      <c r="R61" s="203"/>
      <c r="S61" s="203"/>
      <c r="T61" s="203"/>
      <c r="U61" s="203"/>
      <c r="V61" s="203">
        <f>SUM(V62:V70)</f>
        <v>43.04</v>
      </c>
      <c r="W61" s="203"/>
      <c r="X61" s="203"/>
      <c r="AG61" s="184" t="s">
        <v>174</v>
      </c>
    </row>
    <row r="62" ht="12.75" customHeight="1" outlineLevel="1">
      <c r="A62" s="214">
        <v>15.0</v>
      </c>
      <c r="B62" s="215" t="s">
        <v>347</v>
      </c>
      <c r="C62" s="216" t="s">
        <v>348</v>
      </c>
      <c r="D62" s="217" t="s">
        <v>234</v>
      </c>
      <c r="E62" s="218">
        <v>14.467</v>
      </c>
      <c r="F62" s="219">
        <v>1010.69</v>
      </c>
      <c r="G62" s="220">
        <f>ROUND(E62*F62,2)</f>
        <v>14621.65</v>
      </c>
      <c r="H62" s="211"/>
      <c r="I62" s="212">
        <f>ROUND(E62*H62,2)</f>
        <v>0</v>
      </c>
      <c r="J62" s="211"/>
      <c r="K62" s="212">
        <f>ROUND(E62*J62,2)</f>
        <v>0</v>
      </c>
      <c r="L62" s="212">
        <v>21.0</v>
      </c>
      <c r="M62" s="212">
        <f>G62*(1+L62/100)</f>
        <v>17692.1965</v>
      </c>
      <c r="N62" s="212">
        <v>1.1322</v>
      </c>
      <c r="O62" s="212">
        <f>ROUND(E62*N62,2)</f>
        <v>16.38</v>
      </c>
      <c r="P62" s="212">
        <v>0.0</v>
      </c>
      <c r="Q62" s="212">
        <f>ROUND(E62*P62,2)</f>
        <v>0</v>
      </c>
      <c r="R62" s="212"/>
      <c r="S62" s="212" t="s">
        <v>184</v>
      </c>
      <c r="T62" s="212" t="s">
        <v>184</v>
      </c>
      <c r="U62" s="212">
        <v>1.695</v>
      </c>
      <c r="V62" s="212">
        <f>ROUND(E62*U62,2)</f>
        <v>24.52</v>
      </c>
      <c r="W62" s="212"/>
      <c r="X62" s="212" t="s">
        <v>225</v>
      </c>
      <c r="Y62" s="213"/>
      <c r="Z62" s="213"/>
      <c r="AA62" s="213"/>
      <c r="AB62" s="213"/>
      <c r="AC62" s="213"/>
      <c r="AD62" s="213"/>
      <c r="AE62" s="213"/>
      <c r="AF62" s="213"/>
      <c r="AG62" s="213" t="s">
        <v>226</v>
      </c>
      <c r="AH62" s="213"/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1044</v>
      </c>
      <c r="D63" s="238"/>
      <c r="E63" s="239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1057</v>
      </c>
      <c r="D64" s="238"/>
      <c r="E64" s="239">
        <v>14.47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14">
        <v>16.0</v>
      </c>
      <c r="B65" s="215" t="s">
        <v>513</v>
      </c>
      <c r="C65" s="216" t="s">
        <v>514</v>
      </c>
      <c r="D65" s="217" t="s">
        <v>372</v>
      </c>
      <c r="E65" s="218">
        <v>126.0</v>
      </c>
      <c r="F65" s="219">
        <v>77.1</v>
      </c>
      <c r="G65" s="220">
        <f>ROUND(E65*F65,2)</f>
        <v>9714.6</v>
      </c>
      <c r="H65" s="211"/>
      <c r="I65" s="212">
        <f>ROUND(E65*H65,2)</f>
        <v>0</v>
      </c>
      <c r="J65" s="211"/>
      <c r="K65" s="212">
        <f>ROUND(E65*J65,2)</f>
        <v>0</v>
      </c>
      <c r="L65" s="212">
        <v>21.0</v>
      </c>
      <c r="M65" s="212">
        <f>G65*(1+L65/100)</f>
        <v>11754.666</v>
      </c>
      <c r="N65" s="212">
        <v>0.00165</v>
      </c>
      <c r="O65" s="212">
        <f>ROUND(E65*N65,2)</f>
        <v>0.21</v>
      </c>
      <c r="P65" s="212">
        <v>0.0</v>
      </c>
      <c r="Q65" s="212">
        <f>ROUND(E65*P65,2)</f>
        <v>0</v>
      </c>
      <c r="R65" s="212"/>
      <c r="S65" s="212" t="s">
        <v>184</v>
      </c>
      <c r="T65" s="212" t="s">
        <v>184</v>
      </c>
      <c r="U65" s="212">
        <v>0.147</v>
      </c>
      <c r="V65" s="212">
        <f>ROUND(E65*U65,2)</f>
        <v>18.52</v>
      </c>
      <c r="W65" s="212"/>
      <c r="X65" s="212" t="s">
        <v>225</v>
      </c>
      <c r="Y65" s="213"/>
      <c r="Z65" s="213"/>
      <c r="AA65" s="213"/>
      <c r="AB65" s="213"/>
      <c r="AC65" s="213"/>
      <c r="AD65" s="213"/>
      <c r="AE65" s="213"/>
      <c r="AF65" s="213"/>
      <c r="AG65" s="213" t="s">
        <v>226</v>
      </c>
      <c r="AH65" s="213"/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515</v>
      </c>
      <c r="D66" s="238"/>
      <c r="E66" s="239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1058</v>
      </c>
      <c r="D67" s="238"/>
      <c r="E67" s="239">
        <v>126.0</v>
      </c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14">
        <v>17.0</v>
      </c>
      <c r="B68" s="215" t="s">
        <v>521</v>
      </c>
      <c r="C68" s="216" t="s">
        <v>522</v>
      </c>
      <c r="D68" s="217" t="s">
        <v>372</v>
      </c>
      <c r="E68" s="218">
        <v>126.0</v>
      </c>
      <c r="F68" s="219">
        <v>118.5</v>
      </c>
      <c r="G68" s="220">
        <f>ROUND(E68*F68,2)</f>
        <v>14931</v>
      </c>
      <c r="H68" s="211"/>
      <c r="I68" s="212">
        <f>ROUND(E68*H68,2)</f>
        <v>0</v>
      </c>
      <c r="J68" s="211"/>
      <c r="K68" s="212">
        <f>ROUND(E68*J68,2)</f>
        <v>0</v>
      </c>
      <c r="L68" s="212">
        <v>21.0</v>
      </c>
      <c r="M68" s="212">
        <f>G68*(1+L68/100)</f>
        <v>18066.51</v>
      </c>
      <c r="N68" s="212">
        <v>0.0387</v>
      </c>
      <c r="O68" s="212">
        <f>ROUND(E68*N68,2)</f>
        <v>4.88</v>
      </c>
      <c r="P68" s="212">
        <v>0.0</v>
      </c>
      <c r="Q68" s="212">
        <f>ROUND(E68*P68,2)</f>
        <v>0</v>
      </c>
      <c r="R68" s="212" t="s">
        <v>322</v>
      </c>
      <c r="S68" s="212" t="s">
        <v>184</v>
      </c>
      <c r="T68" s="212" t="s">
        <v>184</v>
      </c>
      <c r="U68" s="212">
        <v>0.0</v>
      </c>
      <c r="V68" s="212">
        <f>ROUND(E68*U68,2)</f>
        <v>0</v>
      </c>
      <c r="W68" s="212"/>
      <c r="X68" s="212" t="s">
        <v>323</v>
      </c>
      <c r="Y68" s="213"/>
      <c r="Z68" s="213"/>
      <c r="AA68" s="213"/>
      <c r="AB68" s="213"/>
      <c r="AC68" s="213"/>
      <c r="AD68" s="213"/>
      <c r="AE68" s="213"/>
      <c r="AF68" s="213"/>
      <c r="AG68" s="213" t="s">
        <v>324</v>
      </c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515</v>
      </c>
      <c r="D69" s="238"/>
      <c r="E69" s="239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1058</v>
      </c>
      <c r="D70" s="238"/>
      <c r="E70" s="239">
        <v>126.0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>
      <c r="A71" s="196" t="s">
        <v>173</v>
      </c>
      <c r="B71" s="197" t="s">
        <v>102</v>
      </c>
      <c r="C71" s="198" t="s">
        <v>103</v>
      </c>
      <c r="D71" s="199"/>
      <c r="E71" s="200"/>
      <c r="F71" s="201"/>
      <c r="G71" s="202">
        <f>SUMIF(AG72:AG80,"&lt;&gt;NOR",G72:G80)</f>
        <v>10338.35</v>
      </c>
      <c r="H71" s="203"/>
      <c r="I71" s="203">
        <f>SUM(I72:I80)</f>
        <v>0</v>
      </c>
      <c r="J71" s="203"/>
      <c r="K71" s="203">
        <f>SUM(K72:K80)</f>
        <v>0</v>
      </c>
      <c r="L71" s="203"/>
      <c r="M71" s="203">
        <f>SUM(M72:M80)</f>
        <v>12509.4035</v>
      </c>
      <c r="N71" s="203"/>
      <c r="O71" s="203">
        <f>SUM(O72:O80)</f>
        <v>2.87</v>
      </c>
      <c r="P71" s="203"/>
      <c r="Q71" s="203">
        <f>SUM(Q72:Q80)</f>
        <v>0</v>
      </c>
      <c r="R71" s="203"/>
      <c r="S71" s="203"/>
      <c r="T71" s="203"/>
      <c r="U71" s="203"/>
      <c r="V71" s="203">
        <f>SUM(V72:V80)</f>
        <v>4.27</v>
      </c>
      <c r="W71" s="203"/>
      <c r="X71" s="203"/>
      <c r="AG71" s="184" t="s">
        <v>174</v>
      </c>
    </row>
    <row r="72" ht="12.75" customHeight="1" outlineLevel="1">
      <c r="A72" s="214">
        <v>18.0</v>
      </c>
      <c r="B72" s="215" t="s">
        <v>523</v>
      </c>
      <c r="C72" s="216" t="s">
        <v>524</v>
      </c>
      <c r="D72" s="217" t="s">
        <v>224</v>
      </c>
      <c r="E72" s="218">
        <v>5.52</v>
      </c>
      <c r="F72" s="219">
        <v>906.1</v>
      </c>
      <c r="G72" s="220">
        <f>ROUND(E72*F72,2)</f>
        <v>5001.67</v>
      </c>
      <c r="H72" s="211"/>
      <c r="I72" s="212">
        <f>ROUND(E72*H72,2)</f>
        <v>0</v>
      </c>
      <c r="J72" s="211"/>
      <c r="K72" s="212">
        <f>ROUND(E72*J72,2)</f>
        <v>0</v>
      </c>
      <c r="L72" s="212">
        <v>21.0</v>
      </c>
      <c r="M72" s="212">
        <f>G72*(1+L72/100)</f>
        <v>6052.0207</v>
      </c>
      <c r="N72" s="212">
        <v>0.30132</v>
      </c>
      <c r="O72" s="212">
        <f>ROUND(E72*N72,2)</f>
        <v>1.66</v>
      </c>
      <c r="P72" s="212">
        <v>0.0</v>
      </c>
      <c r="Q72" s="212">
        <f>ROUND(E72*P72,2)</f>
        <v>0</v>
      </c>
      <c r="R72" s="212"/>
      <c r="S72" s="212" t="s">
        <v>184</v>
      </c>
      <c r="T72" s="212" t="s">
        <v>184</v>
      </c>
      <c r="U72" s="212">
        <v>0.774</v>
      </c>
      <c r="V72" s="212">
        <f>ROUND(E72*U72,2)</f>
        <v>4.27</v>
      </c>
      <c r="W72" s="212"/>
      <c r="X72" s="212" t="s">
        <v>225</v>
      </c>
      <c r="Y72" s="213"/>
      <c r="Z72" s="213"/>
      <c r="AA72" s="213"/>
      <c r="AB72" s="213"/>
      <c r="AC72" s="213"/>
      <c r="AD72" s="213"/>
      <c r="AE72" s="213"/>
      <c r="AF72" s="213"/>
      <c r="AG72" s="213" t="s">
        <v>226</v>
      </c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525</v>
      </c>
      <c r="D73" s="238"/>
      <c r="E73" s="239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1059</v>
      </c>
      <c r="D74" s="238"/>
      <c r="E74" s="239">
        <v>5.52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14">
        <v>19.0</v>
      </c>
      <c r="B75" s="215" t="s">
        <v>527</v>
      </c>
      <c r="C75" s="216" t="s">
        <v>528</v>
      </c>
      <c r="D75" s="217" t="s">
        <v>224</v>
      </c>
      <c r="E75" s="218">
        <v>6.072</v>
      </c>
      <c r="F75" s="219">
        <v>878.9</v>
      </c>
      <c r="G75" s="220">
        <f>ROUND(E75*F75,2)</f>
        <v>5336.68</v>
      </c>
      <c r="H75" s="211"/>
      <c r="I75" s="212">
        <f>ROUND(E75*H75,2)</f>
        <v>0</v>
      </c>
      <c r="J75" s="211"/>
      <c r="K75" s="212">
        <f>ROUND(E75*J75,2)</f>
        <v>0</v>
      </c>
      <c r="L75" s="212">
        <v>21.0</v>
      </c>
      <c r="M75" s="212">
        <f>G75*(1+L75/100)</f>
        <v>6457.3828</v>
      </c>
      <c r="N75" s="212">
        <v>0.2</v>
      </c>
      <c r="O75" s="212">
        <f>ROUND(E75*N75,2)</f>
        <v>1.21</v>
      </c>
      <c r="P75" s="212">
        <v>0.0</v>
      </c>
      <c r="Q75" s="212">
        <f>ROUND(E75*P75,2)</f>
        <v>0</v>
      </c>
      <c r="R75" s="212" t="s">
        <v>322</v>
      </c>
      <c r="S75" s="212" t="s">
        <v>184</v>
      </c>
      <c r="T75" s="212" t="s">
        <v>184</v>
      </c>
      <c r="U75" s="212">
        <v>0.0</v>
      </c>
      <c r="V75" s="212">
        <f>ROUND(E75*U75,2)</f>
        <v>0</v>
      </c>
      <c r="W75" s="212"/>
      <c r="X75" s="212" t="s">
        <v>323</v>
      </c>
      <c r="Y75" s="213"/>
      <c r="Z75" s="213"/>
      <c r="AA75" s="213"/>
      <c r="AB75" s="213"/>
      <c r="AC75" s="213"/>
      <c r="AD75" s="213"/>
      <c r="AE75" s="213"/>
      <c r="AF75" s="213"/>
      <c r="AG75" s="213" t="s">
        <v>324</v>
      </c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35"/>
      <c r="B76" s="236"/>
      <c r="C76" s="237" t="s">
        <v>525</v>
      </c>
      <c r="D76" s="238"/>
      <c r="E76" s="239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3"/>
      <c r="Z76" s="213"/>
      <c r="AA76" s="213"/>
      <c r="AB76" s="213"/>
      <c r="AC76" s="213"/>
      <c r="AD76" s="213"/>
      <c r="AE76" s="213"/>
      <c r="AF76" s="213"/>
      <c r="AG76" s="213" t="s">
        <v>228</v>
      </c>
      <c r="AH76" s="213">
        <v>0.0</v>
      </c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40" t="s">
        <v>236</v>
      </c>
      <c r="D77" s="241"/>
      <c r="E77" s="24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43" t="s">
        <v>529</v>
      </c>
      <c r="D78" s="241"/>
      <c r="E78" s="242">
        <v>1.38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2.0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35"/>
      <c r="B79" s="236"/>
      <c r="C79" s="240" t="s">
        <v>238</v>
      </c>
      <c r="D79" s="241"/>
      <c r="E79" s="24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3"/>
      <c r="Z79" s="213"/>
      <c r="AA79" s="213"/>
      <c r="AB79" s="213"/>
      <c r="AC79" s="213"/>
      <c r="AD79" s="213"/>
      <c r="AE79" s="213"/>
      <c r="AF79" s="213"/>
      <c r="AG79" s="213" t="s">
        <v>228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35"/>
      <c r="B80" s="236"/>
      <c r="C80" s="237" t="s">
        <v>1060</v>
      </c>
      <c r="D80" s="238"/>
      <c r="E80" s="239">
        <v>6.07</v>
      </c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3"/>
      <c r="Z80" s="213"/>
      <c r="AA80" s="213"/>
      <c r="AB80" s="213"/>
      <c r="AC80" s="213"/>
      <c r="AD80" s="213"/>
      <c r="AE80" s="213"/>
      <c r="AF80" s="213"/>
      <c r="AG80" s="213" t="s">
        <v>228</v>
      </c>
      <c r="AH80" s="213">
        <v>0.0</v>
      </c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>
      <c r="A81" s="196" t="s">
        <v>173</v>
      </c>
      <c r="B81" s="197" t="s">
        <v>104</v>
      </c>
      <c r="C81" s="198" t="s">
        <v>105</v>
      </c>
      <c r="D81" s="199"/>
      <c r="E81" s="200"/>
      <c r="F81" s="201"/>
      <c r="G81" s="202">
        <f>SUMIF(AG82:AG103,"&lt;&gt;NOR",G82:G103)</f>
        <v>55549.56</v>
      </c>
      <c r="H81" s="203"/>
      <c r="I81" s="203">
        <f>SUM(I82:I103)</f>
        <v>0</v>
      </c>
      <c r="J81" s="203"/>
      <c r="K81" s="203">
        <f>SUM(K82:K103)</f>
        <v>0</v>
      </c>
      <c r="L81" s="203"/>
      <c r="M81" s="203">
        <f>SUM(M82:M103)</f>
        <v>67214.9676</v>
      </c>
      <c r="N81" s="203"/>
      <c r="O81" s="203">
        <f>SUM(O82:O103)</f>
        <v>32.62</v>
      </c>
      <c r="P81" s="203"/>
      <c r="Q81" s="203">
        <f>SUM(Q82:Q103)</f>
        <v>0</v>
      </c>
      <c r="R81" s="203"/>
      <c r="S81" s="203"/>
      <c r="T81" s="203"/>
      <c r="U81" s="203"/>
      <c r="V81" s="203">
        <f>SUM(V82:V103)</f>
        <v>51.41</v>
      </c>
      <c r="W81" s="203"/>
      <c r="X81" s="203"/>
      <c r="AG81" s="184" t="s">
        <v>174</v>
      </c>
    </row>
    <row r="82" ht="12.75" customHeight="1" outlineLevel="1">
      <c r="A82" s="214">
        <v>20.0</v>
      </c>
      <c r="B82" s="215" t="s">
        <v>531</v>
      </c>
      <c r="C82" s="216" t="s">
        <v>532</v>
      </c>
      <c r="D82" s="217" t="s">
        <v>234</v>
      </c>
      <c r="E82" s="218">
        <v>12.3576</v>
      </c>
      <c r="F82" s="219">
        <v>4130.0</v>
      </c>
      <c r="G82" s="220">
        <f>ROUND(E82*F82,2)</f>
        <v>51036.89</v>
      </c>
      <c r="H82" s="211"/>
      <c r="I82" s="212">
        <f>ROUND(E82*H82,2)</f>
        <v>0</v>
      </c>
      <c r="J82" s="211"/>
      <c r="K82" s="212">
        <f>ROUND(E82*J82,2)</f>
        <v>0</v>
      </c>
      <c r="L82" s="212">
        <v>21.0</v>
      </c>
      <c r="M82" s="212">
        <f>G82*(1+L82/100)</f>
        <v>61754.6369</v>
      </c>
      <c r="N82" s="212">
        <v>2.525</v>
      </c>
      <c r="O82" s="212">
        <f>ROUND(E82*N82,2)</f>
        <v>31.2</v>
      </c>
      <c r="P82" s="212">
        <v>0.0</v>
      </c>
      <c r="Q82" s="212">
        <f>ROUND(E82*P82,2)</f>
        <v>0</v>
      </c>
      <c r="R82" s="212"/>
      <c r="S82" s="212" t="s">
        <v>184</v>
      </c>
      <c r="T82" s="212" t="s">
        <v>184</v>
      </c>
      <c r="U82" s="212">
        <v>2.58</v>
      </c>
      <c r="V82" s="212">
        <f>ROUND(E82*U82,2)</f>
        <v>31.88</v>
      </c>
      <c r="W82" s="212"/>
      <c r="X82" s="212" t="s">
        <v>225</v>
      </c>
      <c r="Y82" s="213"/>
      <c r="Z82" s="213"/>
      <c r="AA82" s="213"/>
      <c r="AB82" s="213"/>
      <c r="AC82" s="213"/>
      <c r="AD82" s="213"/>
      <c r="AE82" s="213"/>
      <c r="AF82" s="213"/>
      <c r="AG82" s="213" t="s">
        <v>226</v>
      </c>
      <c r="AH82" s="213"/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35"/>
      <c r="B83" s="236"/>
      <c r="C83" s="237" t="s">
        <v>1061</v>
      </c>
      <c r="D83" s="238"/>
      <c r="E83" s="239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3"/>
      <c r="Z83" s="213"/>
      <c r="AA83" s="213"/>
      <c r="AB83" s="213"/>
      <c r="AC83" s="213"/>
      <c r="AD83" s="213"/>
      <c r="AE83" s="213"/>
      <c r="AF83" s="213"/>
      <c r="AG83" s="213" t="s">
        <v>228</v>
      </c>
      <c r="AH83" s="213">
        <v>0.0</v>
      </c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35"/>
      <c r="B84" s="236"/>
      <c r="C84" s="237" t="s">
        <v>1062</v>
      </c>
      <c r="D84" s="238"/>
      <c r="E84" s="239">
        <v>11.57</v>
      </c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3"/>
      <c r="Z84" s="213"/>
      <c r="AA84" s="213"/>
      <c r="AB84" s="213"/>
      <c r="AC84" s="213"/>
      <c r="AD84" s="213"/>
      <c r="AE84" s="213"/>
      <c r="AF84" s="213"/>
      <c r="AG84" s="213" t="s">
        <v>228</v>
      </c>
      <c r="AH84" s="213">
        <v>0.0</v>
      </c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35"/>
      <c r="B85" s="236"/>
      <c r="C85" s="237" t="s">
        <v>533</v>
      </c>
      <c r="D85" s="238"/>
      <c r="E85" s="239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3"/>
      <c r="Z85" s="213"/>
      <c r="AA85" s="213"/>
      <c r="AB85" s="213"/>
      <c r="AC85" s="213"/>
      <c r="AD85" s="213"/>
      <c r="AE85" s="213"/>
      <c r="AF85" s="213"/>
      <c r="AG85" s="213" t="s">
        <v>228</v>
      </c>
      <c r="AH85" s="213">
        <v>0.0</v>
      </c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35"/>
      <c r="B86" s="236"/>
      <c r="C86" s="237" t="s">
        <v>1063</v>
      </c>
      <c r="D86" s="238"/>
      <c r="E86" s="239">
        <v>0.78</v>
      </c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3"/>
      <c r="Z86" s="213"/>
      <c r="AA86" s="213"/>
      <c r="AB86" s="213"/>
      <c r="AC86" s="213"/>
      <c r="AD86" s="213"/>
      <c r="AE86" s="213"/>
      <c r="AF86" s="213"/>
      <c r="AG86" s="213" t="s">
        <v>228</v>
      </c>
      <c r="AH86" s="213">
        <v>0.0</v>
      </c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14">
        <v>21.0</v>
      </c>
      <c r="B87" s="215" t="s">
        <v>536</v>
      </c>
      <c r="C87" s="216" t="s">
        <v>537</v>
      </c>
      <c r="D87" s="217" t="s">
        <v>234</v>
      </c>
      <c r="E87" s="218">
        <v>0.552</v>
      </c>
      <c r="F87" s="219">
        <v>5180.0</v>
      </c>
      <c r="G87" s="220">
        <f>ROUND(E87*F87,2)</f>
        <v>2859.36</v>
      </c>
      <c r="H87" s="211"/>
      <c r="I87" s="212">
        <f>ROUND(E87*H87,2)</f>
        <v>0</v>
      </c>
      <c r="J87" s="211"/>
      <c r="K87" s="212">
        <f>ROUND(E87*J87,2)</f>
        <v>0</v>
      </c>
      <c r="L87" s="212">
        <v>21.0</v>
      </c>
      <c r="M87" s="212">
        <f>G87*(1+L87/100)</f>
        <v>3459.8256</v>
      </c>
      <c r="N87" s="212">
        <v>2.525</v>
      </c>
      <c r="O87" s="212">
        <f>ROUND(E87*N87,2)</f>
        <v>1.39</v>
      </c>
      <c r="P87" s="212">
        <v>0.0</v>
      </c>
      <c r="Q87" s="212">
        <f>ROUND(E87*P87,2)</f>
        <v>0</v>
      </c>
      <c r="R87" s="212"/>
      <c r="S87" s="212" t="s">
        <v>184</v>
      </c>
      <c r="T87" s="212" t="s">
        <v>184</v>
      </c>
      <c r="U87" s="212">
        <v>2.58</v>
      </c>
      <c r="V87" s="212">
        <f>ROUND(E87*U87,2)</f>
        <v>1.42</v>
      </c>
      <c r="W87" s="212"/>
      <c r="X87" s="212" t="s">
        <v>225</v>
      </c>
      <c r="Y87" s="213"/>
      <c r="Z87" s="213"/>
      <c r="AA87" s="213"/>
      <c r="AB87" s="213"/>
      <c r="AC87" s="213"/>
      <c r="AD87" s="213"/>
      <c r="AE87" s="213"/>
      <c r="AF87" s="213"/>
      <c r="AG87" s="213" t="s">
        <v>226</v>
      </c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35"/>
      <c r="B88" s="236"/>
      <c r="C88" s="237" t="s">
        <v>538</v>
      </c>
      <c r="D88" s="238"/>
      <c r="E88" s="239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3"/>
      <c r="Z88" s="213"/>
      <c r="AA88" s="213"/>
      <c r="AB88" s="213"/>
      <c r="AC88" s="213"/>
      <c r="AD88" s="213"/>
      <c r="AE88" s="213"/>
      <c r="AF88" s="213"/>
      <c r="AG88" s="213" t="s">
        <v>228</v>
      </c>
      <c r="AH88" s="213">
        <v>0.0</v>
      </c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35"/>
      <c r="B89" s="236"/>
      <c r="C89" s="240" t="s">
        <v>236</v>
      </c>
      <c r="D89" s="241"/>
      <c r="E89" s="24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3"/>
      <c r="Z89" s="213"/>
      <c r="AA89" s="213"/>
      <c r="AB89" s="213"/>
      <c r="AC89" s="213"/>
      <c r="AD89" s="213"/>
      <c r="AE89" s="213"/>
      <c r="AF89" s="213"/>
      <c r="AG89" s="213" t="s">
        <v>228</v>
      </c>
      <c r="AH89" s="213"/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35"/>
      <c r="B90" s="236"/>
      <c r="C90" s="243" t="s">
        <v>1064</v>
      </c>
      <c r="D90" s="241"/>
      <c r="E90" s="242">
        <v>0.14</v>
      </c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3"/>
      <c r="Z90" s="213"/>
      <c r="AA90" s="213"/>
      <c r="AB90" s="213"/>
      <c r="AC90" s="213"/>
      <c r="AD90" s="213"/>
      <c r="AE90" s="213"/>
      <c r="AF90" s="213"/>
      <c r="AG90" s="213" t="s">
        <v>228</v>
      </c>
      <c r="AH90" s="213">
        <v>2.0</v>
      </c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40" t="s">
        <v>238</v>
      </c>
      <c r="D91" s="241"/>
      <c r="E91" s="24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1065</v>
      </c>
      <c r="D92" s="238"/>
      <c r="E92" s="239">
        <v>0.55</v>
      </c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14">
        <v>22.0</v>
      </c>
      <c r="B93" s="215" t="s">
        <v>540</v>
      </c>
      <c r="C93" s="216" t="s">
        <v>541</v>
      </c>
      <c r="D93" s="217" t="s">
        <v>234</v>
      </c>
      <c r="E93" s="218">
        <v>12.3576</v>
      </c>
      <c r="F93" s="219">
        <v>5.0</v>
      </c>
      <c r="G93" s="220">
        <f>ROUND(E93*F93,2)</f>
        <v>61.79</v>
      </c>
      <c r="H93" s="211"/>
      <c r="I93" s="212">
        <f>ROUND(E93*H93,2)</f>
        <v>0</v>
      </c>
      <c r="J93" s="211"/>
      <c r="K93" s="212">
        <f>ROUND(E93*J93,2)</f>
        <v>0</v>
      </c>
      <c r="L93" s="212">
        <v>21.0</v>
      </c>
      <c r="M93" s="212">
        <f>G93*(1+L93/100)</f>
        <v>74.7659</v>
      </c>
      <c r="N93" s="212">
        <v>0.0</v>
      </c>
      <c r="O93" s="212">
        <f>ROUND(E93*N93,2)</f>
        <v>0</v>
      </c>
      <c r="P93" s="212">
        <v>0.0</v>
      </c>
      <c r="Q93" s="212">
        <f>ROUND(E93*P93,2)</f>
        <v>0</v>
      </c>
      <c r="R93" s="212"/>
      <c r="S93" s="212" t="s">
        <v>184</v>
      </c>
      <c r="T93" s="212" t="s">
        <v>184</v>
      </c>
      <c r="U93" s="212">
        <v>1.35</v>
      </c>
      <c r="V93" s="212">
        <f>ROUND(E93*U93,2)</f>
        <v>16.68</v>
      </c>
      <c r="W93" s="212"/>
      <c r="X93" s="212" t="s">
        <v>225</v>
      </c>
      <c r="Y93" s="213"/>
      <c r="Z93" s="213"/>
      <c r="AA93" s="213"/>
      <c r="AB93" s="213"/>
      <c r="AC93" s="213"/>
      <c r="AD93" s="213"/>
      <c r="AE93" s="213"/>
      <c r="AF93" s="213"/>
      <c r="AG93" s="213" t="s">
        <v>226</v>
      </c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37" t="s">
        <v>1061</v>
      </c>
      <c r="D94" s="238"/>
      <c r="E94" s="239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>
        <v>0.0</v>
      </c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35"/>
      <c r="B95" s="236"/>
      <c r="C95" s="237" t="s">
        <v>1062</v>
      </c>
      <c r="D95" s="238"/>
      <c r="E95" s="239">
        <v>11.57</v>
      </c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3"/>
      <c r="Z95" s="213"/>
      <c r="AA95" s="213"/>
      <c r="AB95" s="213"/>
      <c r="AC95" s="213"/>
      <c r="AD95" s="213"/>
      <c r="AE95" s="213"/>
      <c r="AF95" s="213"/>
      <c r="AG95" s="213" t="s">
        <v>228</v>
      </c>
      <c r="AH95" s="213">
        <v>0.0</v>
      </c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35"/>
      <c r="B96" s="236"/>
      <c r="C96" s="237" t="s">
        <v>533</v>
      </c>
      <c r="D96" s="238"/>
      <c r="E96" s="239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3"/>
      <c r="Z96" s="213"/>
      <c r="AA96" s="213"/>
      <c r="AB96" s="213"/>
      <c r="AC96" s="213"/>
      <c r="AD96" s="213"/>
      <c r="AE96" s="213"/>
      <c r="AF96" s="213"/>
      <c r="AG96" s="213" t="s">
        <v>228</v>
      </c>
      <c r="AH96" s="213">
        <v>0.0</v>
      </c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35"/>
      <c r="B97" s="236"/>
      <c r="C97" s="237" t="s">
        <v>1063</v>
      </c>
      <c r="D97" s="238"/>
      <c r="E97" s="239">
        <v>0.78</v>
      </c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3"/>
      <c r="Z97" s="213"/>
      <c r="AA97" s="213"/>
      <c r="AB97" s="213"/>
      <c r="AC97" s="213"/>
      <c r="AD97" s="213"/>
      <c r="AE97" s="213"/>
      <c r="AF97" s="213"/>
      <c r="AG97" s="213" t="s">
        <v>228</v>
      </c>
      <c r="AH97" s="213">
        <v>0.0</v>
      </c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14">
        <v>23.0</v>
      </c>
      <c r="B98" s="215" t="s">
        <v>542</v>
      </c>
      <c r="C98" s="216" t="s">
        <v>543</v>
      </c>
      <c r="D98" s="217" t="s">
        <v>224</v>
      </c>
      <c r="E98" s="218">
        <v>2.24</v>
      </c>
      <c r="F98" s="219">
        <v>532.5</v>
      </c>
      <c r="G98" s="220">
        <f>ROUND(E98*F98,2)</f>
        <v>1192.8</v>
      </c>
      <c r="H98" s="211"/>
      <c r="I98" s="212">
        <f>ROUND(E98*H98,2)</f>
        <v>0</v>
      </c>
      <c r="J98" s="211"/>
      <c r="K98" s="212">
        <f>ROUND(E98*J98,2)</f>
        <v>0</v>
      </c>
      <c r="L98" s="212">
        <v>21.0</v>
      </c>
      <c r="M98" s="212">
        <f>G98*(1+L98/100)</f>
        <v>1443.288</v>
      </c>
      <c r="N98" s="212">
        <v>0.01411</v>
      </c>
      <c r="O98" s="212">
        <f>ROUND(E98*N98,2)</f>
        <v>0.03</v>
      </c>
      <c r="P98" s="212">
        <v>0.0</v>
      </c>
      <c r="Q98" s="212">
        <f>ROUND(E98*P98,2)</f>
        <v>0</v>
      </c>
      <c r="R98" s="212"/>
      <c r="S98" s="212" t="s">
        <v>184</v>
      </c>
      <c r="T98" s="212" t="s">
        <v>184</v>
      </c>
      <c r="U98" s="212">
        <v>0.396</v>
      </c>
      <c r="V98" s="212">
        <f>ROUND(E98*U98,2)</f>
        <v>0.89</v>
      </c>
      <c r="W98" s="212"/>
      <c r="X98" s="212" t="s">
        <v>225</v>
      </c>
      <c r="Y98" s="213"/>
      <c r="Z98" s="213"/>
      <c r="AA98" s="213"/>
      <c r="AB98" s="213"/>
      <c r="AC98" s="213"/>
      <c r="AD98" s="213"/>
      <c r="AE98" s="213"/>
      <c r="AF98" s="213"/>
      <c r="AG98" s="213" t="s">
        <v>226</v>
      </c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533</v>
      </c>
      <c r="D99" s="238"/>
      <c r="E99" s="239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35"/>
      <c r="B100" s="236"/>
      <c r="C100" s="237" t="s">
        <v>1066</v>
      </c>
      <c r="D100" s="238"/>
      <c r="E100" s="239">
        <v>2.24</v>
      </c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3"/>
      <c r="Z100" s="213"/>
      <c r="AA100" s="213"/>
      <c r="AB100" s="213"/>
      <c r="AC100" s="213"/>
      <c r="AD100" s="213"/>
      <c r="AE100" s="213"/>
      <c r="AF100" s="213"/>
      <c r="AG100" s="213" t="s">
        <v>228</v>
      </c>
      <c r="AH100" s="213">
        <v>0.0</v>
      </c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14">
        <v>24.0</v>
      </c>
      <c r="B101" s="215" t="s">
        <v>545</v>
      </c>
      <c r="C101" s="216" t="s">
        <v>546</v>
      </c>
      <c r="D101" s="217" t="s">
        <v>224</v>
      </c>
      <c r="E101" s="218">
        <v>2.24</v>
      </c>
      <c r="F101" s="219">
        <v>178.0</v>
      </c>
      <c r="G101" s="220">
        <f>ROUND(E101*F101,2)</f>
        <v>398.72</v>
      </c>
      <c r="H101" s="211"/>
      <c r="I101" s="212">
        <f>ROUND(E101*H101,2)</f>
        <v>0</v>
      </c>
      <c r="J101" s="211"/>
      <c r="K101" s="212">
        <f>ROUND(E101*J101,2)</f>
        <v>0</v>
      </c>
      <c r="L101" s="212">
        <v>21.0</v>
      </c>
      <c r="M101" s="212">
        <f>G101*(1+L101/100)</f>
        <v>482.4512</v>
      </c>
      <c r="N101" s="212">
        <v>0.0</v>
      </c>
      <c r="O101" s="212">
        <f>ROUND(E101*N101,2)</f>
        <v>0</v>
      </c>
      <c r="P101" s="212">
        <v>0.0</v>
      </c>
      <c r="Q101" s="212">
        <f>ROUND(E101*P101,2)</f>
        <v>0</v>
      </c>
      <c r="R101" s="212"/>
      <c r="S101" s="212" t="s">
        <v>184</v>
      </c>
      <c r="T101" s="212" t="s">
        <v>184</v>
      </c>
      <c r="U101" s="212">
        <v>0.24</v>
      </c>
      <c r="V101" s="212">
        <f>ROUND(E101*U101,2)</f>
        <v>0.54</v>
      </c>
      <c r="W101" s="212"/>
      <c r="X101" s="212" t="s">
        <v>225</v>
      </c>
      <c r="Y101" s="213"/>
      <c r="Z101" s="213"/>
      <c r="AA101" s="213"/>
      <c r="AB101" s="213"/>
      <c r="AC101" s="213"/>
      <c r="AD101" s="213"/>
      <c r="AE101" s="213"/>
      <c r="AF101" s="213"/>
      <c r="AG101" s="213" t="s">
        <v>226</v>
      </c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37" t="s">
        <v>533</v>
      </c>
      <c r="D102" s="238"/>
      <c r="E102" s="239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0.0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35"/>
      <c r="B103" s="236"/>
      <c r="C103" s="237" t="s">
        <v>1066</v>
      </c>
      <c r="D103" s="238"/>
      <c r="E103" s="239">
        <v>2.24</v>
      </c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3"/>
      <c r="Z103" s="213"/>
      <c r="AA103" s="213"/>
      <c r="AB103" s="213"/>
      <c r="AC103" s="213"/>
      <c r="AD103" s="213"/>
      <c r="AE103" s="213"/>
      <c r="AF103" s="213"/>
      <c r="AG103" s="213" t="s">
        <v>228</v>
      </c>
      <c r="AH103" s="213">
        <v>0.0</v>
      </c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>
      <c r="A104" s="196" t="s">
        <v>173</v>
      </c>
      <c r="B104" s="197" t="s">
        <v>106</v>
      </c>
      <c r="C104" s="198" t="s">
        <v>107</v>
      </c>
      <c r="D104" s="199"/>
      <c r="E104" s="200"/>
      <c r="F104" s="201"/>
      <c r="G104" s="202">
        <f>SUMIF(AG105:AG130,"&lt;&gt;NOR",G105:G130)</f>
        <v>698045.08</v>
      </c>
      <c r="H104" s="203"/>
      <c r="I104" s="203">
        <f>SUM(I105:I130)</f>
        <v>0</v>
      </c>
      <c r="J104" s="203"/>
      <c r="K104" s="203">
        <f>SUM(K105:K130)</f>
        <v>0</v>
      </c>
      <c r="L104" s="203"/>
      <c r="M104" s="203">
        <f>SUM(M105:M130)</f>
        <v>844634.5468</v>
      </c>
      <c r="N104" s="203"/>
      <c r="O104" s="203">
        <f>SUM(O105:O130)</f>
        <v>259.91</v>
      </c>
      <c r="P104" s="203"/>
      <c r="Q104" s="203">
        <f>SUM(Q105:Q130)</f>
        <v>0</v>
      </c>
      <c r="R104" s="203"/>
      <c r="S104" s="203"/>
      <c r="T104" s="203"/>
      <c r="U104" s="203"/>
      <c r="V104" s="203">
        <f>SUM(V105:V130)</f>
        <v>503.27</v>
      </c>
      <c r="W104" s="203"/>
      <c r="X104" s="203"/>
      <c r="AG104" s="184" t="s">
        <v>174</v>
      </c>
    </row>
    <row r="105" ht="12.75" customHeight="1" outlineLevel="1">
      <c r="A105" s="204">
        <v>25.0</v>
      </c>
      <c r="B105" s="205" t="s">
        <v>547</v>
      </c>
      <c r="C105" s="206" t="s">
        <v>1067</v>
      </c>
      <c r="D105" s="207" t="s">
        <v>372</v>
      </c>
      <c r="E105" s="208">
        <v>1.0</v>
      </c>
      <c r="F105" s="209">
        <v>702.46</v>
      </c>
      <c r="G105" s="210">
        <f t="shared" ref="G105:G106" si="1">ROUND(E105*F105,2)</f>
        <v>702.46</v>
      </c>
      <c r="H105" s="211"/>
      <c r="I105" s="212">
        <f t="shared" ref="I105:I106" si="2">ROUND(E105*H105,2)</f>
        <v>0</v>
      </c>
      <c r="J105" s="211"/>
      <c r="K105" s="212">
        <f t="shared" ref="K105:K106" si="3">ROUND(E105*J105,2)</f>
        <v>0</v>
      </c>
      <c r="L105" s="212">
        <v>21.0</v>
      </c>
      <c r="M105" s="212">
        <f t="shared" ref="M105:M106" si="4">G105*(1+L105/100)</f>
        <v>849.9766</v>
      </c>
      <c r="N105" s="212">
        <v>0.0</v>
      </c>
      <c r="O105" s="212">
        <f t="shared" ref="O105:O106" si="5">ROUND(E105*N105,2)</f>
        <v>0</v>
      </c>
      <c r="P105" s="212">
        <v>0.0</v>
      </c>
      <c r="Q105" s="212">
        <f t="shared" ref="Q105:Q106" si="6">ROUND(E105*P105,2)</f>
        <v>0</v>
      </c>
      <c r="R105" s="212"/>
      <c r="S105" s="212" t="s">
        <v>178</v>
      </c>
      <c r="T105" s="212" t="s">
        <v>179</v>
      </c>
      <c r="U105" s="212">
        <v>0.0</v>
      </c>
      <c r="V105" s="212">
        <f t="shared" ref="V105:V106" si="7">ROUND(E105*U105,2)</f>
        <v>0</v>
      </c>
      <c r="W105" s="212"/>
      <c r="X105" s="212" t="s">
        <v>225</v>
      </c>
      <c r="Y105" s="213"/>
      <c r="Z105" s="213"/>
      <c r="AA105" s="213"/>
      <c r="AB105" s="213"/>
      <c r="AC105" s="213"/>
      <c r="AD105" s="213"/>
      <c r="AE105" s="213"/>
      <c r="AF105" s="213"/>
      <c r="AG105" s="213" t="s">
        <v>226</v>
      </c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14">
        <v>26.0</v>
      </c>
      <c r="B106" s="215" t="s">
        <v>1068</v>
      </c>
      <c r="C106" s="216" t="s">
        <v>1069</v>
      </c>
      <c r="D106" s="217" t="s">
        <v>251</v>
      </c>
      <c r="E106" s="218">
        <v>125.8</v>
      </c>
      <c r="F106" s="219">
        <v>615.6</v>
      </c>
      <c r="G106" s="220">
        <f t="shared" si="1"/>
        <v>77442.48</v>
      </c>
      <c r="H106" s="211"/>
      <c r="I106" s="212">
        <f t="shared" si="2"/>
        <v>0</v>
      </c>
      <c r="J106" s="211"/>
      <c r="K106" s="212">
        <f t="shared" si="3"/>
        <v>0</v>
      </c>
      <c r="L106" s="212">
        <v>21.0</v>
      </c>
      <c r="M106" s="212">
        <f t="shared" si="4"/>
        <v>93705.4008</v>
      </c>
      <c r="N106" s="212">
        <v>4.0E-5</v>
      </c>
      <c r="O106" s="212">
        <f t="shared" si="5"/>
        <v>0.01</v>
      </c>
      <c r="P106" s="212">
        <v>0.0</v>
      </c>
      <c r="Q106" s="212">
        <f t="shared" si="6"/>
        <v>0</v>
      </c>
      <c r="R106" s="212"/>
      <c r="S106" s="212" t="s">
        <v>184</v>
      </c>
      <c r="T106" s="212" t="s">
        <v>184</v>
      </c>
      <c r="U106" s="212">
        <v>0.846</v>
      </c>
      <c r="V106" s="212">
        <f t="shared" si="7"/>
        <v>106.43</v>
      </c>
      <c r="W106" s="212"/>
      <c r="X106" s="212" t="s">
        <v>225</v>
      </c>
      <c r="Y106" s="213"/>
      <c r="Z106" s="213"/>
      <c r="AA106" s="213"/>
      <c r="AB106" s="213"/>
      <c r="AC106" s="213"/>
      <c r="AD106" s="213"/>
      <c r="AE106" s="213"/>
      <c r="AF106" s="213"/>
      <c r="AG106" s="213" t="s">
        <v>226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35"/>
      <c r="B107" s="236"/>
      <c r="C107" s="237" t="s">
        <v>1070</v>
      </c>
      <c r="D107" s="238"/>
      <c r="E107" s="239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3"/>
      <c r="Z107" s="213"/>
      <c r="AA107" s="213"/>
      <c r="AB107" s="213"/>
      <c r="AC107" s="213"/>
      <c r="AD107" s="213"/>
      <c r="AE107" s="213"/>
      <c r="AF107" s="213"/>
      <c r="AG107" s="213" t="s">
        <v>228</v>
      </c>
      <c r="AH107" s="213">
        <v>0.0</v>
      </c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1071</v>
      </c>
      <c r="D108" s="238"/>
      <c r="E108" s="239">
        <v>125.8</v>
      </c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04">
        <v>27.0</v>
      </c>
      <c r="B109" s="205" t="s">
        <v>1072</v>
      </c>
      <c r="C109" s="206" t="s">
        <v>1073</v>
      </c>
      <c r="D109" s="207" t="s">
        <v>372</v>
      </c>
      <c r="E109" s="208">
        <v>2.0</v>
      </c>
      <c r="F109" s="209">
        <v>968.0</v>
      </c>
      <c r="G109" s="210">
        <f t="shared" ref="G109:G110" si="8">ROUND(E109*F109,2)</f>
        <v>1936</v>
      </c>
      <c r="H109" s="211"/>
      <c r="I109" s="212">
        <f t="shared" ref="I109:I110" si="9">ROUND(E109*H109,2)</f>
        <v>0</v>
      </c>
      <c r="J109" s="211"/>
      <c r="K109" s="212">
        <f t="shared" ref="K109:K110" si="10">ROUND(E109*J109,2)</f>
        <v>0</v>
      </c>
      <c r="L109" s="212">
        <v>21.0</v>
      </c>
      <c r="M109" s="212">
        <f t="shared" ref="M109:M110" si="11">G109*(1+L109/100)</f>
        <v>2342.56</v>
      </c>
      <c r="N109" s="212">
        <v>7.0E-5</v>
      </c>
      <c r="O109" s="212">
        <f t="shared" ref="O109:O110" si="12">ROUND(E109*N109,2)</f>
        <v>0</v>
      </c>
      <c r="P109" s="212">
        <v>0.0</v>
      </c>
      <c r="Q109" s="212">
        <f t="shared" ref="Q109:Q110" si="13">ROUND(E109*P109,2)</f>
        <v>0</v>
      </c>
      <c r="R109" s="212"/>
      <c r="S109" s="212" t="s">
        <v>184</v>
      </c>
      <c r="T109" s="212" t="s">
        <v>184</v>
      </c>
      <c r="U109" s="212">
        <v>0.626</v>
      </c>
      <c r="V109" s="212">
        <f t="shared" ref="V109:V110" si="14">ROUND(E109*U109,2)</f>
        <v>1.25</v>
      </c>
      <c r="W109" s="212"/>
      <c r="X109" s="212" t="s">
        <v>225</v>
      </c>
      <c r="Y109" s="213"/>
      <c r="Z109" s="213"/>
      <c r="AA109" s="213"/>
      <c r="AB109" s="213"/>
      <c r="AC109" s="213"/>
      <c r="AD109" s="213"/>
      <c r="AE109" s="213"/>
      <c r="AF109" s="213"/>
      <c r="AG109" s="213" t="s">
        <v>226</v>
      </c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14">
        <v>28.0</v>
      </c>
      <c r="B110" s="215" t="s">
        <v>1074</v>
      </c>
      <c r="C110" s="216" t="s">
        <v>1075</v>
      </c>
      <c r="D110" s="217" t="s">
        <v>251</v>
      </c>
      <c r="E110" s="218">
        <v>125.8</v>
      </c>
      <c r="F110" s="219">
        <v>160.5</v>
      </c>
      <c r="G110" s="220">
        <f t="shared" si="8"/>
        <v>20190.9</v>
      </c>
      <c r="H110" s="211"/>
      <c r="I110" s="212">
        <f t="shared" si="9"/>
        <v>0</v>
      </c>
      <c r="J110" s="211"/>
      <c r="K110" s="212">
        <f t="shared" si="10"/>
        <v>0</v>
      </c>
      <c r="L110" s="212">
        <v>21.0</v>
      </c>
      <c r="M110" s="212">
        <f t="shared" si="11"/>
        <v>24430.989</v>
      </c>
      <c r="N110" s="212">
        <v>0.0</v>
      </c>
      <c r="O110" s="212">
        <f t="shared" si="12"/>
        <v>0</v>
      </c>
      <c r="P110" s="212">
        <v>0.0</v>
      </c>
      <c r="Q110" s="212">
        <f t="shared" si="13"/>
        <v>0</v>
      </c>
      <c r="R110" s="212"/>
      <c r="S110" s="212" t="s">
        <v>184</v>
      </c>
      <c r="T110" s="212" t="s">
        <v>184</v>
      </c>
      <c r="U110" s="212">
        <v>0.079</v>
      </c>
      <c r="V110" s="212">
        <f t="shared" si="14"/>
        <v>9.94</v>
      </c>
      <c r="W110" s="212"/>
      <c r="X110" s="212" t="s">
        <v>225</v>
      </c>
      <c r="Y110" s="213"/>
      <c r="Z110" s="213"/>
      <c r="AA110" s="213"/>
      <c r="AB110" s="213"/>
      <c r="AC110" s="213"/>
      <c r="AD110" s="213"/>
      <c r="AE110" s="213"/>
      <c r="AF110" s="213"/>
      <c r="AG110" s="213" t="s">
        <v>226</v>
      </c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35"/>
      <c r="B111" s="236"/>
      <c r="C111" s="237" t="s">
        <v>1071</v>
      </c>
      <c r="D111" s="238"/>
      <c r="E111" s="239">
        <v>125.8</v>
      </c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3"/>
      <c r="Z111" s="213"/>
      <c r="AA111" s="213"/>
      <c r="AB111" s="213"/>
      <c r="AC111" s="213"/>
      <c r="AD111" s="213"/>
      <c r="AE111" s="213"/>
      <c r="AF111" s="213"/>
      <c r="AG111" s="213" t="s">
        <v>228</v>
      </c>
      <c r="AH111" s="213">
        <v>0.0</v>
      </c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04">
        <v>29.0</v>
      </c>
      <c r="B112" s="205" t="s">
        <v>1076</v>
      </c>
      <c r="C112" s="206" t="s">
        <v>1077</v>
      </c>
      <c r="D112" s="207" t="s">
        <v>1078</v>
      </c>
      <c r="E112" s="208">
        <v>1.0</v>
      </c>
      <c r="F112" s="209">
        <v>4280.0</v>
      </c>
      <c r="G112" s="210">
        <f t="shared" ref="G112:G113" si="15">ROUND(E112*F112,2)</f>
        <v>4280</v>
      </c>
      <c r="H112" s="211"/>
      <c r="I112" s="212">
        <f t="shared" ref="I112:I113" si="16">ROUND(E112*H112,2)</f>
        <v>0</v>
      </c>
      <c r="J112" s="211"/>
      <c r="K112" s="212">
        <f t="shared" ref="K112:K113" si="17">ROUND(E112*J112,2)</f>
        <v>0</v>
      </c>
      <c r="L112" s="212">
        <v>21.0</v>
      </c>
      <c r="M112" s="212">
        <f t="shared" ref="M112:M113" si="18">G112*(1+L112/100)</f>
        <v>5178.8</v>
      </c>
      <c r="N112" s="212">
        <v>1.7E-4</v>
      </c>
      <c r="O112" s="212">
        <f t="shared" ref="O112:O113" si="19">ROUND(E112*N112,2)</f>
        <v>0</v>
      </c>
      <c r="P112" s="212">
        <v>0.0</v>
      </c>
      <c r="Q112" s="212">
        <f t="shared" ref="Q112:Q113" si="20">ROUND(E112*P112,2)</f>
        <v>0</v>
      </c>
      <c r="R112" s="212"/>
      <c r="S112" s="212" t="s">
        <v>184</v>
      </c>
      <c r="T112" s="212" t="s">
        <v>184</v>
      </c>
      <c r="U112" s="212">
        <v>7.1</v>
      </c>
      <c r="V112" s="212">
        <f t="shared" ref="V112:V113" si="21">ROUND(E112*U112,2)</f>
        <v>7.1</v>
      </c>
      <c r="W112" s="212"/>
      <c r="X112" s="212" t="s">
        <v>225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226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14">
        <v>30.0</v>
      </c>
      <c r="B113" s="215" t="s">
        <v>558</v>
      </c>
      <c r="C113" s="216" t="s">
        <v>559</v>
      </c>
      <c r="D113" s="217" t="s">
        <v>234</v>
      </c>
      <c r="E113" s="218">
        <v>94.6635</v>
      </c>
      <c r="F113" s="219">
        <v>3035.0</v>
      </c>
      <c r="G113" s="220">
        <f t="shared" si="15"/>
        <v>287303.72</v>
      </c>
      <c r="H113" s="211"/>
      <c r="I113" s="212">
        <f t="shared" si="16"/>
        <v>0</v>
      </c>
      <c r="J113" s="211"/>
      <c r="K113" s="212">
        <f t="shared" si="17"/>
        <v>0</v>
      </c>
      <c r="L113" s="212">
        <v>21.0</v>
      </c>
      <c r="M113" s="212">
        <f t="shared" si="18"/>
        <v>347637.5012</v>
      </c>
      <c r="N113" s="212">
        <v>2.525</v>
      </c>
      <c r="O113" s="212">
        <f t="shared" si="19"/>
        <v>239.03</v>
      </c>
      <c r="P113" s="212">
        <v>0.0</v>
      </c>
      <c r="Q113" s="212">
        <f t="shared" si="20"/>
        <v>0</v>
      </c>
      <c r="R113" s="212"/>
      <c r="S113" s="212" t="s">
        <v>184</v>
      </c>
      <c r="T113" s="212" t="s">
        <v>184</v>
      </c>
      <c r="U113" s="212">
        <v>1.303</v>
      </c>
      <c r="V113" s="212">
        <f t="shared" si="21"/>
        <v>123.35</v>
      </c>
      <c r="W113" s="212"/>
      <c r="X113" s="212" t="s">
        <v>225</v>
      </c>
      <c r="Y113" s="213"/>
      <c r="Z113" s="213"/>
      <c r="AA113" s="213"/>
      <c r="AB113" s="213"/>
      <c r="AC113" s="213"/>
      <c r="AD113" s="213"/>
      <c r="AE113" s="213"/>
      <c r="AF113" s="213"/>
      <c r="AG113" s="213" t="s">
        <v>226</v>
      </c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560</v>
      </c>
      <c r="D114" s="238"/>
      <c r="E114" s="239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1079</v>
      </c>
      <c r="D115" s="238"/>
      <c r="E115" s="239">
        <v>94.04</v>
      </c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35"/>
      <c r="B116" s="236"/>
      <c r="C116" s="237" t="s">
        <v>562</v>
      </c>
      <c r="D116" s="238"/>
      <c r="E116" s="239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3"/>
      <c r="Z116" s="213"/>
      <c r="AA116" s="213"/>
      <c r="AB116" s="213"/>
      <c r="AC116" s="213"/>
      <c r="AD116" s="213"/>
      <c r="AE116" s="213"/>
      <c r="AF116" s="213"/>
      <c r="AG116" s="213" t="s">
        <v>228</v>
      </c>
      <c r="AH116" s="213">
        <v>0.0</v>
      </c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1080</v>
      </c>
      <c r="D117" s="238"/>
      <c r="E117" s="239">
        <v>0.63</v>
      </c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14">
        <v>31.0</v>
      </c>
      <c r="B118" s="215" t="s">
        <v>564</v>
      </c>
      <c r="C118" s="216" t="s">
        <v>565</v>
      </c>
      <c r="D118" s="217" t="s">
        <v>234</v>
      </c>
      <c r="E118" s="218">
        <v>4.0</v>
      </c>
      <c r="F118" s="219">
        <v>3305.0</v>
      </c>
      <c r="G118" s="220">
        <f>ROUND(E118*F118,2)</f>
        <v>13220</v>
      </c>
      <c r="H118" s="211"/>
      <c r="I118" s="212">
        <f>ROUND(E118*H118,2)</f>
        <v>0</v>
      </c>
      <c r="J118" s="211"/>
      <c r="K118" s="212">
        <f>ROUND(E118*J118,2)</f>
        <v>0</v>
      </c>
      <c r="L118" s="212">
        <v>21.0</v>
      </c>
      <c r="M118" s="212">
        <f>G118*(1+L118/100)</f>
        <v>15996.2</v>
      </c>
      <c r="N118" s="212">
        <v>2.525</v>
      </c>
      <c r="O118" s="212">
        <f>ROUND(E118*N118,2)</f>
        <v>10.1</v>
      </c>
      <c r="P118" s="212">
        <v>0.0</v>
      </c>
      <c r="Q118" s="212">
        <f>ROUND(E118*P118,2)</f>
        <v>0</v>
      </c>
      <c r="R118" s="212"/>
      <c r="S118" s="212" t="s">
        <v>184</v>
      </c>
      <c r="T118" s="212" t="s">
        <v>184</v>
      </c>
      <c r="U118" s="212">
        <v>1.303</v>
      </c>
      <c r="V118" s="212">
        <f>ROUND(E118*U118,2)</f>
        <v>5.21</v>
      </c>
      <c r="W118" s="212"/>
      <c r="X118" s="212" t="s">
        <v>225</v>
      </c>
      <c r="Y118" s="213"/>
      <c r="Z118" s="213"/>
      <c r="AA118" s="213"/>
      <c r="AB118" s="213"/>
      <c r="AC118" s="213"/>
      <c r="AD118" s="213"/>
      <c r="AE118" s="213"/>
      <c r="AF118" s="213"/>
      <c r="AG118" s="213" t="s">
        <v>226</v>
      </c>
      <c r="AH118" s="213"/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 outlineLevel="1">
      <c r="A119" s="235"/>
      <c r="B119" s="236"/>
      <c r="C119" s="237" t="s">
        <v>566</v>
      </c>
      <c r="D119" s="238"/>
      <c r="E119" s="239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3"/>
      <c r="Z119" s="213"/>
      <c r="AA119" s="213"/>
      <c r="AB119" s="213"/>
      <c r="AC119" s="213"/>
      <c r="AD119" s="213"/>
      <c r="AE119" s="213"/>
      <c r="AF119" s="213"/>
      <c r="AG119" s="213" t="s">
        <v>228</v>
      </c>
      <c r="AH119" s="213">
        <v>0.0</v>
      </c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35"/>
      <c r="B120" s="236"/>
      <c r="C120" s="237" t="s">
        <v>1081</v>
      </c>
      <c r="D120" s="238"/>
      <c r="E120" s="239">
        <v>4.0</v>
      </c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3"/>
      <c r="Z120" s="213"/>
      <c r="AA120" s="213"/>
      <c r="AB120" s="213"/>
      <c r="AC120" s="213"/>
      <c r="AD120" s="213"/>
      <c r="AE120" s="213"/>
      <c r="AF120" s="213"/>
      <c r="AG120" s="213" t="s">
        <v>228</v>
      </c>
      <c r="AH120" s="213">
        <v>0.0</v>
      </c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14">
        <v>32.0</v>
      </c>
      <c r="B121" s="215" t="s">
        <v>568</v>
      </c>
      <c r="C121" s="216" t="s">
        <v>569</v>
      </c>
      <c r="D121" s="217" t="s">
        <v>224</v>
      </c>
      <c r="E121" s="218">
        <v>259.6</v>
      </c>
      <c r="F121" s="219">
        <v>262.0</v>
      </c>
      <c r="G121" s="220">
        <f>ROUND(E121*F121,2)</f>
        <v>68015.2</v>
      </c>
      <c r="H121" s="211"/>
      <c r="I121" s="212">
        <f>ROUND(E121*H121,2)</f>
        <v>0</v>
      </c>
      <c r="J121" s="211"/>
      <c r="K121" s="212">
        <f>ROUND(E121*J121,2)</f>
        <v>0</v>
      </c>
      <c r="L121" s="212">
        <v>21.0</v>
      </c>
      <c r="M121" s="212">
        <f>G121*(1+L121/100)</f>
        <v>82298.392</v>
      </c>
      <c r="N121" s="212">
        <v>0.00418</v>
      </c>
      <c r="O121" s="212">
        <f>ROUND(E121*N121,2)</f>
        <v>1.09</v>
      </c>
      <c r="P121" s="212">
        <v>0.0</v>
      </c>
      <c r="Q121" s="212">
        <f>ROUND(E121*P121,2)</f>
        <v>0</v>
      </c>
      <c r="R121" s="212"/>
      <c r="S121" s="212" t="s">
        <v>184</v>
      </c>
      <c r="T121" s="212" t="s">
        <v>184</v>
      </c>
      <c r="U121" s="212">
        <v>0.963</v>
      </c>
      <c r="V121" s="212">
        <f>ROUND(E121*U121,2)</f>
        <v>249.99</v>
      </c>
      <c r="W121" s="212"/>
      <c r="X121" s="212" t="s">
        <v>225</v>
      </c>
      <c r="Y121" s="213"/>
      <c r="Z121" s="213"/>
      <c r="AA121" s="213"/>
      <c r="AB121" s="213"/>
      <c r="AC121" s="213"/>
      <c r="AD121" s="213"/>
      <c r="AE121" s="213"/>
      <c r="AF121" s="213"/>
      <c r="AG121" s="213" t="s">
        <v>226</v>
      </c>
      <c r="AH121" s="213"/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 outlineLevel="1">
      <c r="A122" s="235"/>
      <c r="B122" s="236"/>
      <c r="C122" s="237" t="s">
        <v>566</v>
      </c>
      <c r="D122" s="238"/>
      <c r="E122" s="239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3"/>
      <c r="Z122" s="213"/>
      <c r="AA122" s="213"/>
      <c r="AB122" s="213"/>
      <c r="AC122" s="213"/>
      <c r="AD122" s="213"/>
      <c r="AE122" s="213"/>
      <c r="AF122" s="213"/>
      <c r="AG122" s="213" t="s">
        <v>228</v>
      </c>
      <c r="AH122" s="213">
        <v>0.0</v>
      </c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 outlineLevel="1">
      <c r="A123" s="235"/>
      <c r="B123" s="236"/>
      <c r="C123" s="237" t="s">
        <v>1082</v>
      </c>
      <c r="D123" s="238"/>
      <c r="E123" s="239">
        <v>8.0</v>
      </c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3"/>
      <c r="Z123" s="213"/>
      <c r="AA123" s="213"/>
      <c r="AB123" s="213"/>
      <c r="AC123" s="213"/>
      <c r="AD123" s="213"/>
      <c r="AE123" s="213"/>
      <c r="AF123" s="213"/>
      <c r="AG123" s="213" t="s">
        <v>228</v>
      </c>
      <c r="AH123" s="213">
        <v>0.0</v>
      </c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</row>
    <row r="124" ht="12.75" customHeight="1" outlineLevel="1">
      <c r="A124" s="235"/>
      <c r="B124" s="236"/>
      <c r="C124" s="237" t="s">
        <v>1083</v>
      </c>
      <c r="D124" s="238"/>
      <c r="E124" s="239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3"/>
      <c r="Z124" s="213"/>
      <c r="AA124" s="213"/>
      <c r="AB124" s="213"/>
      <c r="AC124" s="213"/>
      <c r="AD124" s="213"/>
      <c r="AE124" s="213"/>
      <c r="AF124" s="213"/>
      <c r="AG124" s="213" t="s">
        <v>228</v>
      </c>
      <c r="AH124" s="213">
        <v>0.0</v>
      </c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</row>
    <row r="125" ht="12.75" customHeight="1" outlineLevel="1">
      <c r="A125" s="235"/>
      <c r="B125" s="236"/>
      <c r="C125" s="237" t="s">
        <v>1084</v>
      </c>
      <c r="D125" s="238"/>
      <c r="E125" s="239">
        <v>251.6</v>
      </c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3"/>
      <c r="Z125" s="213"/>
      <c r="AA125" s="213"/>
      <c r="AB125" s="213"/>
      <c r="AC125" s="213"/>
      <c r="AD125" s="213"/>
      <c r="AE125" s="213"/>
      <c r="AF125" s="213"/>
      <c r="AG125" s="213" t="s">
        <v>228</v>
      </c>
      <c r="AH125" s="213">
        <v>0.0</v>
      </c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</row>
    <row r="126" ht="12.75" customHeight="1" outlineLevel="1">
      <c r="A126" s="204">
        <v>33.0</v>
      </c>
      <c r="B126" s="205" t="s">
        <v>572</v>
      </c>
      <c r="C126" s="206" t="s">
        <v>1085</v>
      </c>
      <c r="D126" s="207" t="s">
        <v>372</v>
      </c>
      <c r="E126" s="208">
        <v>1.0</v>
      </c>
      <c r="F126" s="209">
        <v>2398.0</v>
      </c>
      <c r="G126" s="210">
        <f t="shared" ref="G126:G128" si="22">ROUND(E126*F126,2)</f>
        <v>2398</v>
      </c>
      <c r="H126" s="211"/>
      <c r="I126" s="212">
        <f t="shared" ref="I126:I128" si="23">ROUND(E126*H126,2)</f>
        <v>0</v>
      </c>
      <c r="J126" s="211"/>
      <c r="K126" s="212">
        <f t="shared" ref="K126:K128" si="24">ROUND(E126*J126,2)</f>
        <v>0</v>
      </c>
      <c r="L126" s="212">
        <v>21.0</v>
      </c>
      <c r="M126" s="212">
        <f t="shared" ref="M126:M128" si="25">G126*(1+L126/100)</f>
        <v>2901.58</v>
      </c>
      <c r="N126" s="212">
        <v>0.015</v>
      </c>
      <c r="O126" s="212">
        <f t="shared" ref="O126:O128" si="26">ROUND(E126*N126,2)</f>
        <v>0.02</v>
      </c>
      <c r="P126" s="212">
        <v>0.0</v>
      </c>
      <c r="Q126" s="212">
        <f t="shared" ref="Q126:Q128" si="27">ROUND(E126*P126,2)</f>
        <v>0</v>
      </c>
      <c r="R126" s="212"/>
      <c r="S126" s="212" t="s">
        <v>178</v>
      </c>
      <c r="T126" s="212" t="s">
        <v>179</v>
      </c>
      <c r="U126" s="212">
        <v>0.0</v>
      </c>
      <c r="V126" s="212">
        <f t="shared" ref="V126:V128" si="28">ROUND(E126*U126,2)</f>
        <v>0</v>
      </c>
      <c r="W126" s="212"/>
      <c r="X126" s="212" t="s">
        <v>225</v>
      </c>
      <c r="Y126" s="213"/>
      <c r="Z126" s="213"/>
      <c r="AA126" s="213"/>
      <c r="AB126" s="213"/>
      <c r="AC126" s="213"/>
      <c r="AD126" s="213"/>
      <c r="AE126" s="213"/>
      <c r="AF126" s="213"/>
      <c r="AG126" s="213" t="s">
        <v>226</v>
      </c>
      <c r="AH126" s="213"/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</row>
    <row r="127" ht="12.75" customHeight="1" outlineLevel="1">
      <c r="A127" s="204">
        <v>34.0</v>
      </c>
      <c r="B127" s="205" t="s">
        <v>670</v>
      </c>
      <c r="C127" s="206" t="s">
        <v>1086</v>
      </c>
      <c r="D127" s="207" t="s">
        <v>372</v>
      </c>
      <c r="E127" s="208">
        <v>1.0</v>
      </c>
      <c r="F127" s="209">
        <v>2666.1</v>
      </c>
      <c r="G127" s="210">
        <f t="shared" si="22"/>
        <v>2666.1</v>
      </c>
      <c r="H127" s="211"/>
      <c r="I127" s="212">
        <f t="shared" si="23"/>
        <v>0</v>
      </c>
      <c r="J127" s="211"/>
      <c r="K127" s="212">
        <f t="shared" si="24"/>
        <v>0</v>
      </c>
      <c r="L127" s="212">
        <v>21.0</v>
      </c>
      <c r="M127" s="212">
        <f t="shared" si="25"/>
        <v>3225.981</v>
      </c>
      <c r="N127" s="212">
        <v>0.015</v>
      </c>
      <c r="O127" s="212">
        <f t="shared" si="26"/>
        <v>0.02</v>
      </c>
      <c r="P127" s="212">
        <v>0.0</v>
      </c>
      <c r="Q127" s="212">
        <f t="shared" si="27"/>
        <v>0</v>
      </c>
      <c r="R127" s="212"/>
      <c r="S127" s="212" t="s">
        <v>178</v>
      </c>
      <c r="T127" s="212" t="s">
        <v>179</v>
      </c>
      <c r="U127" s="212">
        <v>0.0</v>
      </c>
      <c r="V127" s="212">
        <f t="shared" si="28"/>
        <v>0</v>
      </c>
      <c r="W127" s="212"/>
      <c r="X127" s="212" t="s">
        <v>225</v>
      </c>
      <c r="Y127" s="213"/>
      <c r="Z127" s="213"/>
      <c r="AA127" s="213"/>
      <c r="AB127" s="213"/>
      <c r="AC127" s="213"/>
      <c r="AD127" s="213"/>
      <c r="AE127" s="213"/>
      <c r="AF127" s="213"/>
      <c r="AG127" s="213" t="s">
        <v>226</v>
      </c>
      <c r="AH127" s="213"/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</row>
    <row r="128" ht="12.75" customHeight="1" outlineLevel="1">
      <c r="A128" s="214">
        <v>35.0</v>
      </c>
      <c r="B128" s="215" t="s">
        <v>1087</v>
      </c>
      <c r="C128" s="216" t="s">
        <v>1088</v>
      </c>
      <c r="D128" s="217" t="s">
        <v>251</v>
      </c>
      <c r="E128" s="218">
        <v>132.09</v>
      </c>
      <c r="F128" s="219">
        <v>1664.7</v>
      </c>
      <c r="G128" s="220">
        <f t="shared" si="22"/>
        <v>219890.22</v>
      </c>
      <c r="H128" s="211"/>
      <c r="I128" s="212">
        <f t="shared" si="23"/>
        <v>0</v>
      </c>
      <c r="J128" s="211"/>
      <c r="K128" s="212">
        <f t="shared" si="24"/>
        <v>0</v>
      </c>
      <c r="L128" s="212">
        <v>21.0</v>
      </c>
      <c r="M128" s="212">
        <f t="shared" si="25"/>
        <v>266067.1662</v>
      </c>
      <c r="N128" s="212">
        <v>0.073</v>
      </c>
      <c r="O128" s="212">
        <f t="shared" si="26"/>
        <v>9.64</v>
      </c>
      <c r="P128" s="212">
        <v>0.0</v>
      </c>
      <c r="Q128" s="212">
        <f t="shared" si="27"/>
        <v>0</v>
      </c>
      <c r="R128" s="212" t="s">
        <v>322</v>
      </c>
      <c r="S128" s="212" t="s">
        <v>184</v>
      </c>
      <c r="T128" s="212" t="s">
        <v>184</v>
      </c>
      <c r="U128" s="212">
        <v>0.0</v>
      </c>
      <c r="V128" s="212">
        <f t="shared" si="28"/>
        <v>0</v>
      </c>
      <c r="W128" s="212"/>
      <c r="X128" s="212" t="s">
        <v>323</v>
      </c>
      <c r="Y128" s="213"/>
      <c r="Z128" s="213"/>
      <c r="AA128" s="213"/>
      <c r="AB128" s="213"/>
      <c r="AC128" s="213"/>
      <c r="AD128" s="213"/>
      <c r="AE128" s="213"/>
      <c r="AF128" s="213"/>
      <c r="AG128" s="213" t="s">
        <v>324</v>
      </c>
      <c r="AH128" s="213"/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/>
      <c r="BB128" s="213"/>
    </row>
    <row r="129" ht="12.75" customHeight="1" outlineLevel="1">
      <c r="A129" s="235"/>
      <c r="B129" s="236"/>
      <c r="C129" s="237" t="s">
        <v>1070</v>
      </c>
      <c r="D129" s="238"/>
      <c r="E129" s="239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 t="s">
        <v>228</v>
      </c>
      <c r="AH129" s="213">
        <v>0.0</v>
      </c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</row>
    <row r="130" ht="12.75" customHeight="1" outlineLevel="1">
      <c r="A130" s="235"/>
      <c r="B130" s="236"/>
      <c r="C130" s="237" t="s">
        <v>1089</v>
      </c>
      <c r="D130" s="238"/>
      <c r="E130" s="239">
        <v>132.09</v>
      </c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3"/>
      <c r="Z130" s="213"/>
      <c r="AA130" s="213"/>
      <c r="AB130" s="213"/>
      <c r="AC130" s="213"/>
      <c r="AD130" s="213"/>
      <c r="AE130" s="213"/>
      <c r="AF130" s="213"/>
      <c r="AG130" s="213" t="s">
        <v>228</v>
      </c>
      <c r="AH130" s="213">
        <v>0.0</v>
      </c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/>
      <c r="AU130" s="213"/>
      <c r="AV130" s="213"/>
      <c r="AW130" s="213"/>
      <c r="AX130" s="213"/>
      <c r="AY130" s="213"/>
      <c r="AZ130" s="213"/>
      <c r="BA130" s="213"/>
      <c r="BB130" s="213"/>
    </row>
    <row r="131" ht="12.75" customHeight="1">
      <c r="A131" s="196" t="s">
        <v>173</v>
      </c>
      <c r="B131" s="197" t="s">
        <v>108</v>
      </c>
      <c r="C131" s="198" t="s">
        <v>109</v>
      </c>
      <c r="D131" s="199"/>
      <c r="E131" s="200"/>
      <c r="F131" s="201"/>
      <c r="G131" s="202">
        <f>SUMIF(AG132:AG151,"&lt;&gt;NOR",G132:G151)</f>
        <v>107481.8</v>
      </c>
      <c r="H131" s="203"/>
      <c r="I131" s="203">
        <f>SUM(I132:I151)</f>
        <v>0</v>
      </c>
      <c r="J131" s="203"/>
      <c r="K131" s="203">
        <f>SUM(K132:K151)</f>
        <v>0</v>
      </c>
      <c r="L131" s="203"/>
      <c r="M131" s="203">
        <f>SUM(M132:M151)</f>
        <v>130052.978</v>
      </c>
      <c r="N131" s="203"/>
      <c r="O131" s="203">
        <f>SUM(O132:O151)</f>
        <v>13.29</v>
      </c>
      <c r="P131" s="203"/>
      <c r="Q131" s="203">
        <f>SUM(Q132:Q151)</f>
        <v>0</v>
      </c>
      <c r="R131" s="203"/>
      <c r="S131" s="203"/>
      <c r="T131" s="203"/>
      <c r="U131" s="203"/>
      <c r="V131" s="203">
        <f>SUM(V132:V151)</f>
        <v>38.73</v>
      </c>
      <c r="W131" s="203"/>
      <c r="X131" s="203"/>
      <c r="AG131" s="184" t="s">
        <v>174</v>
      </c>
    </row>
    <row r="132" ht="12.75" customHeight="1" outlineLevel="1">
      <c r="A132" s="214">
        <v>36.0</v>
      </c>
      <c r="B132" s="215" t="s">
        <v>577</v>
      </c>
      <c r="C132" s="216" t="s">
        <v>578</v>
      </c>
      <c r="D132" s="217" t="s">
        <v>372</v>
      </c>
      <c r="E132" s="218">
        <v>7.0</v>
      </c>
      <c r="F132" s="219">
        <v>258.5</v>
      </c>
      <c r="G132" s="220">
        <f>ROUND(E132*F132,2)</f>
        <v>1809.5</v>
      </c>
      <c r="H132" s="211"/>
      <c r="I132" s="212">
        <f>ROUND(E132*H132,2)</f>
        <v>0</v>
      </c>
      <c r="J132" s="211"/>
      <c r="K132" s="212">
        <f>ROUND(E132*J132,2)</f>
        <v>0</v>
      </c>
      <c r="L132" s="212">
        <v>21.0</v>
      </c>
      <c r="M132" s="212">
        <f>G132*(1+L132/100)</f>
        <v>2189.495</v>
      </c>
      <c r="N132" s="212">
        <v>0.0066</v>
      </c>
      <c r="O132" s="212">
        <f>ROUND(E132*N132,2)</f>
        <v>0.05</v>
      </c>
      <c r="P132" s="212">
        <v>0.0</v>
      </c>
      <c r="Q132" s="212">
        <f>ROUND(E132*P132,2)</f>
        <v>0</v>
      </c>
      <c r="R132" s="212"/>
      <c r="S132" s="212" t="s">
        <v>184</v>
      </c>
      <c r="T132" s="212" t="s">
        <v>184</v>
      </c>
      <c r="U132" s="212">
        <v>0.56</v>
      </c>
      <c r="V132" s="212">
        <f>ROUND(E132*U132,2)</f>
        <v>3.92</v>
      </c>
      <c r="W132" s="212"/>
      <c r="X132" s="212" t="s">
        <v>225</v>
      </c>
      <c r="Y132" s="213"/>
      <c r="Z132" s="213"/>
      <c r="AA132" s="213"/>
      <c r="AB132" s="213"/>
      <c r="AC132" s="213"/>
      <c r="AD132" s="213"/>
      <c r="AE132" s="213"/>
      <c r="AF132" s="213"/>
      <c r="AG132" s="213" t="s">
        <v>226</v>
      </c>
      <c r="AH132" s="213"/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</row>
    <row r="133" ht="12.75" customHeight="1" outlineLevel="1">
      <c r="A133" s="235"/>
      <c r="B133" s="236"/>
      <c r="C133" s="237" t="s">
        <v>1090</v>
      </c>
      <c r="D133" s="238"/>
      <c r="E133" s="239">
        <v>7.0</v>
      </c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3"/>
      <c r="Z133" s="213"/>
      <c r="AA133" s="213"/>
      <c r="AB133" s="213"/>
      <c r="AC133" s="213"/>
      <c r="AD133" s="213"/>
      <c r="AE133" s="213"/>
      <c r="AF133" s="213"/>
      <c r="AG133" s="213" t="s">
        <v>228</v>
      </c>
      <c r="AH133" s="213">
        <v>0.0</v>
      </c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</row>
    <row r="134" ht="12.75" customHeight="1" outlineLevel="1">
      <c r="A134" s="214">
        <v>37.0</v>
      </c>
      <c r="B134" s="215" t="s">
        <v>370</v>
      </c>
      <c r="C134" s="216" t="s">
        <v>580</v>
      </c>
      <c r="D134" s="217" t="s">
        <v>224</v>
      </c>
      <c r="E134" s="218">
        <v>0.8</v>
      </c>
      <c r="F134" s="219">
        <v>4125.0</v>
      </c>
      <c r="G134" s="220">
        <f>ROUND(E134*F134,2)</f>
        <v>3300</v>
      </c>
      <c r="H134" s="211"/>
      <c r="I134" s="212">
        <f>ROUND(E134*H134,2)</f>
        <v>0</v>
      </c>
      <c r="J134" s="211"/>
      <c r="K134" s="212">
        <f>ROUND(E134*J134,2)</f>
        <v>0</v>
      </c>
      <c r="L134" s="212">
        <v>21.0</v>
      </c>
      <c r="M134" s="212">
        <f>G134*(1+L134/100)</f>
        <v>3993</v>
      </c>
      <c r="N134" s="212">
        <v>0.0</v>
      </c>
      <c r="O134" s="212">
        <f>ROUND(E134*N134,2)</f>
        <v>0</v>
      </c>
      <c r="P134" s="212">
        <v>0.0</v>
      </c>
      <c r="Q134" s="212">
        <f>ROUND(E134*P134,2)</f>
        <v>0</v>
      </c>
      <c r="R134" s="212"/>
      <c r="S134" s="212" t="s">
        <v>178</v>
      </c>
      <c r="T134" s="212" t="s">
        <v>179</v>
      </c>
      <c r="U134" s="212">
        <v>0.0</v>
      </c>
      <c r="V134" s="212">
        <f>ROUND(E134*U134,2)</f>
        <v>0</v>
      </c>
      <c r="W134" s="212"/>
      <c r="X134" s="212" t="s">
        <v>225</v>
      </c>
      <c r="Y134" s="213"/>
      <c r="Z134" s="213"/>
      <c r="AA134" s="213"/>
      <c r="AB134" s="213"/>
      <c r="AC134" s="213"/>
      <c r="AD134" s="213"/>
      <c r="AE134" s="213"/>
      <c r="AF134" s="213"/>
      <c r="AG134" s="213" t="s">
        <v>226</v>
      </c>
      <c r="AH134" s="213"/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</row>
    <row r="135" ht="12.75" customHeight="1" outlineLevel="1">
      <c r="A135" s="235"/>
      <c r="B135" s="236"/>
      <c r="C135" s="237" t="s">
        <v>562</v>
      </c>
      <c r="D135" s="238"/>
      <c r="E135" s="239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3"/>
      <c r="Z135" s="213"/>
      <c r="AA135" s="213"/>
      <c r="AB135" s="213"/>
      <c r="AC135" s="213"/>
      <c r="AD135" s="213"/>
      <c r="AE135" s="213"/>
      <c r="AF135" s="213"/>
      <c r="AG135" s="213" t="s">
        <v>228</v>
      </c>
      <c r="AH135" s="213">
        <v>0.0</v>
      </c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</row>
    <row r="136" ht="12.75" customHeight="1" outlineLevel="1">
      <c r="A136" s="235"/>
      <c r="B136" s="236"/>
      <c r="C136" s="237" t="s">
        <v>581</v>
      </c>
      <c r="D136" s="238"/>
      <c r="E136" s="239">
        <v>0.8</v>
      </c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3"/>
      <c r="Z136" s="213"/>
      <c r="AA136" s="213"/>
      <c r="AB136" s="213"/>
      <c r="AC136" s="213"/>
      <c r="AD136" s="213"/>
      <c r="AE136" s="213"/>
      <c r="AF136" s="213"/>
      <c r="AG136" s="213" t="s">
        <v>228</v>
      </c>
      <c r="AH136" s="213">
        <v>0.0</v>
      </c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</row>
    <row r="137" ht="12.75" customHeight="1" outlineLevel="1">
      <c r="A137" s="214">
        <v>38.0</v>
      </c>
      <c r="B137" s="215" t="s">
        <v>582</v>
      </c>
      <c r="C137" s="216" t="s">
        <v>583</v>
      </c>
      <c r="D137" s="217" t="s">
        <v>372</v>
      </c>
      <c r="E137" s="218">
        <v>16.0</v>
      </c>
      <c r="F137" s="219">
        <v>1002.8</v>
      </c>
      <c r="G137" s="220">
        <f>ROUND(E137*F137,2)</f>
        <v>16044.8</v>
      </c>
      <c r="H137" s="211"/>
      <c r="I137" s="212">
        <f>ROUND(E137*H137,2)</f>
        <v>0</v>
      </c>
      <c r="J137" s="211"/>
      <c r="K137" s="212">
        <f>ROUND(E137*J137,2)</f>
        <v>0</v>
      </c>
      <c r="L137" s="212">
        <v>21.0</v>
      </c>
      <c r="M137" s="212">
        <f>G137*(1+L137/100)</f>
        <v>19414.208</v>
      </c>
      <c r="N137" s="212">
        <v>0.0</v>
      </c>
      <c r="O137" s="212">
        <f>ROUND(E137*N137,2)</f>
        <v>0</v>
      </c>
      <c r="P137" s="212">
        <v>0.0</v>
      </c>
      <c r="Q137" s="212">
        <f>ROUND(E137*P137,2)</f>
        <v>0</v>
      </c>
      <c r="R137" s="212"/>
      <c r="S137" s="212" t="s">
        <v>184</v>
      </c>
      <c r="T137" s="212" t="s">
        <v>184</v>
      </c>
      <c r="U137" s="212">
        <v>1.752</v>
      </c>
      <c r="V137" s="212">
        <f>ROUND(E137*U137,2)</f>
        <v>28.03</v>
      </c>
      <c r="W137" s="212"/>
      <c r="X137" s="212" t="s">
        <v>225</v>
      </c>
      <c r="Y137" s="213"/>
      <c r="Z137" s="213"/>
      <c r="AA137" s="213"/>
      <c r="AB137" s="213"/>
      <c r="AC137" s="213"/>
      <c r="AD137" s="213"/>
      <c r="AE137" s="213"/>
      <c r="AF137" s="213"/>
      <c r="AG137" s="213" t="s">
        <v>226</v>
      </c>
      <c r="AH137" s="213"/>
      <c r="AI137" s="213"/>
      <c r="AJ137" s="213"/>
      <c r="AK137" s="213"/>
      <c r="AL137" s="213"/>
      <c r="AM137" s="213"/>
      <c r="AN137" s="213"/>
      <c r="AO137" s="213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</row>
    <row r="138" ht="12.75" customHeight="1" outlineLevel="1">
      <c r="A138" s="235"/>
      <c r="B138" s="236"/>
      <c r="C138" s="237" t="s">
        <v>1091</v>
      </c>
      <c r="D138" s="238"/>
      <c r="E138" s="239">
        <v>16.0</v>
      </c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3"/>
      <c r="Z138" s="213"/>
      <c r="AA138" s="213"/>
      <c r="AB138" s="213"/>
      <c r="AC138" s="213"/>
      <c r="AD138" s="213"/>
      <c r="AE138" s="213"/>
      <c r="AF138" s="213"/>
      <c r="AG138" s="213" t="s">
        <v>228</v>
      </c>
      <c r="AH138" s="213">
        <v>0.0</v>
      </c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</row>
    <row r="139" ht="12.75" customHeight="1" outlineLevel="1">
      <c r="A139" s="204">
        <v>39.0</v>
      </c>
      <c r="B139" s="205" t="s">
        <v>585</v>
      </c>
      <c r="C139" s="206" t="s">
        <v>586</v>
      </c>
      <c r="D139" s="207" t="s">
        <v>372</v>
      </c>
      <c r="E139" s="208">
        <v>4.0</v>
      </c>
      <c r="F139" s="209">
        <v>1387.0</v>
      </c>
      <c r="G139" s="210">
        <f t="shared" ref="G139:G140" si="29">ROUND(E139*F139,2)</f>
        <v>5548</v>
      </c>
      <c r="H139" s="211"/>
      <c r="I139" s="212">
        <f t="shared" ref="I139:I140" si="30">ROUND(E139*H139,2)</f>
        <v>0</v>
      </c>
      <c r="J139" s="211"/>
      <c r="K139" s="212">
        <f t="shared" ref="K139:K140" si="31">ROUND(E139*J139,2)</f>
        <v>0</v>
      </c>
      <c r="L139" s="212">
        <v>21.0</v>
      </c>
      <c r="M139" s="212">
        <f t="shared" ref="M139:M140" si="32">G139*(1+L139/100)</f>
        <v>6713.08</v>
      </c>
      <c r="N139" s="212">
        <v>0.00702</v>
      </c>
      <c r="O139" s="212">
        <f t="shared" ref="O139:O140" si="33">ROUND(E139*N139,2)</f>
        <v>0.03</v>
      </c>
      <c r="P139" s="212">
        <v>0.0</v>
      </c>
      <c r="Q139" s="212">
        <f t="shared" ref="Q139:Q140" si="34">ROUND(E139*P139,2)</f>
        <v>0</v>
      </c>
      <c r="R139" s="212"/>
      <c r="S139" s="212" t="s">
        <v>184</v>
      </c>
      <c r="T139" s="212" t="s">
        <v>184</v>
      </c>
      <c r="U139" s="212">
        <v>1.694</v>
      </c>
      <c r="V139" s="212">
        <f t="shared" ref="V139:V140" si="35">ROUND(E139*U139,2)</f>
        <v>6.78</v>
      </c>
      <c r="W139" s="212"/>
      <c r="X139" s="212" t="s">
        <v>225</v>
      </c>
      <c r="Y139" s="213"/>
      <c r="Z139" s="213"/>
      <c r="AA139" s="213"/>
      <c r="AB139" s="213"/>
      <c r="AC139" s="213"/>
      <c r="AD139" s="213"/>
      <c r="AE139" s="213"/>
      <c r="AF139" s="213"/>
      <c r="AG139" s="213" t="s">
        <v>226</v>
      </c>
      <c r="AH139" s="213"/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</row>
    <row r="140" ht="12.75" customHeight="1" outlineLevel="1">
      <c r="A140" s="214">
        <v>40.0</v>
      </c>
      <c r="B140" s="215" t="s">
        <v>587</v>
      </c>
      <c r="C140" s="216" t="s">
        <v>588</v>
      </c>
      <c r="D140" s="217" t="s">
        <v>372</v>
      </c>
      <c r="E140" s="218">
        <v>4.0</v>
      </c>
      <c r="F140" s="219">
        <v>4350.5</v>
      </c>
      <c r="G140" s="220">
        <f t="shared" si="29"/>
        <v>17402</v>
      </c>
      <c r="H140" s="211"/>
      <c r="I140" s="212">
        <f t="shared" si="30"/>
        <v>0</v>
      </c>
      <c r="J140" s="211"/>
      <c r="K140" s="212">
        <f t="shared" si="31"/>
        <v>0</v>
      </c>
      <c r="L140" s="212">
        <v>21.0</v>
      </c>
      <c r="M140" s="212">
        <f t="shared" si="32"/>
        <v>21056.42</v>
      </c>
      <c r="N140" s="212">
        <v>0.162</v>
      </c>
      <c r="O140" s="212">
        <f t="shared" si="33"/>
        <v>0.65</v>
      </c>
      <c r="P140" s="212">
        <v>0.0</v>
      </c>
      <c r="Q140" s="212">
        <f t="shared" si="34"/>
        <v>0</v>
      </c>
      <c r="R140" s="212" t="s">
        <v>322</v>
      </c>
      <c r="S140" s="212" t="s">
        <v>184</v>
      </c>
      <c r="T140" s="212" t="s">
        <v>184</v>
      </c>
      <c r="U140" s="212">
        <v>0.0</v>
      </c>
      <c r="V140" s="212">
        <f t="shared" si="35"/>
        <v>0</v>
      </c>
      <c r="W140" s="212"/>
      <c r="X140" s="212" t="s">
        <v>323</v>
      </c>
      <c r="Y140" s="213"/>
      <c r="Z140" s="213"/>
      <c r="AA140" s="213"/>
      <c r="AB140" s="213"/>
      <c r="AC140" s="213"/>
      <c r="AD140" s="213"/>
      <c r="AE140" s="213"/>
      <c r="AF140" s="213"/>
      <c r="AG140" s="213" t="s">
        <v>324</v>
      </c>
      <c r="AH140" s="213"/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</row>
    <row r="141" ht="12.75" customHeight="1" outlineLevel="1">
      <c r="A141" s="235"/>
      <c r="B141" s="236"/>
      <c r="C141" s="237" t="s">
        <v>589</v>
      </c>
      <c r="D141" s="238"/>
      <c r="E141" s="239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3"/>
      <c r="Z141" s="213"/>
      <c r="AA141" s="213"/>
      <c r="AB141" s="213"/>
      <c r="AC141" s="213"/>
      <c r="AD141" s="213"/>
      <c r="AE141" s="213"/>
      <c r="AF141" s="213"/>
      <c r="AG141" s="213" t="s">
        <v>228</v>
      </c>
      <c r="AH141" s="213">
        <v>0.0</v>
      </c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</row>
    <row r="142" ht="12.75" customHeight="1" outlineLevel="1">
      <c r="A142" s="235"/>
      <c r="B142" s="236"/>
      <c r="C142" s="237" t="s">
        <v>584</v>
      </c>
      <c r="D142" s="238"/>
      <c r="E142" s="239">
        <v>4.0</v>
      </c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3"/>
      <c r="Z142" s="213"/>
      <c r="AA142" s="213"/>
      <c r="AB142" s="213"/>
      <c r="AC142" s="213"/>
      <c r="AD142" s="213"/>
      <c r="AE142" s="213"/>
      <c r="AF142" s="213"/>
      <c r="AG142" s="213" t="s">
        <v>228</v>
      </c>
      <c r="AH142" s="213">
        <v>0.0</v>
      </c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</row>
    <row r="143" ht="12.75" customHeight="1" outlineLevel="1">
      <c r="A143" s="204">
        <v>41.0</v>
      </c>
      <c r="B143" s="205" t="s">
        <v>1092</v>
      </c>
      <c r="C143" s="206" t="s">
        <v>1093</v>
      </c>
      <c r="D143" s="207" t="s">
        <v>372</v>
      </c>
      <c r="E143" s="208">
        <v>1.0</v>
      </c>
      <c r="F143" s="209">
        <v>258.0</v>
      </c>
      <c r="G143" s="210">
        <f t="shared" ref="G143:G151" si="36">ROUND(E143*F143,2)</f>
        <v>258</v>
      </c>
      <c r="H143" s="211"/>
      <c r="I143" s="212">
        <f t="shared" ref="I143:I151" si="37">ROUND(E143*H143,2)</f>
        <v>0</v>
      </c>
      <c r="J143" s="211"/>
      <c r="K143" s="212">
        <f t="shared" ref="K143:K151" si="38">ROUND(E143*J143,2)</f>
        <v>0</v>
      </c>
      <c r="L143" s="212">
        <v>21.0</v>
      </c>
      <c r="M143" s="212">
        <f t="shared" ref="M143:M151" si="39">G143*(1+L143/100)</f>
        <v>312.18</v>
      </c>
      <c r="N143" s="212">
        <v>0.051</v>
      </c>
      <c r="O143" s="212">
        <f t="shared" ref="O143:O151" si="40">ROUND(E143*N143,2)</f>
        <v>0.05</v>
      </c>
      <c r="P143" s="212">
        <v>0.0</v>
      </c>
      <c r="Q143" s="212">
        <f t="shared" ref="Q143:Q151" si="41">ROUND(E143*P143,2)</f>
        <v>0</v>
      </c>
      <c r="R143" s="212" t="s">
        <v>322</v>
      </c>
      <c r="S143" s="212" t="s">
        <v>184</v>
      </c>
      <c r="T143" s="212" t="s">
        <v>184</v>
      </c>
      <c r="U143" s="212">
        <v>0.0</v>
      </c>
      <c r="V143" s="212">
        <f t="shared" ref="V143:V151" si="42">ROUND(E143*U143,2)</f>
        <v>0</v>
      </c>
      <c r="W143" s="212"/>
      <c r="X143" s="212" t="s">
        <v>323</v>
      </c>
      <c r="Y143" s="213"/>
      <c r="Z143" s="213"/>
      <c r="AA143" s="213"/>
      <c r="AB143" s="213"/>
      <c r="AC143" s="213"/>
      <c r="AD143" s="213"/>
      <c r="AE143" s="213"/>
      <c r="AF143" s="213"/>
      <c r="AG143" s="213" t="s">
        <v>1094</v>
      </c>
      <c r="AH143" s="213"/>
      <c r="AI143" s="213"/>
      <c r="AJ143" s="213"/>
      <c r="AK143" s="213"/>
      <c r="AL143" s="213"/>
      <c r="AM143" s="213"/>
      <c r="AN143" s="213"/>
      <c r="AO143" s="213"/>
      <c r="AP143" s="213"/>
      <c r="AQ143" s="213"/>
      <c r="AR143" s="213"/>
      <c r="AS143" s="213"/>
      <c r="AT143" s="213"/>
      <c r="AU143" s="213"/>
      <c r="AV143" s="213"/>
      <c r="AW143" s="213"/>
      <c r="AX143" s="213"/>
      <c r="AY143" s="213"/>
      <c r="AZ143" s="213"/>
      <c r="BA143" s="213"/>
      <c r="BB143" s="213"/>
    </row>
    <row r="144" ht="12.75" customHeight="1" outlineLevel="1">
      <c r="A144" s="204">
        <v>42.0</v>
      </c>
      <c r="B144" s="205" t="s">
        <v>1095</v>
      </c>
      <c r="C144" s="206" t="s">
        <v>1096</v>
      </c>
      <c r="D144" s="207" t="s">
        <v>372</v>
      </c>
      <c r="E144" s="208">
        <v>5.0</v>
      </c>
      <c r="F144" s="209">
        <v>230.0</v>
      </c>
      <c r="G144" s="210">
        <f t="shared" si="36"/>
        <v>1150</v>
      </c>
      <c r="H144" s="211"/>
      <c r="I144" s="212">
        <f t="shared" si="37"/>
        <v>0</v>
      </c>
      <c r="J144" s="211"/>
      <c r="K144" s="212">
        <f t="shared" si="38"/>
        <v>0</v>
      </c>
      <c r="L144" s="212">
        <v>21.0</v>
      </c>
      <c r="M144" s="212">
        <f t="shared" si="39"/>
        <v>1391.5</v>
      </c>
      <c r="N144" s="212">
        <v>0.068</v>
      </c>
      <c r="O144" s="212">
        <f t="shared" si="40"/>
        <v>0.34</v>
      </c>
      <c r="P144" s="212">
        <v>0.0</v>
      </c>
      <c r="Q144" s="212">
        <f t="shared" si="41"/>
        <v>0</v>
      </c>
      <c r="R144" s="212" t="s">
        <v>322</v>
      </c>
      <c r="S144" s="212" t="s">
        <v>184</v>
      </c>
      <c r="T144" s="212" t="s">
        <v>184</v>
      </c>
      <c r="U144" s="212">
        <v>0.0</v>
      </c>
      <c r="V144" s="212">
        <f t="shared" si="42"/>
        <v>0</v>
      </c>
      <c r="W144" s="212"/>
      <c r="X144" s="212" t="s">
        <v>323</v>
      </c>
      <c r="Y144" s="213"/>
      <c r="Z144" s="213"/>
      <c r="AA144" s="213"/>
      <c r="AB144" s="213"/>
      <c r="AC144" s="213"/>
      <c r="AD144" s="213"/>
      <c r="AE144" s="213"/>
      <c r="AF144" s="213"/>
      <c r="AG144" s="213" t="s">
        <v>1094</v>
      </c>
      <c r="AH144" s="213"/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</row>
    <row r="145" ht="12.75" customHeight="1" outlineLevel="1">
      <c r="A145" s="204">
        <v>43.0</v>
      </c>
      <c r="B145" s="205" t="s">
        <v>1097</v>
      </c>
      <c r="C145" s="206" t="s">
        <v>1098</v>
      </c>
      <c r="D145" s="207" t="s">
        <v>372</v>
      </c>
      <c r="E145" s="208">
        <v>1.0</v>
      </c>
      <c r="F145" s="209">
        <v>263.5</v>
      </c>
      <c r="G145" s="210">
        <f t="shared" si="36"/>
        <v>263.5</v>
      </c>
      <c r="H145" s="211"/>
      <c r="I145" s="212">
        <f t="shared" si="37"/>
        <v>0</v>
      </c>
      <c r="J145" s="211"/>
      <c r="K145" s="212">
        <f t="shared" si="38"/>
        <v>0</v>
      </c>
      <c r="L145" s="212">
        <v>21.0</v>
      </c>
      <c r="M145" s="212">
        <f t="shared" si="39"/>
        <v>318.835</v>
      </c>
      <c r="N145" s="212">
        <v>0.08</v>
      </c>
      <c r="O145" s="212">
        <f t="shared" si="40"/>
        <v>0.08</v>
      </c>
      <c r="P145" s="212">
        <v>0.0</v>
      </c>
      <c r="Q145" s="212">
        <f t="shared" si="41"/>
        <v>0</v>
      </c>
      <c r="R145" s="212" t="s">
        <v>322</v>
      </c>
      <c r="S145" s="212" t="s">
        <v>184</v>
      </c>
      <c r="T145" s="212" t="s">
        <v>184</v>
      </c>
      <c r="U145" s="212">
        <v>0.0</v>
      </c>
      <c r="V145" s="212">
        <f t="shared" si="42"/>
        <v>0</v>
      </c>
      <c r="W145" s="212"/>
      <c r="X145" s="212" t="s">
        <v>323</v>
      </c>
      <c r="Y145" s="213"/>
      <c r="Z145" s="213"/>
      <c r="AA145" s="213"/>
      <c r="AB145" s="213"/>
      <c r="AC145" s="213"/>
      <c r="AD145" s="213"/>
      <c r="AE145" s="213"/>
      <c r="AF145" s="213"/>
      <c r="AG145" s="213" t="s">
        <v>1094</v>
      </c>
      <c r="AH145" s="213"/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</row>
    <row r="146" ht="12.75" customHeight="1" outlineLevel="1">
      <c r="A146" s="204">
        <v>44.0</v>
      </c>
      <c r="B146" s="205" t="s">
        <v>590</v>
      </c>
      <c r="C146" s="206" t="s">
        <v>591</v>
      </c>
      <c r="D146" s="207" t="s">
        <v>372</v>
      </c>
      <c r="E146" s="208">
        <v>2.0</v>
      </c>
      <c r="F146" s="209">
        <v>1032.0</v>
      </c>
      <c r="G146" s="210">
        <f t="shared" si="36"/>
        <v>2064</v>
      </c>
      <c r="H146" s="211"/>
      <c r="I146" s="212">
        <f t="shared" si="37"/>
        <v>0</v>
      </c>
      <c r="J146" s="211"/>
      <c r="K146" s="212">
        <f t="shared" si="38"/>
        <v>0</v>
      </c>
      <c r="L146" s="212">
        <v>21.0</v>
      </c>
      <c r="M146" s="212">
        <f t="shared" si="39"/>
        <v>2497.44</v>
      </c>
      <c r="N146" s="212">
        <v>0.185</v>
      </c>
      <c r="O146" s="212">
        <f t="shared" si="40"/>
        <v>0.37</v>
      </c>
      <c r="P146" s="212">
        <v>0.0</v>
      </c>
      <c r="Q146" s="212">
        <f t="shared" si="41"/>
        <v>0</v>
      </c>
      <c r="R146" s="212" t="s">
        <v>322</v>
      </c>
      <c r="S146" s="212" t="s">
        <v>184</v>
      </c>
      <c r="T146" s="212" t="s">
        <v>184</v>
      </c>
      <c r="U146" s="212">
        <v>0.0</v>
      </c>
      <c r="V146" s="212">
        <f t="shared" si="42"/>
        <v>0</v>
      </c>
      <c r="W146" s="212"/>
      <c r="X146" s="212" t="s">
        <v>323</v>
      </c>
      <c r="Y146" s="213"/>
      <c r="Z146" s="213"/>
      <c r="AA146" s="213"/>
      <c r="AB146" s="213"/>
      <c r="AC146" s="213"/>
      <c r="AD146" s="213"/>
      <c r="AE146" s="213"/>
      <c r="AF146" s="213"/>
      <c r="AG146" s="213" t="s">
        <v>324</v>
      </c>
      <c r="AH146" s="213"/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</row>
    <row r="147" ht="12.75" customHeight="1" outlineLevel="1">
      <c r="A147" s="204">
        <v>45.0</v>
      </c>
      <c r="B147" s="205" t="s">
        <v>1099</v>
      </c>
      <c r="C147" s="206" t="s">
        <v>1100</v>
      </c>
      <c r="D147" s="207" t="s">
        <v>372</v>
      </c>
      <c r="E147" s="208">
        <v>4.0</v>
      </c>
      <c r="F147" s="209">
        <v>1587.0</v>
      </c>
      <c r="G147" s="210">
        <f t="shared" si="36"/>
        <v>6348</v>
      </c>
      <c r="H147" s="211"/>
      <c r="I147" s="212">
        <f t="shared" si="37"/>
        <v>0</v>
      </c>
      <c r="J147" s="211"/>
      <c r="K147" s="212">
        <f t="shared" si="38"/>
        <v>0</v>
      </c>
      <c r="L147" s="212">
        <v>21.0</v>
      </c>
      <c r="M147" s="212">
        <f t="shared" si="39"/>
        <v>7681.08</v>
      </c>
      <c r="N147" s="212">
        <v>0.37</v>
      </c>
      <c r="O147" s="212">
        <f t="shared" si="40"/>
        <v>1.48</v>
      </c>
      <c r="P147" s="212">
        <v>0.0</v>
      </c>
      <c r="Q147" s="212">
        <f t="shared" si="41"/>
        <v>0</v>
      </c>
      <c r="R147" s="212" t="s">
        <v>322</v>
      </c>
      <c r="S147" s="212" t="s">
        <v>184</v>
      </c>
      <c r="T147" s="212" t="s">
        <v>184</v>
      </c>
      <c r="U147" s="212">
        <v>0.0</v>
      </c>
      <c r="V147" s="212">
        <f t="shared" si="42"/>
        <v>0</v>
      </c>
      <c r="W147" s="212"/>
      <c r="X147" s="212" t="s">
        <v>323</v>
      </c>
      <c r="Y147" s="213"/>
      <c r="Z147" s="213"/>
      <c r="AA147" s="213"/>
      <c r="AB147" s="213"/>
      <c r="AC147" s="213"/>
      <c r="AD147" s="213"/>
      <c r="AE147" s="213"/>
      <c r="AF147" s="213"/>
      <c r="AG147" s="213" t="s">
        <v>324</v>
      </c>
      <c r="AH147" s="213"/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</row>
    <row r="148" ht="12.75" customHeight="1" outlineLevel="1">
      <c r="A148" s="204">
        <v>46.0</v>
      </c>
      <c r="B148" s="205" t="s">
        <v>592</v>
      </c>
      <c r="C148" s="206" t="s">
        <v>593</v>
      </c>
      <c r="D148" s="207" t="s">
        <v>372</v>
      </c>
      <c r="E148" s="208">
        <v>2.0</v>
      </c>
      <c r="F148" s="209">
        <v>2115.0</v>
      </c>
      <c r="G148" s="210">
        <f t="shared" si="36"/>
        <v>4230</v>
      </c>
      <c r="H148" s="211"/>
      <c r="I148" s="212">
        <f t="shared" si="37"/>
        <v>0</v>
      </c>
      <c r="J148" s="211"/>
      <c r="K148" s="212">
        <f t="shared" si="38"/>
        <v>0</v>
      </c>
      <c r="L148" s="212">
        <v>21.0</v>
      </c>
      <c r="M148" s="212">
        <f t="shared" si="39"/>
        <v>5118.3</v>
      </c>
      <c r="N148" s="212">
        <v>0.74</v>
      </c>
      <c r="O148" s="212">
        <f t="shared" si="40"/>
        <v>1.48</v>
      </c>
      <c r="P148" s="212">
        <v>0.0</v>
      </c>
      <c r="Q148" s="212">
        <f t="shared" si="41"/>
        <v>0</v>
      </c>
      <c r="R148" s="212" t="s">
        <v>322</v>
      </c>
      <c r="S148" s="212" t="s">
        <v>184</v>
      </c>
      <c r="T148" s="212" t="s">
        <v>184</v>
      </c>
      <c r="U148" s="212">
        <v>0.0</v>
      </c>
      <c r="V148" s="212">
        <f t="shared" si="42"/>
        <v>0</v>
      </c>
      <c r="W148" s="212"/>
      <c r="X148" s="212" t="s">
        <v>323</v>
      </c>
      <c r="Y148" s="213"/>
      <c r="Z148" s="213"/>
      <c r="AA148" s="213"/>
      <c r="AB148" s="213"/>
      <c r="AC148" s="213"/>
      <c r="AD148" s="213"/>
      <c r="AE148" s="213"/>
      <c r="AF148" s="213"/>
      <c r="AG148" s="213" t="s">
        <v>324</v>
      </c>
      <c r="AH148" s="213"/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</row>
    <row r="149" ht="12.75" customHeight="1" outlineLevel="1">
      <c r="A149" s="204">
        <v>47.0</v>
      </c>
      <c r="B149" s="205" t="s">
        <v>596</v>
      </c>
      <c r="C149" s="206" t="s">
        <v>597</v>
      </c>
      <c r="D149" s="207" t="s">
        <v>372</v>
      </c>
      <c r="E149" s="208">
        <v>4.0</v>
      </c>
      <c r="F149" s="209">
        <v>1727.0</v>
      </c>
      <c r="G149" s="210">
        <f t="shared" si="36"/>
        <v>6908</v>
      </c>
      <c r="H149" s="211"/>
      <c r="I149" s="212">
        <f t="shared" si="37"/>
        <v>0</v>
      </c>
      <c r="J149" s="211"/>
      <c r="K149" s="212">
        <f t="shared" si="38"/>
        <v>0</v>
      </c>
      <c r="L149" s="212">
        <v>21.0</v>
      </c>
      <c r="M149" s="212">
        <f t="shared" si="39"/>
        <v>8358.68</v>
      </c>
      <c r="N149" s="212">
        <v>0.585</v>
      </c>
      <c r="O149" s="212">
        <f t="shared" si="40"/>
        <v>2.34</v>
      </c>
      <c r="P149" s="212">
        <v>0.0</v>
      </c>
      <c r="Q149" s="212">
        <f t="shared" si="41"/>
        <v>0</v>
      </c>
      <c r="R149" s="212" t="s">
        <v>322</v>
      </c>
      <c r="S149" s="212" t="s">
        <v>184</v>
      </c>
      <c r="T149" s="212" t="s">
        <v>184</v>
      </c>
      <c r="U149" s="212">
        <v>0.0</v>
      </c>
      <c r="V149" s="212">
        <f t="shared" si="42"/>
        <v>0</v>
      </c>
      <c r="W149" s="212"/>
      <c r="X149" s="212" t="s">
        <v>323</v>
      </c>
      <c r="Y149" s="213"/>
      <c r="Z149" s="213"/>
      <c r="AA149" s="213"/>
      <c r="AB149" s="213"/>
      <c r="AC149" s="213"/>
      <c r="AD149" s="213"/>
      <c r="AE149" s="213"/>
      <c r="AF149" s="213"/>
      <c r="AG149" s="213" t="s">
        <v>324</v>
      </c>
      <c r="AH149" s="213"/>
      <c r="AI149" s="213"/>
      <c r="AJ149" s="213"/>
      <c r="AK149" s="213"/>
      <c r="AL149" s="213"/>
      <c r="AM149" s="213"/>
      <c r="AN149" s="213"/>
      <c r="AO149" s="213"/>
      <c r="AP149" s="213"/>
      <c r="AQ149" s="213"/>
      <c r="AR149" s="213"/>
      <c r="AS149" s="213"/>
      <c r="AT149" s="213"/>
      <c r="AU149" s="213"/>
      <c r="AV149" s="213"/>
      <c r="AW149" s="213"/>
      <c r="AX149" s="213"/>
      <c r="AY149" s="213"/>
      <c r="AZ149" s="213"/>
      <c r="BA149" s="213"/>
      <c r="BB149" s="213"/>
    </row>
    <row r="150" ht="12.75" customHeight="1" outlineLevel="1">
      <c r="A150" s="204">
        <v>48.0</v>
      </c>
      <c r="B150" s="205" t="s">
        <v>598</v>
      </c>
      <c r="C150" s="206" t="s">
        <v>599</v>
      </c>
      <c r="D150" s="207" t="s">
        <v>372</v>
      </c>
      <c r="E150" s="208">
        <v>4.0</v>
      </c>
      <c r="F150" s="209">
        <v>9915.0</v>
      </c>
      <c r="G150" s="210">
        <f t="shared" si="36"/>
        <v>39660</v>
      </c>
      <c r="H150" s="211"/>
      <c r="I150" s="212">
        <f t="shared" si="37"/>
        <v>0</v>
      </c>
      <c r="J150" s="211"/>
      <c r="K150" s="212">
        <f t="shared" si="38"/>
        <v>0</v>
      </c>
      <c r="L150" s="212">
        <v>21.0</v>
      </c>
      <c r="M150" s="212">
        <f t="shared" si="39"/>
        <v>47988.6</v>
      </c>
      <c r="N150" s="212">
        <v>1.6</v>
      </c>
      <c r="O150" s="212">
        <f t="shared" si="40"/>
        <v>6.4</v>
      </c>
      <c r="P150" s="212">
        <v>0.0</v>
      </c>
      <c r="Q150" s="212">
        <f t="shared" si="41"/>
        <v>0</v>
      </c>
      <c r="R150" s="212" t="s">
        <v>322</v>
      </c>
      <c r="S150" s="212" t="s">
        <v>184</v>
      </c>
      <c r="T150" s="212" t="s">
        <v>184</v>
      </c>
      <c r="U150" s="212">
        <v>0.0</v>
      </c>
      <c r="V150" s="212">
        <f t="shared" si="42"/>
        <v>0</v>
      </c>
      <c r="W150" s="212"/>
      <c r="X150" s="212" t="s">
        <v>323</v>
      </c>
      <c r="Y150" s="213"/>
      <c r="Z150" s="213"/>
      <c r="AA150" s="213"/>
      <c r="AB150" s="213"/>
      <c r="AC150" s="213"/>
      <c r="AD150" s="213"/>
      <c r="AE150" s="213"/>
      <c r="AF150" s="213"/>
      <c r="AG150" s="213" t="s">
        <v>324</v>
      </c>
      <c r="AH150" s="213"/>
      <c r="AI150" s="213"/>
      <c r="AJ150" s="213"/>
      <c r="AK150" s="213"/>
      <c r="AL150" s="213"/>
      <c r="AM150" s="213"/>
      <c r="AN150" s="213"/>
      <c r="AO150" s="213"/>
      <c r="AP150" s="213"/>
      <c r="AQ150" s="213"/>
      <c r="AR150" s="213"/>
      <c r="AS150" s="213"/>
      <c r="AT150" s="213"/>
      <c r="AU150" s="213"/>
      <c r="AV150" s="213"/>
      <c r="AW150" s="213"/>
      <c r="AX150" s="213"/>
      <c r="AY150" s="213"/>
      <c r="AZ150" s="213"/>
      <c r="BA150" s="213"/>
      <c r="BB150" s="213"/>
    </row>
    <row r="151" ht="12.75" customHeight="1" outlineLevel="1">
      <c r="A151" s="204">
        <v>49.0</v>
      </c>
      <c r="B151" s="205" t="s">
        <v>600</v>
      </c>
      <c r="C151" s="206" t="s">
        <v>601</v>
      </c>
      <c r="D151" s="207" t="s">
        <v>372</v>
      </c>
      <c r="E151" s="208">
        <v>12.0</v>
      </c>
      <c r="F151" s="209">
        <v>208.0</v>
      </c>
      <c r="G151" s="210">
        <f t="shared" si="36"/>
        <v>2496</v>
      </c>
      <c r="H151" s="211"/>
      <c r="I151" s="212">
        <f t="shared" si="37"/>
        <v>0</v>
      </c>
      <c r="J151" s="211"/>
      <c r="K151" s="212">
        <f t="shared" si="38"/>
        <v>0</v>
      </c>
      <c r="L151" s="212">
        <v>21.0</v>
      </c>
      <c r="M151" s="212">
        <f t="shared" si="39"/>
        <v>3020.16</v>
      </c>
      <c r="N151" s="212">
        <v>0.002</v>
      </c>
      <c r="O151" s="212">
        <f t="shared" si="40"/>
        <v>0.02</v>
      </c>
      <c r="P151" s="212">
        <v>0.0</v>
      </c>
      <c r="Q151" s="212">
        <f t="shared" si="41"/>
        <v>0</v>
      </c>
      <c r="R151" s="212" t="s">
        <v>322</v>
      </c>
      <c r="S151" s="212" t="s">
        <v>184</v>
      </c>
      <c r="T151" s="212" t="s">
        <v>184</v>
      </c>
      <c r="U151" s="212">
        <v>0.0</v>
      </c>
      <c r="V151" s="212">
        <f t="shared" si="42"/>
        <v>0</v>
      </c>
      <c r="W151" s="212"/>
      <c r="X151" s="212" t="s">
        <v>323</v>
      </c>
      <c r="Y151" s="213"/>
      <c r="Z151" s="213"/>
      <c r="AA151" s="213"/>
      <c r="AB151" s="213"/>
      <c r="AC151" s="213"/>
      <c r="AD151" s="213"/>
      <c r="AE151" s="213"/>
      <c r="AF151" s="213"/>
      <c r="AG151" s="213" t="s">
        <v>324</v>
      </c>
      <c r="AH151" s="213"/>
      <c r="AI151" s="213"/>
      <c r="AJ151" s="213"/>
      <c r="AK151" s="213"/>
      <c r="AL151" s="213"/>
      <c r="AM151" s="213"/>
      <c r="AN151" s="213"/>
      <c r="AO151" s="213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</row>
    <row r="152" ht="12.75" customHeight="1">
      <c r="A152" s="196" t="s">
        <v>173</v>
      </c>
      <c r="B152" s="197" t="s">
        <v>120</v>
      </c>
      <c r="C152" s="198" t="s">
        <v>121</v>
      </c>
      <c r="D152" s="199"/>
      <c r="E152" s="200"/>
      <c r="F152" s="201"/>
      <c r="G152" s="202">
        <f>SUMIF(AG153,"&lt;&gt;NOR",G153)</f>
        <v>842.98</v>
      </c>
      <c r="H152" s="203"/>
      <c r="I152" s="203">
        <f>SUM(I153)</f>
        <v>0</v>
      </c>
      <c r="J152" s="203"/>
      <c r="K152" s="203">
        <f>SUM(K153)</f>
        <v>0</v>
      </c>
      <c r="L152" s="203"/>
      <c r="M152" s="203">
        <f>SUM(M153)</f>
        <v>1020.0058</v>
      </c>
      <c r="N152" s="203"/>
      <c r="O152" s="203">
        <f>SUM(O153)</f>
        <v>0</v>
      </c>
      <c r="P152" s="203"/>
      <c r="Q152" s="203">
        <f>SUM(Q153)</f>
        <v>0</v>
      </c>
      <c r="R152" s="203"/>
      <c r="S152" s="203"/>
      <c r="T152" s="203"/>
      <c r="U152" s="203"/>
      <c r="V152" s="203">
        <f>SUM(V153)</f>
        <v>0.95</v>
      </c>
      <c r="W152" s="203"/>
      <c r="X152" s="203"/>
      <c r="AG152" s="184" t="s">
        <v>174</v>
      </c>
    </row>
    <row r="153" ht="12.75" customHeight="1" outlineLevel="1">
      <c r="A153" s="204">
        <v>50.0</v>
      </c>
      <c r="B153" s="205" t="s">
        <v>1101</v>
      </c>
      <c r="C153" s="206" t="s">
        <v>1102</v>
      </c>
      <c r="D153" s="207" t="s">
        <v>251</v>
      </c>
      <c r="E153" s="208">
        <v>0.12</v>
      </c>
      <c r="F153" s="209">
        <v>7024.8</v>
      </c>
      <c r="G153" s="210">
        <f>ROUND(E153*F153,2)</f>
        <v>842.98</v>
      </c>
      <c r="H153" s="211"/>
      <c r="I153" s="212">
        <f>ROUND(E153*H153,2)</f>
        <v>0</v>
      </c>
      <c r="J153" s="211"/>
      <c r="K153" s="212">
        <f>ROUND(E153*J153,2)</f>
        <v>0</v>
      </c>
      <c r="L153" s="212">
        <v>21.0</v>
      </c>
      <c r="M153" s="212">
        <f>G153*(1+L153/100)</f>
        <v>1020.0058</v>
      </c>
      <c r="N153" s="212">
        <v>0.0</v>
      </c>
      <c r="O153" s="212">
        <f>ROUND(E153*N153,2)</f>
        <v>0</v>
      </c>
      <c r="P153" s="212">
        <v>0.00287</v>
      </c>
      <c r="Q153" s="212">
        <f>ROUND(E153*P153,2)</f>
        <v>0</v>
      </c>
      <c r="R153" s="212"/>
      <c r="S153" s="212" t="s">
        <v>184</v>
      </c>
      <c r="T153" s="212" t="s">
        <v>184</v>
      </c>
      <c r="U153" s="212">
        <v>7.9</v>
      </c>
      <c r="V153" s="212">
        <f>ROUND(E153*U153,2)</f>
        <v>0.95</v>
      </c>
      <c r="W153" s="212"/>
      <c r="X153" s="212" t="s">
        <v>225</v>
      </c>
      <c r="Y153" s="213"/>
      <c r="Z153" s="213"/>
      <c r="AA153" s="213"/>
      <c r="AB153" s="213"/>
      <c r="AC153" s="213"/>
      <c r="AD153" s="213"/>
      <c r="AE153" s="213"/>
      <c r="AF153" s="213"/>
      <c r="AG153" s="213" t="s">
        <v>226</v>
      </c>
      <c r="AH153" s="213"/>
      <c r="AI153" s="213"/>
      <c r="AJ153" s="213"/>
      <c r="AK153" s="213"/>
      <c r="AL153" s="213"/>
      <c r="AM153" s="213"/>
      <c r="AN153" s="213"/>
      <c r="AO153" s="213"/>
      <c r="AP153" s="213"/>
      <c r="AQ153" s="213"/>
      <c r="AR153" s="213"/>
      <c r="AS153" s="213"/>
      <c r="AT153" s="213"/>
      <c r="AU153" s="213"/>
      <c r="AV153" s="213"/>
      <c r="AW153" s="213"/>
      <c r="AX153" s="213"/>
      <c r="AY153" s="213"/>
      <c r="AZ153" s="213"/>
      <c r="BA153" s="213"/>
      <c r="BB153" s="213"/>
    </row>
    <row r="154" ht="12.75" customHeight="1">
      <c r="A154" s="196" t="s">
        <v>173</v>
      </c>
      <c r="B154" s="197" t="s">
        <v>122</v>
      </c>
      <c r="C154" s="198" t="s">
        <v>123</v>
      </c>
      <c r="D154" s="199"/>
      <c r="E154" s="200"/>
      <c r="F154" s="201"/>
      <c r="G154" s="202">
        <f>SUMIF(AG155:AG158,"&lt;&gt;NOR",G155:G158)</f>
        <v>74150.47</v>
      </c>
      <c r="H154" s="203"/>
      <c r="I154" s="203">
        <f>SUM(I155:I158)</f>
        <v>0</v>
      </c>
      <c r="J154" s="203"/>
      <c r="K154" s="203">
        <f>SUM(K155:K158)</f>
        <v>0</v>
      </c>
      <c r="L154" s="203"/>
      <c r="M154" s="203">
        <f>SUM(M155:M158)</f>
        <v>89722.0687</v>
      </c>
      <c r="N154" s="203"/>
      <c r="O154" s="203">
        <f>SUM(O155:O158)</f>
        <v>0</v>
      </c>
      <c r="P154" s="203"/>
      <c r="Q154" s="203">
        <f>SUM(Q155:Q158)</f>
        <v>0</v>
      </c>
      <c r="R154" s="203"/>
      <c r="S154" s="203"/>
      <c r="T154" s="203"/>
      <c r="U154" s="203"/>
      <c r="V154" s="203">
        <f>SUM(V155:V158)</f>
        <v>224.69</v>
      </c>
      <c r="W154" s="203"/>
      <c r="X154" s="203"/>
      <c r="AG154" s="184" t="s">
        <v>174</v>
      </c>
    </row>
    <row r="155" ht="12.75" customHeight="1" outlineLevel="1">
      <c r="A155" s="214">
        <v>51.0</v>
      </c>
      <c r="B155" s="215" t="s">
        <v>395</v>
      </c>
      <c r="C155" s="216" t="s">
        <v>396</v>
      </c>
      <c r="D155" s="217" t="s">
        <v>316</v>
      </c>
      <c r="E155" s="218">
        <v>497.32038</v>
      </c>
      <c r="F155" s="219">
        <v>149.1</v>
      </c>
      <c r="G155" s="220">
        <f>ROUND(E155*F155,2)</f>
        <v>74150.47</v>
      </c>
      <c r="H155" s="211"/>
      <c r="I155" s="212">
        <f>ROUND(E155*H155,2)</f>
        <v>0</v>
      </c>
      <c r="J155" s="211"/>
      <c r="K155" s="212">
        <f>ROUND(E155*J155,2)</f>
        <v>0</v>
      </c>
      <c r="L155" s="212">
        <v>21.0</v>
      </c>
      <c r="M155" s="212">
        <f>G155*(1+L155/100)</f>
        <v>89722.0687</v>
      </c>
      <c r="N155" s="212">
        <v>0.0</v>
      </c>
      <c r="O155" s="212">
        <f>ROUND(E155*N155,2)</f>
        <v>0</v>
      </c>
      <c r="P155" s="212">
        <v>0.0</v>
      </c>
      <c r="Q155" s="212">
        <f>ROUND(E155*P155,2)</f>
        <v>0</v>
      </c>
      <c r="R155" s="212"/>
      <c r="S155" s="212" t="s">
        <v>184</v>
      </c>
      <c r="T155" s="212" t="s">
        <v>184</v>
      </c>
      <c r="U155" s="212">
        <v>0.4518</v>
      </c>
      <c r="V155" s="212">
        <f>ROUND(E155*U155,2)</f>
        <v>224.69</v>
      </c>
      <c r="W155" s="212"/>
      <c r="X155" s="212" t="s">
        <v>397</v>
      </c>
      <c r="Y155" s="213"/>
      <c r="Z155" s="213"/>
      <c r="AA155" s="213"/>
      <c r="AB155" s="213"/>
      <c r="AC155" s="213"/>
      <c r="AD155" s="213"/>
      <c r="AE155" s="213"/>
      <c r="AF155" s="213"/>
      <c r="AG155" s="213" t="s">
        <v>398</v>
      </c>
      <c r="AH155" s="213"/>
      <c r="AI155" s="213"/>
      <c r="AJ155" s="213"/>
      <c r="AK155" s="213"/>
      <c r="AL155" s="213"/>
      <c r="AM155" s="213"/>
      <c r="AN155" s="213"/>
      <c r="AO155" s="213"/>
      <c r="AP155" s="213"/>
      <c r="AQ155" s="213"/>
      <c r="AR155" s="213"/>
      <c r="AS155" s="213"/>
      <c r="AT155" s="213"/>
      <c r="AU155" s="213"/>
      <c r="AV155" s="213"/>
      <c r="AW155" s="213"/>
      <c r="AX155" s="213"/>
      <c r="AY155" s="213"/>
      <c r="AZ155" s="213"/>
      <c r="BA155" s="213"/>
      <c r="BB155" s="213"/>
    </row>
    <row r="156" ht="12.75" customHeight="1" outlineLevel="1">
      <c r="A156" s="235"/>
      <c r="B156" s="236"/>
      <c r="C156" s="237" t="s">
        <v>399</v>
      </c>
      <c r="D156" s="238"/>
      <c r="E156" s="239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3"/>
      <c r="Z156" s="213"/>
      <c r="AA156" s="213"/>
      <c r="AB156" s="213"/>
      <c r="AC156" s="213"/>
      <c r="AD156" s="213"/>
      <c r="AE156" s="213"/>
      <c r="AF156" s="213"/>
      <c r="AG156" s="213" t="s">
        <v>228</v>
      </c>
      <c r="AH156" s="213">
        <v>0.0</v>
      </c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</row>
    <row r="157" ht="12.75" customHeight="1" outlineLevel="1">
      <c r="A157" s="235"/>
      <c r="B157" s="236"/>
      <c r="C157" s="237" t="s">
        <v>1103</v>
      </c>
      <c r="D157" s="238"/>
      <c r="E157" s="239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3"/>
      <c r="Z157" s="213"/>
      <c r="AA157" s="213"/>
      <c r="AB157" s="213"/>
      <c r="AC157" s="213"/>
      <c r="AD157" s="213"/>
      <c r="AE157" s="213"/>
      <c r="AF157" s="213"/>
      <c r="AG157" s="213" t="s">
        <v>228</v>
      </c>
      <c r="AH157" s="213">
        <v>0.0</v>
      </c>
      <c r="AI157" s="213"/>
      <c r="AJ157" s="213"/>
      <c r="AK157" s="213"/>
      <c r="AL157" s="213"/>
      <c r="AM157" s="213"/>
      <c r="AN157" s="213"/>
      <c r="AO157" s="213"/>
      <c r="AP157" s="213"/>
      <c r="AQ157" s="213"/>
      <c r="AR157" s="213"/>
      <c r="AS157" s="213"/>
      <c r="AT157" s="213"/>
      <c r="AU157" s="213"/>
      <c r="AV157" s="213"/>
      <c r="AW157" s="213"/>
      <c r="AX157" s="213"/>
      <c r="AY157" s="213"/>
      <c r="AZ157" s="213"/>
      <c r="BA157" s="213"/>
      <c r="BB157" s="213"/>
    </row>
    <row r="158" ht="12.75" customHeight="1" outlineLevel="1">
      <c r="A158" s="235"/>
      <c r="B158" s="236"/>
      <c r="C158" s="237" t="s">
        <v>1104</v>
      </c>
      <c r="D158" s="238"/>
      <c r="E158" s="239">
        <v>497.32038</v>
      </c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3"/>
      <c r="Z158" s="213"/>
      <c r="AA158" s="213"/>
      <c r="AB158" s="213"/>
      <c r="AC158" s="213"/>
      <c r="AD158" s="213"/>
      <c r="AE158" s="213"/>
      <c r="AF158" s="213"/>
      <c r="AG158" s="213" t="s">
        <v>228</v>
      </c>
      <c r="AH158" s="213">
        <v>0.0</v>
      </c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3"/>
      <c r="AX158" s="213"/>
      <c r="AY158" s="213"/>
      <c r="AZ158" s="213"/>
      <c r="BA158" s="213"/>
      <c r="BB158" s="213"/>
    </row>
    <row r="159" ht="12.75" customHeight="1">
      <c r="A159" s="175"/>
      <c r="B159" s="179"/>
      <c r="C159" s="221"/>
      <c r="D159" s="181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AE159" s="184">
        <v>15.0</v>
      </c>
      <c r="AF159" s="184">
        <v>21.0</v>
      </c>
      <c r="AG159" s="184" t="s">
        <v>160</v>
      </c>
    </row>
    <row r="160" ht="12.75" customHeight="1">
      <c r="A160" s="222"/>
      <c r="B160" s="223" t="s">
        <v>24</v>
      </c>
      <c r="C160" s="224"/>
      <c r="D160" s="225"/>
      <c r="E160" s="226"/>
      <c r="F160" s="226"/>
      <c r="G160" s="227">
        <f>G8+G57+G61+G71+G81+G104+G131+G152+G154</f>
        <v>1516809.51</v>
      </c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AE160" s="184">
        <f>SUMIF(L7:L158,AE159,G7:G158)</f>
        <v>0</v>
      </c>
      <c r="AF160" s="184">
        <f>SUMIF(L7:L158,AF159,G7:G158)</f>
        <v>1516809.51</v>
      </c>
      <c r="AG160" s="184" t="s">
        <v>218</v>
      </c>
    </row>
    <row r="161" ht="12.75" customHeight="1">
      <c r="A161" s="175"/>
      <c r="B161" s="179"/>
      <c r="C161" s="221"/>
      <c r="D161" s="181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</row>
    <row r="162" ht="12.75" customHeight="1">
      <c r="A162" s="175"/>
      <c r="B162" s="179"/>
      <c r="C162" s="221"/>
      <c r="D162" s="181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</row>
    <row r="163" ht="12.75" customHeight="1">
      <c r="A163" s="175" t="s">
        <v>219</v>
      </c>
      <c r="D163" s="181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</row>
    <row r="164" ht="12.75" customHeight="1">
      <c r="A164" s="228"/>
      <c r="B164" s="27"/>
      <c r="C164" s="27"/>
      <c r="D164" s="27"/>
      <c r="E164" s="27"/>
      <c r="F164" s="27"/>
      <c r="G164" s="229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AG164" s="184" t="s">
        <v>220</v>
      </c>
    </row>
    <row r="165" ht="12.75" customHeight="1">
      <c r="A165" s="230"/>
      <c r="G165" s="231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</row>
    <row r="166" ht="12.75" customHeight="1">
      <c r="A166" s="230"/>
      <c r="G166" s="231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</row>
    <row r="167" ht="12.75" customHeight="1">
      <c r="A167" s="230"/>
      <c r="G167" s="231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</row>
    <row r="168" ht="12.75" customHeight="1">
      <c r="A168" s="232"/>
      <c r="B168" s="38"/>
      <c r="C168" s="38"/>
      <c r="D168" s="38"/>
      <c r="E168" s="38"/>
      <c r="F168" s="38"/>
      <c r="G168" s="233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</row>
    <row r="169" ht="12.75" customHeight="1">
      <c r="A169" s="175"/>
      <c r="B169" s="179"/>
      <c r="C169" s="221"/>
      <c r="D169" s="181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</row>
    <row r="170" ht="12.75" customHeight="1">
      <c r="B170" s="185"/>
      <c r="C170" s="234"/>
      <c r="D170" s="126"/>
      <c r="AG170" s="184" t="s">
        <v>221</v>
      </c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  <c r="D331" s="126"/>
    </row>
    <row r="332" ht="12.75" customHeight="1">
      <c r="B332" s="185"/>
      <c r="C332" s="185"/>
      <c r="D332" s="126"/>
    </row>
    <row r="333" ht="12.75" customHeight="1">
      <c r="B333" s="185"/>
      <c r="C333" s="185"/>
      <c r="D333" s="126"/>
    </row>
    <row r="334" ht="12.75" customHeight="1">
      <c r="B334" s="185"/>
      <c r="C334" s="185"/>
      <c r="D334" s="126"/>
    </row>
    <row r="335" ht="12.75" customHeight="1">
      <c r="B335" s="185"/>
      <c r="C335" s="185"/>
      <c r="D335" s="126"/>
    </row>
    <row r="336" ht="12.75" customHeight="1">
      <c r="B336" s="185"/>
      <c r="C336" s="185"/>
      <c r="D336" s="126"/>
    </row>
    <row r="337" ht="12.75" customHeight="1">
      <c r="B337" s="185"/>
      <c r="C337" s="185"/>
      <c r="D337" s="126"/>
    </row>
    <row r="338" ht="12.75" customHeight="1">
      <c r="B338" s="185"/>
      <c r="C338" s="185"/>
      <c r="D338" s="126"/>
    </row>
    <row r="339" ht="12.75" customHeight="1">
      <c r="B339" s="185"/>
      <c r="C339" s="185"/>
      <c r="D339" s="126"/>
    </row>
    <row r="340" ht="12.75" customHeight="1">
      <c r="B340" s="185"/>
      <c r="C340" s="185"/>
      <c r="D340" s="126"/>
    </row>
    <row r="341" ht="12.75" customHeight="1">
      <c r="B341" s="185"/>
      <c r="C341" s="185"/>
      <c r="D341" s="126"/>
    </row>
    <row r="342" ht="12.75" customHeight="1">
      <c r="B342" s="185"/>
      <c r="C342" s="185"/>
      <c r="D342" s="126"/>
    </row>
    <row r="343" ht="12.75" customHeight="1">
      <c r="B343" s="185"/>
      <c r="C343" s="185"/>
      <c r="D343" s="126"/>
    </row>
    <row r="344" ht="12.75" customHeight="1">
      <c r="B344" s="185"/>
      <c r="C344" s="185"/>
      <c r="D344" s="126"/>
    </row>
    <row r="345" ht="12.75" customHeight="1">
      <c r="B345" s="185"/>
      <c r="C345" s="185"/>
      <c r="D345" s="126"/>
    </row>
    <row r="346" ht="12.75" customHeight="1">
      <c r="B346" s="185"/>
      <c r="C346" s="185"/>
      <c r="D346" s="126"/>
    </row>
    <row r="347" ht="12.75" customHeight="1">
      <c r="B347" s="185"/>
      <c r="C347" s="185"/>
      <c r="D347" s="126"/>
    </row>
    <row r="348" ht="12.75" customHeight="1">
      <c r="B348" s="185"/>
      <c r="C348" s="185"/>
      <c r="D348" s="126"/>
    </row>
    <row r="349" ht="12.75" customHeight="1">
      <c r="B349" s="185"/>
      <c r="C349" s="185"/>
      <c r="D349" s="126"/>
    </row>
    <row r="350" ht="12.75" customHeight="1">
      <c r="B350" s="185"/>
      <c r="C350" s="185"/>
      <c r="D350" s="126"/>
    </row>
    <row r="351" ht="12.75" customHeight="1">
      <c r="B351" s="185"/>
      <c r="C351" s="185"/>
      <c r="D351" s="126"/>
    </row>
    <row r="352" ht="12.75" customHeight="1">
      <c r="B352" s="185"/>
      <c r="C352" s="185"/>
      <c r="D352" s="126"/>
    </row>
    <row r="353" ht="12.75" customHeight="1">
      <c r="B353" s="185"/>
      <c r="C353" s="185"/>
      <c r="D353" s="126"/>
    </row>
    <row r="354" ht="12.75" customHeight="1">
      <c r="B354" s="185"/>
      <c r="C354" s="185"/>
      <c r="D354" s="126"/>
    </row>
    <row r="355" ht="12.75" customHeight="1">
      <c r="B355" s="185"/>
      <c r="C355" s="185"/>
      <c r="D355" s="126"/>
    </row>
    <row r="356" ht="12.75" customHeight="1">
      <c r="B356" s="185"/>
      <c r="C356" s="185"/>
      <c r="D356" s="126"/>
    </row>
    <row r="357" ht="12.75" customHeight="1">
      <c r="B357" s="185"/>
      <c r="C357" s="185"/>
      <c r="D357" s="126"/>
    </row>
    <row r="358" ht="12.75" customHeight="1">
      <c r="B358" s="185"/>
      <c r="C358" s="185"/>
      <c r="D358" s="126"/>
    </row>
    <row r="359" ht="12.75" customHeight="1">
      <c r="B359" s="185"/>
      <c r="C359" s="185"/>
      <c r="D359" s="126"/>
    </row>
    <row r="360" ht="12.75" customHeight="1">
      <c r="B360" s="185"/>
      <c r="C360" s="185"/>
      <c r="D360" s="126"/>
    </row>
    <row r="361" ht="12.75" customHeight="1">
      <c r="B361" s="185"/>
      <c r="C361" s="185"/>
      <c r="D361" s="126"/>
    </row>
    <row r="362" ht="12.75" customHeight="1">
      <c r="B362" s="185"/>
      <c r="C362" s="185"/>
      <c r="D362" s="126"/>
    </row>
    <row r="363" ht="12.75" customHeight="1">
      <c r="B363" s="185"/>
      <c r="C363" s="185"/>
      <c r="D363" s="126"/>
    </row>
    <row r="364" ht="12.75" customHeight="1">
      <c r="B364" s="185"/>
      <c r="C364" s="185"/>
      <c r="D364" s="126"/>
    </row>
    <row r="365" ht="12.75" customHeight="1">
      <c r="B365" s="185"/>
      <c r="C365" s="185"/>
      <c r="D365" s="126"/>
    </row>
    <row r="366" ht="12.75" customHeight="1">
      <c r="B366" s="185"/>
      <c r="C366" s="185"/>
      <c r="D366" s="126"/>
    </row>
    <row r="367" ht="12.75" customHeight="1">
      <c r="B367" s="185"/>
      <c r="C367" s="185"/>
      <c r="D367" s="126"/>
    </row>
    <row r="368" ht="12.75" customHeight="1">
      <c r="B368" s="185"/>
      <c r="C368" s="185"/>
      <c r="D368" s="126"/>
    </row>
    <row r="369" ht="12.75" customHeight="1">
      <c r="B369" s="185"/>
      <c r="C369" s="185"/>
      <c r="D369" s="126"/>
    </row>
    <row r="370" ht="12.75" customHeight="1">
      <c r="B370" s="185"/>
      <c r="C370" s="185"/>
      <c r="D370" s="126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63:C163"/>
    <mergeCell ref="A164:G168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80</v>
      </c>
      <c r="C3" s="177" t="s">
        <v>81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80</v>
      </c>
      <c r="C4" s="188" t="s">
        <v>81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SUMIF(AG9:AG56,"&lt;&gt;NOR",G9:G56)</f>
        <v>56636.42</v>
      </c>
      <c r="H8" s="203"/>
      <c r="I8" s="203">
        <f>SUM(I9:I56)</f>
        <v>0</v>
      </c>
      <c r="J8" s="203"/>
      <c r="K8" s="203">
        <f>SUM(K9:K56)</f>
        <v>0</v>
      </c>
      <c r="L8" s="203"/>
      <c r="M8" s="203">
        <f>SUM(M9:M56)</f>
        <v>68530.0682</v>
      </c>
      <c r="N8" s="203"/>
      <c r="O8" s="203">
        <f>SUM(O9:O56)</f>
        <v>17.95</v>
      </c>
      <c r="P8" s="203"/>
      <c r="Q8" s="203">
        <f>SUM(Q9:Q56)</f>
        <v>0</v>
      </c>
      <c r="R8" s="203"/>
      <c r="S8" s="203"/>
      <c r="T8" s="203"/>
      <c r="U8" s="203"/>
      <c r="V8" s="203">
        <f>SUM(V9:V56)</f>
        <v>134.96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25.208</v>
      </c>
      <c r="F9" s="219">
        <v>39.6</v>
      </c>
      <c r="G9" s="220">
        <f>ROUND(E9*F9,2)</f>
        <v>998.24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1207.8704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2.12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1044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1105</v>
      </c>
      <c r="D12" s="241"/>
      <c r="E12" s="242">
        <v>50.416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0" t="s">
        <v>238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1106</v>
      </c>
      <c r="D14" s="238"/>
      <c r="E14" s="239">
        <v>25.208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14">
        <v>2.0</v>
      </c>
      <c r="B15" s="215" t="s">
        <v>262</v>
      </c>
      <c r="C15" s="216" t="s">
        <v>263</v>
      </c>
      <c r="D15" s="217" t="s">
        <v>234</v>
      </c>
      <c r="E15" s="218">
        <v>50.416</v>
      </c>
      <c r="F15" s="219">
        <v>214.5</v>
      </c>
      <c r="G15" s="220">
        <f>ROUND(E15*F15,2)</f>
        <v>10814.23</v>
      </c>
      <c r="H15" s="211"/>
      <c r="I15" s="212">
        <f>ROUND(E15*H15,2)</f>
        <v>0</v>
      </c>
      <c r="J15" s="211"/>
      <c r="K15" s="212">
        <f>ROUND(E15*J15,2)</f>
        <v>0</v>
      </c>
      <c r="L15" s="212">
        <v>21.0</v>
      </c>
      <c r="M15" s="212">
        <f>G15*(1+L15/100)</f>
        <v>13085.2183</v>
      </c>
      <c r="N15" s="212">
        <v>0.0</v>
      </c>
      <c r="O15" s="212">
        <f>ROUND(E15*N15,2)</f>
        <v>0</v>
      </c>
      <c r="P15" s="212">
        <v>0.0</v>
      </c>
      <c r="Q15" s="212">
        <f>ROUND(E15*P15,2)</f>
        <v>0</v>
      </c>
      <c r="R15" s="212"/>
      <c r="S15" s="212" t="s">
        <v>184</v>
      </c>
      <c r="T15" s="212" t="s">
        <v>184</v>
      </c>
      <c r="U15" s="212">
        <v>0.222</v>
      </c>
      <c r="V15" s="212">
        <f>ROUND(E15*U15,2)</f>
        <v>11.19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37" t="s">
        <v>1044</v>
      </c>
      <c r="D16" s="238"/>
      <c r="E16" s="239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0.0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1107</v>
      </c>
      <c r="D17" s="238"/>
      <c r="E17" s="239">
        <v>50.42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14">
        <v>3.0</v>
      </c>
      <c r="B18" s="215" t="s">
        <v>278</v>
      </c>
      <c r="C18" s="216" t="s">
        <v>279</v>
      </c>
      <c r="D18" s="217" t="s">
        <v>224</v>
      </c>
      <c r="E18" s="218">
        <v>88.0</v>
      </c>
      <c r="F18" s="219">
        <v>69.5</v>
      </c>
      <c r="G18" s="220">
        <f>ROUND(E18*F18,2)</f>
        <v>6116</v>
      </c>
      <c r="H18" s="211"/>
      <c r="I18" s="212">
        <f>ROUND(E18*H18,2)</f>
        <v>0</v>
      </c>
      <c r="J18" s="211"/>
      <c r="K18" s="212">
        <f>ROUND(E18*J18,2)</f>
        <v>0</v>
      </c>
      <c r="L18" s="212">
        <v>21.0</v>
      </c>
      <c r="M18" s="212">
        <f>G18*(1+L18/100)</f>
        <v>7400.36</v>
      </c>
      <c r="N18" s="212">
        <v>8.6E-4</v>
      </c>
      <c r="O18" s="212">
        <f>ROUND(E18*N18,2)</f>
        <v>0.08</v>
      </c>
      <c r="P18" s="212">
        <v>0.0</v>
      </c>
      <c r="Q18" s="212">
        <f>ROUND(E18*P18,2)</f>
        <v>0</v>
      </c>
      <c r="R18" s="212"/>
      <c r="S18" s="212" t="s">
        <v>184</v>
      </c>
      <c r="T18" s="212" t="s">
        <v>184</v>
      </c>
      <c r="U18" s="212">
        <v>0.479</v>
      </c>
      <c r="V18" s="212">
        <f>ROUND(E18*U18,2)</f>
        <v>42.15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1044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1108</v>
      </c>
      <c r="D20" s="238"/>
      <c r="E20" s="239">
        <v>88.0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4.0</v>
      </c>
      <c r="B21" s="215" t="s">
        <v>286</v>
      </c>
      <c r="C21" s="216" t="s">
        <v>287</v>
      </c>
      <c r="D21" s="217" t="s">
        <v>224</v>
      </c>
      <c r="E21" s="218">
        <v>88.0</v>
      </c>
      <c r="F21" s="219">
        <v>41.3</v>
      </c>
      <c r="G21" s="220">
        <f>ROUND(E21*F21,2)</f>
        <v>3634.4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4397.624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0.327</v>
      </c>
      <c r="V21" s="212">
        <f>ROUND(E21*U21,2)</f>
        <v>28.78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1044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1108</v>
      </c>
      <c r="D23" s="238"/>
      <c r="E23" s="239">
        <v>88.0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14">
        <v>5.0</v>
      </c>
      <c r="B24" s="215" t="s">
        <v>288</v>
      </c>
      <c r="C24" s="216" t="s">
        <v>289</v>
      </c>
      <c r="D24" s="217" t="s">
        <v>234</v>
      </c>
      <c r="E24" s="218">
        <v>50.416</v>
      </c>
      <c r="F24" s="219">
        <v>36.6</v>
      </c>
      <c r="G24" s="220">
        <f>ROUND(E24*F24,2)</f>
        <v>1845.23</v>
      </c>
      <c r="H24" s="211"/>
      <c r="I24" s="212">
        <f>ROUND(E24*H24,2)</f>
        <v>0</v>
      </c>
      <c r="J24" s="211"/>
      <c r="K24" s="212">
        <f>ROUND(E24*J24,2)</f>
        <v>0</v>
      </c>
      <c r="L24" s="212">
        <v>21.0</v>
      </c>
      <c r="M24" s="212">
        <f>G24*(1+L24/100)</f>
        <v>2232.7283</v>
      </c>
      <c r="N24" s="212">
        <v>0.0</v>
      </c>
      <c r="O24" s="212">
        <f>ROUND(E24*N24,2)</f>
        <v>0</v>
      </c>
      <c r="P24" s="212">
        <v>0.0</v>
      </c>
      <c r="Q24" s="212">
        <f>ROUND(E24*P24,2)</f>
        <v>0</v>
      </c>
      <c r="R24" s="212"/>
      <c r="S24" s="212" t="s">
        <v>184</v>
      </c>
      <c r="T24" s="212" t="s">
        <v>184</v>
      </c>
      <c r="U24" s="212">
        <v>0.039</v>
      </c>
      <c r="V24" s="212">
        <f>ROUND(E24*U24,2)</f>
        <v>1.97</v>
      </c>
      <c r="W24" s="212"/>
      <c r="X24" s="212" t="s">
        <v>225</v>
      </c>
      <c r="Y24" s="213"/>
      <c r="Z24" s="213"/>
      <c r="AA24" s="213"/>
      <c r="AB24" s="213"/>
      <c r="AC24" s="213"/>
      <c r="AD24" s="213"/>
      <c r="AE24" s="213"/>
      <c r="AF24" s="213"/>
      <c r="AG24" s="213" t="s">
        <v>226</v>
      </c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1044</v>
      </c>
      <c r="D25" s="238"/>
      <c r="E25" s="239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1107</v>
      </c>
      <c r="D26" s="238"/>
      <c r="E26" s="239">
        <v>50.42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14">
        <v>6.0</v>
      </c>
      <c r="B27" s="215" t="s">
        <v>290</v>
      </c>
      <c r="C27" s="216" t="s">
        <v>291</v>
      </c>
      <c r="D27" s="217" t="s">
        <v>234</v>
      </c>
      <c r="E27" s="218">
        <v>50.416</v>
      </c>
      <c r="F27" s="219">
        <v>64.0</v>
      </c>
      <c r="G27" s="220">
        <f>ROUND(E27*F27,2)</f>
        <v>3226.62</v>
      </c>
      <c r="H27" s="211"/>
      <c r="I27" s="212">
        <f>ROUND(E27*H27,2)</f>
        <v>0</v>
      </c>
      <c r="J27" s="211"/>
      <c r="K27" s="212">
        <f>ROUND(E27*J27,2)</f>
        <v>0</v>
      </c>
      <c r="L27" s="212">
        <v>21.0</v>
      </c>
      <c r="M27" s="212">
        <f>G27*(1+L27/100)</f>
        <v>3904.2102</v>
      </c>
      <c r="N27" s="212">
        <v>0.0</v>
      </c>
      <c r="O27" s="212">
        <f>ROUND(E27*N27,2)</f>
        <v>0</v>
      </c>
      <c r="P27" s="212">
        <v>0.0</v>
      </c>
      <c r="Q27" s="212">
        <f>ROUND(E27*P27,2)</f>
        <v>0</v>
      </c>
      <c r="R27" s="212"/>
      <c r="S27" s="212" t="s">
        <v>184</v>
      </c>
      <c r="T27" s="212" t="s">
        <v>184</v>
      </c>
      <c r="U27" s="212">
        <v>0.519</v>
      </c>
      <c r="V27" s="212">
        <f>ROUND(E27*U27,2)</f>
        <v>26.17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292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1044</v>
      </c>
      <c r="D28" s="238"/>
      <c r="E28" s="239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1107</v>
      </c>
      <c r="D29" s="238"/>
      <c r="E29" s="239">
        <v>50.42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7.0</v>
      </c>
      <c r="B30" s="215" t="s">
        <v>293</v>
      </c>
      <c r="C30" s="216" t="s">
        <v>294</v>
      </c>
      <c r="D30" s="217" t="s">
        <v>234</v>
      </c>
      <c r="E30" s="218">
        <v>20.1664</v>
      </c>
      <c r="F30" s="219">
        <v>215.5</v>
      </c>
      <c r="G30" s="220">
        <f>ROUND(E30*F30,2)</f>
        <v>4345.86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5258.4906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0.011</v>
      </c>
      <c r="V30" s="212">
        <f>ROUND(E30*U30,2)</f>
        <v>0.22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295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1109</v>
      </c>
      <c r="D32" s="238"/>
      <c r="E32" s="239">
        <v>20.17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8.0</v>
      </c>
      <c r="B33" s="215" t="s">
        <v>297</v>
      </c>
      <c r="C33" s="216" t="s">
        <v>298</v>
      </c>
      <c r="D33" s="217" t="s">
        <v>234</v>
      </c>
      <c r="E33" s="218">
        <v>20.1664</v>
      </c>
      <c r="F33" s="219">
        <v>61.0</v>
      </c>
      <c r="G33" s="220">
        <f>ROUND(E33*F33,2)</f>
        <v>1230.15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1488.4815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0.053</v>
      </c>
      <c r="V33" s="212">
        <f>ROUND(E33*U33,2)</f>
        <v>1.07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295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1109</v>
      </c>
      <c r="D35" s="238"/>
      <c r="E35" s="239">
        <v>20.17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9.0</v>
      </c>
      <c r="B36" s="215" t="s">
        <v>299</v>
      </c>
      <c r="C36" s="216" t="s">
        <v>300</v>
      </c>
      <c r="D36" s="217" t="s">
        <v>234</v>
      </c>
      <c r="E36" s="218">
        <v>20.1664</v>
      </c>
      <c r="F36" s="219">
        <v>15.1</v>
      </c>
      <c r="G36" s="220">
        <f>ROUND(E36*F36,2)</f>
        <v>304.51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368.4571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0.009</v>
      </c>
      <c r="V36" s="212">
        <f>ROUND(E36*U36,2)</f>
        <v>0.18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295</v>
      </c>
      <c r="D37" s="238"/>
      <c r="E37" s="239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1109</v>
      </c>
      <c r="D38" s="238"/>
      <c r="E38" s="239">
        <v>20.17</v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14">
        <v>10.0</v>
      </c>
      <c r="B39" s="215" t="s">
        <v>301</v>
      </c>
      <c r="C39" s="216" t="s">
        <v>302</v>
      </c>
      <c r="D39" s="217" t="s">
        <v>234</v>
      </c>
      <c r="E39" s="218">
        <v>30.2496</v>
      </c>
      <c r="F39" s="219">
        <v>169.0</v>
      </c>
      <c r="G39" s="220">
        <f>ROUND(E39*F39,2)</f>
        <v>5112.18</v>
      </c>
      <c r="H39" s="211"/>
      <c r="I39" s="212">
        <f>ROUND(E39*H39,2)</f>
        <v>0</v>
      </c>
      <c r="J39" s="211"/>
      <c r="K39" s="212">
        <f>ROUND(E39*J39,2)</f>
        <v>0</v>
      </c>
      <c r="L39" s="212">
        <v>21.0</v>
      </c>
      <c r="M39" s="212">
        <f>G39*(1+L39/100)</f>
        <v>6185.7378</v>
      </c>
      <c r="N39" s="212">
        <v>0.0</v>
      </c>
      <c r="O39" s="212">
        <f>ROUND(E39*N39,2)</f>
        <v>0</v>
      </c>
      <c r="P39" s="212">
        <v>0.0</v>
      </c>
      <c r="Q39" s="212">
        <f>ROUND(E39*P39,2)</f>
        <v>0</v>
      </c>
      <c r="R39" s="212"/>
      <c r="S39" s="212" t="s">
        <v>184</v>
      </c>
      <c r="T39" s="212" t="s">
        <v>184</v>
      </c>
      <c r="U39" s="212">
        <v>0.202</v>
      </c>
      <c r="V39" s="212">
        <f>ROUND(E39*U39,2)</f>
        <v>6.11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303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1110</v>
      </c>
      <c r="D41" s="238"/>
      <c r="E41" s="239">
        <v>30.25</v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11.0</v>
      </c>
      <c r="B42" s="215" t="s">
        <v>311</v>
      </c>
      <c r="C42" s="216" t="s">
        <v>312</v>
      </c>
      <c r="D42" s="217" t="s">
        <v>234</v>
      </c>
      <c r="E42" s="218">
        <v>9.453</v>
      </c>
      <c r="F42" s="219">
        <v>469.0</v>
      </c>
      <c r="G42" s="220">
        <f>ROUND(E42*F42,2)</f>
        <v>4433.46</v>
      </c>
      <c r="H42" s="211"/>
      <c r="I42" s="212">
        <f>ROUND(E42*H42,2)</f>
        <v>0</v>
      </c>
      <c r="J42" s="211"/>
      <c r="K42" s="212">
        <f>ROUND(E42*J42,2)</f>
        <v>0</v>
      </c>
      <c r="L42" s="212">
        <v>21.0</v>
      </c>
      <c r="M42" s="212">
        <f>G42*(1+L42/100)</f>
        <v>5364.4866</v>
      </c>
      <c r="N42" s="212">
        <v>0.0</v>
      </c>
      <c r="O42" s="212">
        <f>ROUND(E42*N42,2)</f>
        <v>0</v>
      </c>
      <c r="P42" s="212">
        <v>0.0</v>
      </c>
      <c r="Q42" s="212">
        <f>ROUND(E42*P42,2)</f>
        <v>0</v>
      </c>
      <c r="R42" s="212"/>
      <c r="S42" s="212" t="s">
        <v>184</v>
      </c>
      <c r="T42" s="212" t="s">
        <v>184</v>
      </c>
      <c r="U42" s="212">
        <v>1.587</v>
      </c>
      <c r="V42" s="212">
        <f>ROUND(E42*U42,2)</f>
        <v>15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1044</v>
      </c>
      <c r="D43" s="238"/>
      <c r="E43" s="239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1111</v>
      </c>
      <c r="D44" s="238"/>
      <c r="E44" s="239">
        <v>9.45</v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14">
        <v>12.0</v>
      </c>
      <c r="B45" s="215" t="s">
        <v>314</v>
      </c>
      <c r="C45" s="216" t="s">
        <v>315</v>
      </c>
      <c r="D45" s="217" t="s">
        <v>316</v>
      </c>
      <c r="E45" s="218">
        <v>38.3162</v>
      </c>
      <c r="F45" s="219">
        <v>285.0</v>
      </c>
      <c r="G45" s="220">
        <f>ROUND(E45*F45,2)</f>
        <v>10920.12</v>
      </c>
      <c r="H45" s="211"/>
      <c r="I45" s="212">
        <f>ROUND(E45*H45,2)</f>
        <v>0</v>
      </c>
      <c r="J45" s="211"/>
      <c r="K45" s="212">
        <f>ROUND(E45*J45,2)</f>
        <v>0</v>
      </c>
      <c r="L45" s="212">
        <v>21.0</v>
      </c>
      <c r="M45" s="212">
        <f>G45*(1+L45/100)</f>
        <v>13213.3452</v>
      </c>
      <c r="N45" s="212">
        <v>0.0</v>
      </c>
      <c r="O45" s="212">
        <f>ROUND(E45*N45,2)</f>
        <v>0</v>
      </c>
      <c r="P45" s="212">
        <v>0.0</v>
      </c>
      <c r="Q45" s="212">
        <f>ROUND(E45*P45,2)</f>
        <v>0</v>
      </c>
      <c r="R45" s="212"/>
      <c r="S45" s="212" t="s">
        <v>184</v>
      </c>
      <c r="T45" s="212" t="s">
        <v>184</v>
      </c>
      <c r="U45" s="212">
        <v>0.0</v>
      </c>
      <c r="V45" s="212">
        <f>ROUND(E45*U45,2)</f>
        <v>0</v>
      </c>
      <c r="W45" s="212"/>
      <c r="X45" s="212" t="s">
        <v>225</v>
      </c>
      <c r="Y45" s="213"/>
      <c r="Z45" s="213"/>
      <c r="AA45" s="213"/>
      <c r="AB45" s="213"/>
      <c r="AC45" s="213"/>
      <c r="AD45" s="213"/>
      <c r="AE45" s="213"/>
      <c r="AF45" s="213"/>
      <c r="AG45" s="213" t="s">
        <v>226</v>
      </c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37" t="s">
        <v>295</v>
      </c>
      <c r="D46" s="238"/>
      <c r="E46" s="239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>
        <v>0.0</v>
      </c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40" t="s">
        <v>236</v>
      </c>
      <c r="D47" s="241"/>
      <c r="E47" s="24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43" t="s">
        <v>1112</v>
      </c>
      <c r="D48" s="241"/>
      <c r="E48" s="242">
        <v>20.17</v>
      </c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>
        <v>2.0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40" t="s">
        <v>238</v>
      </c>
      <c r="D49" s="241"/>
      <c r="E49" s="24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1113</v>
      </c>
      <c r="D50" s="238"/>
      <c r="E50" s="239">
        <v>38.32</v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14">
        <v>13.0</v>
      </c>
      <c r="B51" s="215" t="s">
        <v>620</v>
      </c>
      <c r="C51" s="216" t="s">
        <v>621</v>
      </c>
      <c r="D51" s="217" t="s">
        <v>321</v>
      </c>
      <c r="E51" s="218">
        <v>17.8662</v>
      </c>
      <c r="F51" s="219">
        <v>204.6</v>
      </c>
      <c r="G51" s="220">
        <f>ROUND(E51*F51,2)</f>
        <v>3655.42</v>
      </c>
      <c r="H51" s="211"/>
      <c r="I51" s="212">
        <f>ROUND(E51*H51,2)</f>
        <v>0</v>
      </c>
      <c r="J51" s="211"/>
      <c r="K51" s="212">
        <f>ROUND(E51*J51,2)</f>
        <v>0</v>
      </c>
      <c r="L51" s="212">
        <v>21.0</v>
      </c>
      <c r="M51" s="212">
        <f>G51*(1+L51/100)</f>
        <v>4423.0582</v>
      </c>
      <c r="N51" s="212">
        <v>1.0</v>
      </c>
      <c r="O51" s="212">
        <f>ROUND(E51*N51,2)</f>
        <v>17.87</v>
      </c>
      <c r="P51" s="212">
        <v>0.0</v>
      </c>
      <c r="Q51" s="212">
        <f>ROUND(E51*P51,2)</f>
        <v>0</v>
      </c>
      <c r="R51" s="212" t="s">
        <v>322</v>
      </c>
      <c r="S51" s="212" t="s">
        <v>184</v>
      </c>
      <c r="T51" s="212" t="s">
        <v>184</v>
      </c>
      <c r="U51" s="212">
        <v>0.0</v>
      </c>
      <c r="V51" s="212">
        <f>ROUND(E51*U51,2)</f>
        <v>0</v>
      </c>
      <c r="W51" s="212"/>
      <c r="X51" s="212" t="s">
        <v>323</v>
      </c>
      <c r="Y51" s="213"/>
      <c r="Z51" s="213"/>
      <c r="AA51" s="213"/>
      <c r="AB51" s="213"/>
      <c r="AC51" s="213"/>
      <c r="AD51" s="213"/>
      <c r="AE51" s="213"/>
      <c r="AF51" s="213"/>
      <c r="AG51" s="213" t="s">
        <v>324</v>
      </c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35"/>
      <c r="B52" s="236"/>
      <c r="C52" s="237" t="s">
        <v>1044</v>
      </c>
      <c r="D52" s="238"/>
      <c r="E52" s="239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3"/>
      <c r="Z52" s="213"/>
      <c r="AA52" s="213"/>
      <c r="AB52" s="213"/>
      <c r="AC52" s="213"/>
      <c r="AD52" s="213"/>
      <c r="AE52" s="213"/>
      <c r="AF52" s="213"/>
      <c r="AG52" s="213" t="s">
        <v>228</v>
      </c>
      <c r="AH52" s="213">
        <v>0.0</v>
      </c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40" t="s">
        <v>236</v>
      </c>
      <c r="D53" s="241"/>
      <c r="E53" s="24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43" t="s">
        <v>1114</v>
      </c>
      <c r="D54" s="241"/>
      <c r="E54" s="242">
        <v>9.45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2.0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40" t="s">
        <v>238</v>
      </c>
      <c r="D55" s="241"/>
      <c r="E55" s="24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/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1115</v>
      </c>
      <c r="D56" s="238"/>
      <c r="E56" s="239">
        <v>17.87</v>
      </c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>
      <c r="A57" s="196" t="s">
        <v>173</v>
      </c>
      <c r="B57" s="197" t="s">
        <v>100</v>
      </c>
      <c r="C57" s="198" t="s">
        <v>101</v>
      </c>
      <c r="D57" s="199"/>
      <c r="E57" s="200"/>
      <c r="F57" s="201"/>
      <c r="G57" s="202">
        <f>SUMIF(AG58:AG66,"&lt;&gt;NOR",G58:G66)</f>
        <v>4336.5</v>
      </c>
      <c r="H57" s="203"/>
      <c r="I57" s="203">
        <f>SUM(I58:I66)</f>
        <v>0</v>
      </c>
      <c r="J57" s="203"/>
      <c r="K57" s="203">
        <f>SUM(K58:K66)</f>
        <v>0</v>
      </c>
      <c r="L57" s="203"/>
      <c r="M57" s="203">
        <f>SUM(M58:M66)</f>
        <v>5247.165</v>
      </c>
      <c r="N57" s="203"/>
      <c r="O57" s="203">
        <f>SUM(O58:O66)</f>
        <v>2.35</v>
      </c>
      <c r="P57" s="203"/>
      <c r="Q57" s="203">
        <f>SUM(Q58:Q66)</f>
        <v>0</v>
      </c>
      <c r="R57" s="203"/>
      <c r="S57" s="203"/>
      <c r="T57" s="203"/>
      <c r="U57" s="203"/>
      <c r="V57" s="203">
        <f>SUM(V58:V66)</f>
        <v>4.74</v>
      </c>
      <c r="W57" s="203"/>
      <c r="X57" s="203"/>
      <c r="AG57" s="184" t="s">
        <v>174</v>
      </c>
    </row>
    <row r="58" ht="12.75" customHeight="1" outlineLevel="1">
      <c r="A58" s="214">
        <v>14.0</v>
      </c>
      <c r="B58" s="215" t="s">
        <v>347</v>
      </c>
      <c r="C58" s="216" t="s">
        <v>348</v>
      </c>
      <c r="D58" s="217" t="s">
        <v>234</v>
      </c>
      <c r="E58" s="218">
        <v>1.5812</v>
      </c>
      <c r="F58" s="219">
        <v>1010.69</v>
      </c>
      <c r="G58" s="220">
        <f>ROUND(E58*F58,2)</f>
        <v>1598.1</v>
      </c>
      <c r="H58" s="211"/>
      <c r="I58" s="212">
        <f>ROUND(E58*H58,2)</f>
        <v>0</v>
      </c>
      <c r="J58" s="211"/>
      <c r="K58" s="212">
        <f>ROUND(E58*J58,2)</f>
        <v>0</v>
      </c>
      <c r="L58" s="212">
        <v>21.0</v>
      </c>
      <c r="M58" s="212">
        <f>G58*(1+L58/100)</f>
        <v>1933.701</v>
      </c>
      <c r="N58" s="212">
        <v>1.1322</v>
      </c>
      <c r="O58" s="212">
        <f>ROUND(E58*N58,2)</f>
        <v>1.79</v>
      </c>
      <c r="P58" s="212">
        <v>0.0</v>
      </c>
      <c r="Q58" s="212">
        <f>ROUND(E58*P58,2)</f>
        <v>0</v>
      </c>
      <c r="R58" s="212"/>
      <c r="S58" s="212" t="s">
        <v>184</v>
      </c>
      <c r="T58" s="212" t="s">
        <v>184</v>
      </c>
      <c r="U58" s="212">
        <v>1.695</v>
      </c>
      <c r="V58" s="212">
        <f>ROUND(E58*U58,2)</f>
        <v>2.68</v>
      </c>
      <c r="W58" s="212"/>
      <c r="X58" s="212" t="s">
        <v>225</v>
      </c>
      <c r="Y58" s="213"/>
      <c r="Z58" s="213"/>
      <c r="AA58" s="213"/>
      <c r="AB58" s="213"/>
      <c r="AC58" s="213"/>
      <c r="AD58" s="213"/>
      <c r="AE58" s="213"/>
      <c r="AF58" s="213"/>
      <c r="AG58" s="213" t="s">
        <v>226</v>
      </c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1044</v>
      </c>
      <c r="D59" s="238"/>
      <c r="E59" s="239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1116</v>
      </c>
      <c r="D60" s="238"/>
      <c r="E60" s="239">
        <v>1.58</v>
      </c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14">
        <v>15.0</v>
      </c>
      <c r="B61" s="215" t="s">
        <v>513</v>
      </c>
      <c r="C61" s="216" t="s">
        <v>514</v>
      </c>
      <c r="D61" s="217" t="s">
        <v>372</v>
      </c>
      <c r="E61" s="218">
        <v>14.0</v>
      </c>
      <c r="F61" s="219">
        <v>77.1</v>
      </c>
      <c r="G61" s="220">
        <f>ROUND(E61*F61,2)</f>
        <v>1079.4</v>
      </c>
      <c r="H61" s="211"/>
      <c r="I61" s="212">
        <f>ROUND(E61*H61,2)</f>
        <v>0</v>
      </c>
      <c r="J61" s="211"/>
      <c r="K61" s="212">
        <f>ROUND(E61*J61,2)</f>
        <v>0</v>
      </c>
      <c r="L61" s="212">
        <v>21.0</v>
      </c>
      <c r="M61" s="212">
        <f>G61*(1+L61/100)</f>
        <v>1306.074</v>
      </c>
      <c r="N61" s="212">
        <v>0.00165</v>
      </c>
      <c r="O61" s="212">
        <f>ROUND(E61*N61,2)</f>
        <v>0.02</v>
      </c>
      <c r="P61" s="212">
        <v>0.0</v>
      </c>
      <c r="Q61" s="212">
        <f>ROUND(E61*P61,2)</f>
        <v>0</v>
      </c>
      <c r="R61" s="212"/>
      <c r="S61" s="212" t="s">
        <v>184</v>
      </c>
      <c r="T61" s="212" t="s">
        <v>184</v>
      </c>
      <c r="U61" s="212">
        <v>0.147</v>
      </c>
      <c r="V61" s="212">
        <f>ROUND(E61*U61,2)</f>
        <v>2.06</v>
      </c>
      <c r="W61" s="212"/>
      <c r="X61" s="212" t="s">
        <v>225</v>
      </c>
      <c r="Y61" s="213"/>
      <c r="Z61" s="213"/>
      <c r="AA61" s="213"/>
      <c r="AB61" s="213"/>
      <c r="AC61" s="213"/>
      <c r="AD61" s="213"/>
      <c r="AE61" s="213"/>
      <c r="AF61" s="213"/>
      <c r="AG61" s="213" t="s">
        <v>226</v>
      </c>
      <c r="AH61" s="213"/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35"/>
      <c r="B62" s="236"/>
      <c r="C62" s="237" t="s">
        <v>515</v>
      </c>
      <c r="D62" s="238"/>
      <c r="E62" s="239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3"/>
      <c r="Z62" s="213"/>
      <c r="AA62" s="213"/>
      <c r="AB62" s="213"/>
      <c r="AC62" s="213"/>
      <c r="AD62" s="213"/>
      <c r="AE62" s="213"/>
      <c r="AF62" s="213"/>
      <c r="AG62" s="213" t="s">
        <v>228</v>
      </c>
      <c r="AH62" s="213">
        <v>0.0</v>
      </c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1117</v>
      </c>
      <c r="D63" s="238"/>
      <c r="E63" s="239">
        <v>14.0</v>
      </c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14">
        <v>16.0</v>
      </c>
      <c r="B64" s="215" t="s">
        <v>521</v>
      </c>
      <c r="C64" s="216" t="s">
        <v>522</v>
      </c>
      <c r="D64" s="217" t="s">
        <v>372</v>
      </c>
      <c r="E64" s="218">
        <v>14.0</v>
      </c>
      <c r="F64" s="219">
        <v>118.5</v>
      </c>
      <c r="G64" s="220">
        <f>ROUND(E64*F64,2)</f>
        <v>1659</v>
      </c>
      <c r="H64" s="211"/>
      <c r="I64" s="212">
        <f>ROUND(E64*H64,2)</f>
        <v>0</v>
      </c>
      <c r="J64" s="211"/>
      <c r="K64" s="212">
        <f>ROUND(E64*J64,2)</f>
        <v>0</v>
      </c>
      <c r="L64" s="212">
        <v>21.0</v>
      </c>
      <c r="M64" s="212">
        <f>G64*(1+L64/100)</f>
        <v>2007.39</v>
      </c>
      <c r="N64" s="212">
        <v>0.0387</v>
      </c>
      <c r="O64" s="212">
        <f>ROUND(E64*N64,2)</f>
        <v>0.54</v>
      </c>
      <c r="P64" s="212">
        <v>0.0</v>
      </c>
      <c r="Q64" s="212">
        <f>ROUND(E64*P64,2)</f>
        <v>0</v>
      </c>
      <c r="R64" s="212" t="s">
        <v>322</v>
      </c>
      <c r="S64" s="212" t="s">
        <v>184</v>
      </c>
      <c r="T64" s="212" t="s">
        <v>184</v>
      </c>
      <c r="U64" s="212">
        <v>0.0</v>
      </c>
      <c r="V64" s="212">
        <f>ROUND(E64*U64,2)</f>
        <v>0</v>
      </c>
      <c r="W64" s="212"/>
      <c r="X64" s="212" t="s">
        <v>323</v>
      </c>
      <c r="Y64" s="213"/>
      <c r="Z64" s="213"/>
      <c r="AA64" s="213"/>
      <c r="AB64" s="213"/>
      <c r="AC64" s="213"/>
      <c r="AD64" s="213"/>
      <c r="AE64" s="213"/>
      <c r="AF64" s="213"/>
      <c r="AG64" s="213" t="s">
        <v>324</v>
      </c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515</v>
      </c>
      <c r="D65" s="238"/>
      <c r="E65" s="239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1117</v>
      </c>
      <c r="D66" s="238"/>
      <c r="E66" s="239">
        <v>14.0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>
      <c r="A67" s="196" t="s">
        <v>173</v>
      </c>
      <c r="B67" s="197" t="s">
        <v>104</v>
      </c>
      <c r="C67" s="198" t="s">
        <v>105</v>
      </c>
      <c r="D67" s="199"/>
      <c r="E67" s="200"/>
      <c r="F67" s="201"/>
      <c r="G67" s="202">
        <f>SUMIF(AG68:AG70,"&lt;&gt;NOR",G68:G70)</f>
        <v>5224.45</v>
      </c>
      <c r="H67" s="203"/>
      <c r="I67" s="203">
        <f>SUM(I68:I70)</f>
        <v>0</v>
      </c>
      <c r="J67" s="203"/>
      <c r="K67" s="203">
        <f>SUM(K68:K70)</f>
        <v>0</v>
      </c>
      <c r="L67" s="203"/>
      <c r="M67" s="203">
        <f>SUM(M68:M70)</f>
        <v>6321.5845</v>
      </c>
      <c r="N67" s="203"/>
      <c r="O67" s="203">
        <f>SUM(O68:O70)</f>
        <v>3.19</v>
      </c>
      <c r="P67" s="203"/>
      <c r="Q67" s="203">
        <f>SUM(Q68:Q70)</f>
        <v>0</v>
      </c>
      <c r="R67" s="203"/>
      <c r="S67" s="203"/>
      <c r="T67" s="203"/>
      <c r="U67" s="203"/>
      <c r="V67" s="203">
        <f>SUM(V68:V70)</f>
        <v>3.26</v>
      </c>
      <c r="W67" s="203"/>
      <c r="X67" s="203"/>
      <c r="AG67" s="184" t="s">
        <v>174</v>
      </c>
    </row>
    <row r="68" ht="12.75" customHeight="1" outlineLevel="1">
      <c r="A68" s="214">
        <v>17.0</v>
      </c>
      <c r="B68" s="215" t="s">
        <v>531</v>
      </c>
      <c r="C68" s="216" t="s">
        <v>532</v>
      </c>
      <c r="D68" s="217" t="s">
        <v>234</v>
      </c>
      <c r="E68" s="218">
        <v>1.265</v>
      </c>
      <c r="F68" s="219">
        <v>4130.0</v>
      </c>
      <c r="G68" s="220">
        <f>ROUND(E68*F68,2)</f>
        <v>5224.45</v>
      </c>
      <c r="H68" s="211"/>
      <c r="I68" s="212">
        <f>ROUND(E68*H68,2)</f>
        <v>0</v>
      </c>
      <c r="J68" s="211"/>
      <c r="K68" s="212">
        <f>ROUND(E68*J68,2)</f>
        <v>0</v>
      </c>
      <c r="L68" s="212">
        <v>21.0</v>
      </c>
      <c r="M68" s="212">
        <f>G68*(1+L68/100)</f>
        <v>6321.5845</v>
      </c>
      <c r="N68" s="212">
        <v>2.525</v>
      </c>
      <c r="O68" s="212">
        <f>ROUND(E68*N68,2)</f>
        <v>3.19</v>
      </c>
      <c r="P68" s="212">
        <v>0.0</v>
      </c>
      <c r="Q68" s="212">
        <f>ROUND(E68*P68,2)</f>
        <v>0</v>
      </c>
      <c r="R68" s="212"/>
      <c r="S68" s="212" t="s">
        <v>184</v>
      </c>
      <c r="T68" s="212" t="s">
        <v>184</v>
      </c>
      <c r="U68" s="212">
        <v>2.58</v>
      </c>
      <c r="V68" s="212">
        <f>ROUND(E68*U68,2)</f>
        <v>3.26</v>
      </c>
      <c r="W68" s="212"/>
      <c r="X68" s="212" t="s">
        <v>225</v>
      </c>
      <c r="Y68" s="213"/>
      <c r="Z68" s="213"/>
      <c r="AA68" s="213"/>
      <c r="AB68" s="213"/>
      <c r="AC68" s="213"/>
      <c r="AD68" s="213"/>
      <c r="AE68" s="213"/>
      <c r="AF68" s="213"/>
      <c r="AG68" s="213" t="s">
        <v>226</v>
      </c>
      <c r="AH68" s="213"/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1061</v>
      </c>
      <c r="D69" s="238"/>
      <c r="E69" s="239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1118</v>
      </c>
      <c r="D70" s="238"/>
      <c r="E70" s="239">
        <v>1.26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>
      <c r="A71" s="196" t="s">
        <v>173</v>
      </c>
      <c r="B71" s="197" t="s">
        <v>106</v>
      </c>
      <c r="C71" s="198" t="s">
        <v>107</v>
      </c>
      <c r="D71" s="199"/>
      <c r="E71" s="200"/>
      <c r="F71" s="201"/>
      <c r="G71" s="202">
        <f>SUMIF(AG72:AG88,"&lt;&gt;NOR",G72:G88)</f>
        <v>53127.97</v>
      </c>
      <c r="H71" s="203"/>
      <c r="I71" s="203">
        <f>SUM(I72:I88)</f>
        <v>0</v>
      </c>
      <c r="J71" s="203"/>
      <c r="K71" s="203">
        <f>SUM(K72:K88)</f>
        <v>0</v>
      </c>
      <c r="L71" s="203"/>
      <c r="M71" s="203">
        <f>SUM(M72:M88)</f>
        <v>64284.8437</v>
      </c>
      <c r="N71" s="203"/>
      <c r="O71" s="203">
        <f>SUM(O72:O88)</f>
        <v>20.53</v>
      </c>
      <c r="P71" s="203"/>
      <c r="Q71" s="203">
        <f>SUM(Q72:Q88)</f>
        <v>0</v>
      </c>
      <c r="R71" s="203"/>
      <c r="S71" s="203"/>
      <c r="T71" s="203"/>
      <c r="U71" s="203"/>
      <c r="V71" s="203">
        <f>SUM(V72:V88)</f>
        <v>42.77</v>
      </c>
      <c r="W71" s="203"/>
      <c r="X71" s="203"/>
      <c r="AG71" s="184" t="s">
        <v>174</v>
      </c>
    </row>
    <row r="72" ht="12.75" customHeight="1" outlineLevel="1">
      <c r="A72" s="204">
        <v>18.0</v>
      </c>
      <c r="B72" s="205" t="s">
        <v>547</v>
      </c>
      <c r="C72" s="206" t="s">
        <v>1119</v>
      </c>
      <c r="D72" s="207" t="s">
        <v>372</v>
      </c>
      <c r="E72" s="208">
        <v>1.0</v>
      </c>
      <c r="F72" s="209">
        <v>702.46</v>
      </c>
      <c r="G72" s="210">
        <f t="shared" ref="G72:G74" si="1">ROUND(E72*F72,2)</f>
        <v>702.46</v>
      </c>
      <c r="H72" s="211"/>
      <c r="I72" s="212">
        <f t="shared" ref="I72:I74" si="2">ROUND(E72*H72,2)</f>
        <v>0</v>
      </c>
      <c r="J72" s="211"/>
      <c r="K72" s="212">
        <f t="shared" ref="K72:K74" si="3">ROUND(E72*J72,2)</f>
        <v>0</v>
      </c>
      <c r="L72" s="212">
        <v>21.0</v>
      </c>
      <c r="M72" s="212">
        <f t="shared" ref="M72:M74" si="4">G72*(1+L72/100)</f>
        <v>849.9766</v>
      </c>
      <c r="N72" s="212">
        <v>0.0</v>
      </c>
      <c r="O72" s="212">
        <f t="shared" ref="O72:O74" si="5">ROUND(E72*N72,2)</f>
        <v>0</v>
      </c>
      <c r="P72" s="212">
        <v>0.0</v>
      </c>
      <c r="Q72" s="212">
        <f t="shared" ref="Q72:Q74" si="6">ROUND(E72*P72,2)</f>
        <v>0</v>
      </c>
      <c r="R72" s="212"/>
      <c r="S72" s="212" t="s">
        <v>178</v>
      </c>
      <c r="T72" s="212" t="s">
        <v>179</v>
      </c>
      <c r="U72" s="212">
        <v>0.0</v>
      </c>
      <c r="V72" s="212">
        <f t="shared" ref="V72:V74" si="7">ROUND(E72*U72,2)</f>
        <v>0</v>
      </c>
      <c r="W72" s="212"/>
      <c r="X72" s="212" t="s">
        <v>225</v>
      </c>
      <c r="Y72" s="213"/>
      <c r="Z72" s="213"/>
      <c r="AA72" s="213"/>
      <c r="AB72" s="213"/>
      <c r="AC72" s="213"/>
      <c r="AD72" s="213"/>
      <c r="AE72" s="213"/>
      <c r="AF72" s="213"/>
      <c r="AG72" s="213" t="s">
        <v>226</v>
      </c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04">
        <v>19.0</v>
      </c>
      <c r="B73" s="205" t="s">
        <v>1120</v>
      </c>
      <c r="C73" s="206" t="s">
        <v>1121</v>
      </c>
      <c r="D73" s="207" t="s">
        <v>372</v>
      </c>
      <c r="E73" s="208">
        <v>1.0</v>
      </c>
      <c r="F73" s="209">
        <v>660.0</v>
      </c>
      <c r="G73" s="210">
        <f t="shared" si="1"/>
        <v>660</v>
      </c>
      <c r="H73" s="211"/>
      <c r="I73" s="212">
        <f t="shared" si="2"/>
        <v>0</v>
      </c>
      <c r="J73" s="211"/>
      <c r="K73" s="212">
        <f t="shared" si="3"/>
        <v>0</v>
      </c>
      <c r="L73" s="212">
        <v>21.0</v>
      </c>
      <c r="M73" s="212">
        <f t="shared" si="4"/>
        <v>798.6</v>
      </c>
      <c r="N73" s="212">
        <v>0.015</v>
      </c>
      <c r="O73" s="212">
        <f t="shared" si="5"/>
        <v>0.02</v>
      </c>
      <c r="P73" s="212">
        <v>0.0</v>
      </c>
      <c r="Q73" s="212">
        <f t="shared" si="6"/>
        <v>0</v>
      </c>
      <c r="R73" s="212"/>
      <c r="S73" s="212" t="s">
        <v>178</v>
      </c>
      <c r="T73" s="212" t="s">
        <v>179</v>
      </c>
      <c r="U73" s="212">
        <v>0.0</v>
      </c>
      <c r="V73" s="212">
        <f t="shared" si="7"/>
        <v>0</v>
      </c>
      <c r="W73" s="212"/>
      <c r="X73" s="212" t="s">
        <v>225</v>
      </c>
      <c r="Y73" s="213"/>
      <c r="Z73" s="213"/>
      <c r="AA73" s="213"/>
      <c r="AB73" s="213"/>
      <c r="AC73" s="213"/>
      <c r="AD73" s="213"/>
      <c r="AE73" s="213"/>
      <c r="AF73" s="213"/>
      <c r="AG73" s="213" t="s">
        <v>226</v>
      </c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14">
        <v>20.0</v>
      </c>
      <c r="B74" s="215" t="s">
        <v>549</v>
      </c>
      <c r="C74" s="216" t="s">
        <v>550</v>
      </c>
      <c r="D74" s="217" t="s">
        <v>251</v>
      </c>
      <c r="E74" s="218">
        <v>13.7</v>
      </c>
      <c r="F74" s="219">
        <v>263.8</v>
      </c>
      <c r="G74" s="220">
        <f t="shared" si="1"/>
        <v>3614.06</v>
      </c>
      <c r="H74" s="211"/>
      <c r="I74" s="212">
        <f t="shared" si="2"/>
        <v>0</v>
      </c>
      <c r="J74" s="211"/>
      <c r="K74" s="212">
        <f t="shared" si="3"/>
        <v>0</v>
      </c>
      <c r="L74" s="212">
        <v>21.0</v>
      </c>
      <c r="M74" s="212">
        <f t="shared" si="4"/>
        <v>4373.0126</v>
      </c>
      <c r="N74" s="212">
        <v>3.0E-5</v>
      </c>
      <c r="O74" s="212">
        <f t="shared" si="5"/>
        <v>0</v>
      </c>
      <c r="P74" s="212">
        <v>0.0</v>
      </c>
      <c r="Q74" s="212">
        <f t="shared" si="6"/>
        <v>0</v>
      </c>
      <c r="R74" s="212"/>
      <c r="S74" s="212" t="s">
        <v>184</v>
      </c>
      <c r="T74" s="212" t="s">
        <v>184</v>
      </c>
      <c r="U74" s="212">
        <v>0.417</v>
      </c>
      <c r="V74" s="212">
        <f t="shared" si="7"/>
        <v>5.71</v>
      </c>
      <c r="W74" s="212"/>
      <c r="X74" s="212" t="s">
        <v>225</v>
      </c>
      <c r="Y74" s="213"/>
      <c r="Z74" s="213"/>
      <c r="AA74" s="213"/>
      <c r="AB74" s="213"/>
      <c r="AC74" s="213"/>
      <c r="AD74" s="213"/>
      <c r="AE74" s="213"/>
      <c r="AF74" s="213"/>
      <c r="AG74" s="213" t="s">
        <v>226</v>
      </c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1122</v>
      </c>
      <c r="D75" s="238"/>
      <c r="E75" s="239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35"/>
      <c r="B76" s="236"/>
      <c r="C76" s="237" t="s">
        <v>1123</v>
      </c>
      <c r="D76" s="238"/>
      <c r="E76" s="239">
        <v>13.7</v>
      </c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3"/>
      <c r="Z76" s="213"/>
      <c r="AA76" s="213"/>
      <c r="AB76" s="213"/>
      <c r="AC76" s="213"/>
      <c r="AD76" s="213"/>
      <c r="AE76" s="213"/>
      <c r="AF76" s="213"/>
      <c r="AG76" s="213" t="s">
        <v>228</v>
      </c>
      <c r="AH76" s="213">
        <v>0.0</v>
      </c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14">
        <v>21.0</v>
      </c>
      <c r="B77" s="215" t="s">
        <v>556</v>
      </c>
      <c r="C77" s="216" t="s">
        <v>557</v>
      </c>
      <c r="D77" s="217" t="s">
        <v>251</v>
      </c>
      <c r="E77" s="218">
        <v>13.7</v>
      </c>
      <c r="F77" s="219">
        <v>27.6</v>
      </c>
      <c r="G77" s="220">
        <f>ROUND(E77*F77,2)</f>
        <v>378.12</v>
      </c>
      <c r="H77" s="211"/>
      <c r="I77" s="212">
        <f>ROUND(E77*H77,2)</f>
        <v>0</v>
      </c>
      <c r="J77" s="211"/>
      <c r="K77" s="212">
        <f>ROUND(E77*J77,2)</f>
        <v>0</v>
      </c>
      <c r="L77" s="212">
        <v>21.0</v>
      </c>
      <c r="M77" s="212">
        <f>G77*(1+L77/100)</f>
        <v>457.5252</v>
      </c>
      <c r="N77" s="212">
        <v>0.0</v>
      </c>
      <c r="O77" s="212">
        <f>ROUND(E77*N77,2)</f>
        <v>0</v>
      </c>
      <c r="P77" s="212">
        <v>0.0</v>
      </c>
      <c r="Q77" s="212">
        <f>ROUND(E77*P77,2)</f>
        <v>0</v>
      </c>
      <c r="R77" s="212"/>
      <c r="S77" s="212" t="s">
        <v>184</v>
      </c>
      <c r="T77" s="212" t="s">
        <v>184</v>
      </c>
      <c r="U77" s="212">
        <v>0.059</v>
      </c>
      <c r="V77" s="212">
        <f>ROUND(E77*U77,2)</f>
        <v>0.81</v>
      </c>
      <c r="W77" s="212"/>
      <c r="X77" s="212" t="s">
        <v>225</v>
      </c>
      <c r="Y77" s="213"/>
      <c r="Z77" s="213"/>
      <c r="AA77" s="213"/>
      <c r="AB77" s="213"/>
      <c r="AC77" s="213"/>
      <c r="AD77" s="213"/>
      <c r="AE77" s="213"/>
      <c r="AF77" s="213"/>
      <c r="AG77" s="213" t="s">
        <v>226</v>
      </c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1123</v>
      </c>
      <c r="D78" s="238"/>
      <c r="E78" s="239">
        <v>13.7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04">
        <v>22.0</v>
      </c>
      <c r="B79" s="205" t="s">
        <v>1124</v>
      </c>
      <c r="C79" s="206" t="s">
        <v>1125</v>
      </c>
      <c r="D79" s="207" t="s">
        <v>1078</v>
      </c>
      <c r="E79" s="208">
        <v>1.0</v>
      </c>
      <c r="F79" s="209">
        <v>3217.1</v>
      </c>
      <c r="G79" s="210">
        <f t="shared" ref="G79:G80" si="8">ROUND(E79*F79,2)</f>
        <v>3217.1</v>
      </c>
      <c r="H79" s="211"/>
      <c r="I79" s="212">
        <f t="shared" ref="I79:I80" si="9">ROUND(E79*H79,2)</f>
        <v>0</v>
      </c>
      <c r="J79" s="211"/>
      <c r="K79" s="212">
        <f t="shared" ref="K79:K80" si="10">ROUND(E79*J79,2)</f>
        <v>0</v>
      </c>
      <c r="L79" s="212">
        <v>21.0</v>
      </c>
      <c r="M79" s="212">
        <f t="shared" ref="M79:M80" si="11">G79*(1+L79/100)</f>
        <v>3892.691</v>
      </c>
      <c r="N79" s="212">
        <v>1.3E-4</v>
      </c>
      <c r="O79" s="212">
        <f t="shared" ref="O79:O80" si="12">ROUND(E79*N79,2)</f>
        <v>0</v>
      </c>
      <c r="P79" s="212">
        <v>0.0</v>
      </c>
      <c r="Q79" s="212">
        <f t="shared" ref="Q79:Q80" si="13">ROUND(E79*P79,2)</f>
        <v>0</v>
      </c>
      <c r="R79" s="212"/>
      <c r="S79" s="212" t="s">
        <v>184</v>
      </c>
      <c r="T79" s="212" t="s">
        <v>184</v>
      </c>
      <c r="U79" s="212">
        <v>6.2</v>
      </c>
      <c r="V79" s="212">
        <f t="shared" ref="V79:V80" si="14">ROUND(E79*U79,2)</f>
        <v>6.2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226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14">
        <v>23.0</v>
      </c>
      <c r="B80" s="215" t="s">
        <v>558</v>
      </c>
      <c r="C80" s="216" t="s">
        <v>559</v>
      </c>
      <c r="D80" s="217" t="s">
        <v>234</v>
      </c>
      <c r="E80" s="218">
        <v>7.8775</v>
      </c>
      <c r="F80" s="219">
        <v>3035.0</v>
      </c>
      <c r="G80" s="220">
        <f t="shared" si="8"/>
        <v>23908.21</v>
      </c>
      <c r="H80" s="211"/>
      <c r="I80" s="212">
        <f t="shared" si="9"/>
        <v>0</v>
      </c>
      <c r="J80" s="211"/>
      <c r="K80" s="212">
        <f t="shared" si="10"/>
        <v>0</v>
      </c>
      <c r="L80" s="212">
        <v>21.0</v>
      </c>
      <c r="M80" s="212">
        <f t="shared" si="11"/>
        <v>28928.9341</v>
      </c>
      <c r="N80" s="212">
        <v>2.525</v>
      </c>
      <c r="O80" s="212">
        <f t="shared" si="12"/>
        <v>19.89</v>
      </c>
      <c r="P80" s="212">
        <v>0.0</v>
      </c>
      <c r="Q80" s="212">
        <f t="shared" si="13"/>
        <v>0</v>
      </c>
      <c r="R80" s="212"/>
      <c r="S80" s="212" t="s">
        <v>184</v>
      </c>
      <c r="T80" s="212" t="s">
        <v>184</v>
      </c>
      <c r="U80" s="212">
        <v>1.303</v>
      </c>
      <c r="V80" s="212">
        <f t="shared" si="14"/>
        <v>10.26</v>
      </c>
      <c r="W80" s="212"/>
      <c r="X80" s="212" t="s">
        <v>225</v>
      </c>
      <c r="Y80" s="213"/>
      <c r="Z80" s="213"/>
      <c r="AA80" s="213"/>
      <c r="AB80" s="213"/>
      <c r="AC80" s="213"/>
      <c r="AD80" s="213"/>
      <c r="AE80" s="213"/>
      <c r="AF80" s="213"/>
      <c r="AG80" s="213" t="s">
        <v>226</v>
      </c>
      <c r="AH80" s="213"/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35"/>
      <c r="B81" s="236"/>
      <c r="C81" s="237" t="s">
        <v>560</v>
      </c>
      <c r="D81" s="238"/>
      <c r="E81" s="239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3"/>
      <c r="Z81" s="213"/>
      <c r="AA81" s="213"/>
      <c r="AB81" s="213"/>
      <c r="AC81" s="213"/>
      <c r="AD81" s="213"/>
      <c r="AE81" s="213"/>
      <c r="AF81" s="213"/>
      <c r="AG81" s="213" t="s">
        <v>228</v>
      </c>
      <c r="AH81" s="213">
        <v>0.0</v>
      </c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35"/>
      <c r="B82" s="236"/>
      <c r="C82" s="237" t="s">
        <v>1126</v>
      </c>
      <c r="D82" s="238"/>
      <c r="E82" s="239">
        <v>7.88</v>
      </c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3"/>
      <c r="Z82" s="213"/>
      <c r="AA82" s="213"/>
      <c r="AB82" s="213"/>
      <c r="AC82" s="213"/>
      <c r="AD82" s="213"/>
      <c r="AE82" s="213"/>
      <c r="AF82" s="213"/>
      <c r="AG82" s="213" t="s">
        <v>228</v>
      </c>
      <c r="AH82" s="213">
        <v>0.0</v>
      </c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14">
        <v>24.0</v>
      </c>
      <c r="B83" s="215" t="s">
        <v>568</v>
      </c>
      <c r="C83" s="216" t="s">
        <v>569</v>
      </c>
      <c r="D83" s="217" t="s">
        <v>224</v>
      </c>
      <c r="E83" s="218">
        <v>20.55</v>
      </c>
      <c r="F83" s="219">
        <v>262.0</v>
      </c>
      <c r="G83" s="220">
        <f>ROUND(E83*F83,2)</f>
        <v>5384.1</v>
      </c>
      <c r="H83" s="211"/>
      <c r="I83" s="212">
        <f>ROUND(E83*H83,2)</f>
        <v>0</v>
      </c>
      <c r="J83" s="211"/>
      <c r="K83" s="212">
        <f>ROUND(E83*J83,2)</f>
        <v>0</v>
      </c>
      <c r="L83" s="212">
        <v>21.0</v>
      </c>
      <c r="M83" s="212">
        <f>G83*(1+L83/100)</f>
        <v>6514.761</v>
      </c>
      <c r="N83" s="212">
        <v>0.00418</v>
      </c>
      <c r="O83" s="212">
        <f>ROUND(E83*N83,2)</f>
        <v>0.09</v>
      </c>
      <c r="P83" s="212">
        <v>0.0</v>
      </c>
      <c r="Q83" s="212">
        <f>ROUND(E83*P83,2)</f>
        <v>0</v>
      </c>
      <c r="R83" s="212"/>
      <c r="S83" s="212" t="s">
        <v>184</v>
      </c>
      <c r="T83" s="212" t="s">
        <v>184</v>
      </c>
      <c r="U83" s="212">
        <v>0.963</v>
      </c>
      <c r="V83" s="212">
        <f>ROUND(E83*U83,2)</f>
        <v>19.79</v>
      </c>
      <c r="W83" s="212"/>
      <c r="X83" s="212" t="s">
        <v>225</v>
      </c>
      <c r="Y83" s="213"/>
      <c r="Z83" s="213"/>
      <c r="AA83" s="213"/>
      <c r="AB83" s="213"/>
      <c r="AC83" s="213"/>
      <c r="AD83" s="213"/>
      <c r="AE83" s="213"/>
      <c r="AF83" s="213"/>
      <c r="AG83" s="213" t="s">
        <v>226</v>
      </c>
      <c r="AH83" s="213"/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35"/>
      <c r="B84" s="236"/>
      <c r="C84" s="237" t="s">
        <v>1083</v>
      </c>
      <c r="D84" s="238"/>
      <c r="E84" s="239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3"/>
      <c r="Z84" s="213"/>
      <c r="AA84" s="213"/>
      <c r="AB84" s="213"/>
      <c r="AC84" s="213"/>
      <c r="AD84" s="213"/>
      <c r="AE84" s="213"/>
      <c r="AF84" s="213"/>
      <c r="AG84" s="213" t="s">
        <v>228</v>
      </c>
      <c r="AH84" s="213">
        <v>0.0</v>
      </c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35"/>
      <c r="B85" s="236"/>
      <c r="C85" s="237" t="s">
        <v>1127</v>
      </c>
      <c r="D85" s="238"/>
      <c r="E85" s="239">
        <v>20.55</v>
      </c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3"/>
      <c r="Z85" s="213"/>
      <c r="AA85" s="213"/>
      <c r="AB85" s="213"/>
      <c r="AC85" s="213"/>
      <c r="AD85" s="213"/>
      <c r="AE85" s="213"/>
      <c r="AF85" s="213"/>
      <c r="AG85" s="213" t="s">
        <v>228</v>
      </c>
      <c r="AH85" s="213">
        <v>0.0</v>
      </c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14">
        <v>25.0</v>
      </c>
      <c r="B86" s="215" t="s">
        <v>574</v>
      </c>
      <c r="C86" s="216" t="s">
        <v>575</v>
      </c>
      <c r="D86" s="217" t="s">
        <v>251</v>
      </c>
      <c r="E86" s="218">
        <v>14.385</v>
      </c>
      <c r="F86" s="219">
        <v>1061.1</v>
      </c>
      <c r="G86" s="220">
        <f>ROUND(E86*F86,2)</f>
        <v>15263.92</v>
      </c>
      <c r="H86" s="211"/>
      <c r="I86" s="212">
        <f>ROUND(E86*H86,2)</f>
        <v>0</v>
      </c>
      <c r="J86" s="211"/>
      <c r="K86" s="212">
        <f>ROUND(E86*J86,2)</f>
        <v>0</v>
      </c>
      <c r="L86" s="212">
        <v>21.0</v>
      </c>
      <c r="M86" s="212">
        <f>G86*(1+L86/100)</f>
        <v>18469.3432</v>
      </c>
      <c r="N86" s="212">
        <v>0.037</v>
      </c>
      <c r="O86" s="212">
        <f>ROUND(E86*N86,2)</f>
        <v>0.53</v>
      </c>
      <c r="P86" s="212">
        <v>0.0</v>
      </c>
      <c r="Q86" s="212">
        <f>ROUND(E86*P86,2)</f>
        <v>0</v>
      </c>
      <c r="R86" s="212" t="s">
        <v>322</v>
      </c>
      <c r="S86" s="212" t="s">
        <v>184</v>
      </c>
      <c r="T86" s="212" t="s">
        <v>184</v>
      </c>
      <c r="U86" s="212">
        <v>0.0</v>
      </c>
      <c r="V86" s="212">
        <f>ROUND(E86*U86,2)</f>
        <v>0</v>
      </c>
      <c r="W86" s="212"/>
      <c r="X86" s="212" t="s">
        <v>323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324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35"/>
      <c r="B87" s="236"/>
      <c r="C87" s="237" t="s">
        <v>1122</v>
      </c>
      <c r="D87" s="238"/>
      <c r="E87" s="239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3"/>
      <c r="Z87" s="213"/>
      <c r="AA87" s="213"/>
      <c r="AB87" s="213"/>
      <c r="AC87" s="213"/>
      <c r="AD87" s="213"/>
      <c r="AE87" s="213"/>
      <c r="AF87" s="213"/>
      <c r="AG87" s="213" t="s">
        <v>228</v>
      </c>
      <c r="AH87" s="213">
        <v>0.0</v>
      </c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35"/>
      <c r="B88" s="236"/>
      <c r="C88" s="237" t="s">
        <v>1128</v>
      </c>
      <c r="D88" s="238"/>
      <c r="E88" s="239">
        <v>14.38</v>
      </c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3"/>
      <c r="Z88" s="213"/>
      <c r="AA88" s="213"/>
      <c r="AB88" s="213"/>
      <c r="AC88" s="213"/>
      <c r="AD88" s="213"/>
      <c r="AE88" s="213"/>
      <c r="AF88" s="213"/>
      <c r="AG88" s="213" t="s">
        <v>228</v>
      </c>
      <c r="AH88" s="213">
        <v>0.0</v>
      </c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>
      <c r="A89" s="196" t="s">
        <v>173</v>
      </c>
      <c r="B89" s="197" t="s">
        <v>108</v>
      </c>
      <c r="C89" s="198" t="s">
        <v>109</v>
      </c>
      <c r="D89" s="199"/>
      <c r="E89" s="200"/>
      <c r="F89" s="201"/>
      <c r="G89" s="202">
        <f>SUMIF(AG90:AG94,"&lt;&gt;NOR",G90:G94)</f>
        <v>10624</v>
      </c>
      <c r="H89" s="203"/>
      <c r="I89" s="203">
        <f>SUM(I90:I94)</f>
        <v>0</v>
      </c>
      <c r="J89" s="203"/>
      <c r="K89" s="203">
        <f>SUM(K90:K94)</f>
        <v>0</v>
      </c>
      <c r="L89" s="203"/>
      <c r="M89" s="203">
        <f>SUM(M90:M94)</f>
        <v>12855.04</v>
      </c>
      <c r="N89" s="203"/>
      <c r="O89" s="203">
        <f>SUM(O90:O94)</f>
        <v>0.95</v>
      </c>
      <c r="P89" s="203"/>
      <c r="Q89" s="203">
        <f>SUM(Q90:Q94)</f>
        <v>0</v>
      </c>
      <c r="R89" s="203"/>
      <c r="S89" s="203"/>
      <c r="T89" s="203"/>
      <c r="U89" s="203"/>
      <c r="V89" s="203">
        <f>SUM(V90:V94)</f>
        <v>0</v>
      </c>
      <c r="W89" s="203"/>
      <c r="X89" s="203"/>
      <c r="AG89" s="184" t="s">
        <v>174</v>
      </c>
    </row>
    <row r="90" ht="12.75" customHeight="1" outlineLevel="1">
      <c r="A90" s="214">
        <v>26.0</v>
      </c>
      <c r="B90" s="215" t="s">
        <v>370</v>
      </c>
      <c r="C90" s="216" t="s">
        <v>1129</v>
      </c>
      <c r="D90" s="217" t="s">
        <v>372</v>
      </c>
      <c r="E90" s="218">
        <v>1.0</v>
      </c>
      <c r="F90" s="219">
        <v>10624.0</v>
      </c>
      <c r="G90" s="220">
        <f>ROUND(E90*F90,2)</f>
        <v>10624</v>
      </c>
      <c r="H90" s="211"/>
      <c r="I90" s="212">
        <f>ROUND(E90*H90,2)</f>
        <v>0</v>
      </c>
      <c r="J90" s="211"/>
      <c r="K90" s="212">
        <f>ROUND(E90*J90,2)</f>
        <v>0</v>
      </c>
      <c r="L90" s="212">
        <v>21.0</v>
      </c>
      <c r="M90" s="212">
        <f>G90*(1+L90/100)</f>
        <v>12855.04</v>
      </c>
      <c r="N90" s="212">
        <v>0.954</v>
      </c>
      <c r="O90" s="212">
        <f>ROUND(E90*N90,2)</f>
        <v>0.95</v>
      </c>
      <c r="P90" s="212">
        <v>0.0</v>
      </c>
      <c r="Q90" s="212">
        <f>ROUND(E90*P90,2)</f>
        <v>0</v>
      </c>
      <c r="R90" s="212"/>
      <c r="S90" s="212" t="s">
        <v>178</v>
      </c>
      <c r="T90" s="212" t="s">
        <v>179</v>
      </c>
      <c r="U90" s="212">
        <v>0.0</v>
      </c>
      <c r="V90" s="212">
        <f>ROUND(E90*U90,2)</f>
        <v>0</v>
      </c>
      <c r="W90" s="212"/>
      <c r="X90" s="212" t="s">
        <v>225</v>
      </c>
      <c r="Y90" s="213"/>
      <c r="Z90" s="213"/>
      <c r="AA90" s="213"/>
      <c r="AB90" s="213"/>
      <c r="AC90" s="213"/>
      <c r="AD90" s="213"/>
      <c r="AE90" s="213"/>
      <c r="AF90" s="213"/>
      <c r="AG90" s="213" t="s">
        <v>226</v>
      </c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37" t="s">
        <v>1130</v>
      </c>
      <c r="D91" s="238"/>
      <c r="E91" s="239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>
        <v>0.0</v>
      </c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1131</v>
      </c>
      <c r="D92" s="238"/>
      <c r="E92" s="239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1132</v>
      </c>
      <c r="D93" s="238"/>
      <c r="E93" s="239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37" t="s">
        <v>374</v>
      </c>
      <c r="D94" s="238"/>
      <c r="E94" s="239">
        <v>1.0</v>
      </c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>
        <v>0.0</v>
      </c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>
      <c r="A95" s="196" t="s">
        <v>173</v>
      </c>
      <c r="B95" s="197" t="s">
        <v>122</v>
      </c>
      <c r="C95" s="198" t="s">
        <v>123</v>
      </c>
      <c r="D95" s="199"/>
      <c r="E95" s="200"/>
      <c r="F95" s="201"/>
      <c r="G95" s="202">
        <f>SUMIF(AG96:AG99,"&lt;&gt;NOR",G96:G99)</f>
        <v>6704.95</v>
      </c>
      <c r="H95" s="203"/>
      <c r="I95" s="203">
        <f>SUM(I96:I99)</f>
        <v>0</v>
      </c>
      <c r="J95" s="203"/>
      <c r="K95" s="203">
        <f>SUM(K96:K99)</f>
        <v>0</v>
      </c>
      <c r="L95" s="203"/>
      <c r="M95" s="203">
        <f>SUM(M96:M99)</f>
        <v>8112.9895</v>
      </c>
      <c r="N95" s="203"/>
      <c r="O95" s="203">
        <f>SUM(O96:O99)</f>
        <v>0</v>
      </c>
      <c r="P95" s="203"/>
      <c r="Q95" s="203">
        <f>SUM(Q96:Q99)</f>
        <v>0</v>
      </c>
      <c r="R95" s="203"/>
      <c r="S95" s="203"/>
      <c r="T95" s="203"/>
      <c r="U95" s="203"/>
      <c r="V95" s="203">
        <f>SUM(V96:V99)</f>
        <v>20.32</v>
      </c>
      <c r="W95" s="203"/>
      <c r="X95" s="203"/>
      <c r="AG95" s="184" t="s">
        <v>174</v>
      </c>
    </row>
    <row r="96" ht="12.75" customHeight="1" outlineLevel="1">
      <c r="A96" s="214">
        <v>27.0</v>
      </c>
      <c r="B96" s="215" t="s">
        <v>395</v>
      </c>
      <c r="C96" s="216" t="s">
        <v>396</v>
      </c>
      <c r="D96" s="217" t="s">
        <v>316</v>
      </c>
      <c r="E96" s="218">
        <v>44.96951</v>
      </c>
      <c r="F96" s="219">
        <v>149.1</v>
      </c>
      <c r="G96" s="220">
        <f>ROUND(E96*F96,2)</f>
        <v>6704.95</v>
      </c>
      <c r="H96" s="211"/>
      <c r="I96" s="212">
        <f>ROUND(E96*H96,2)</f>
        <v>0</v>
      </c>
      <c r="J96" s="211"/>
      <c r="K96" s="212">
        <f>ROUND(E96*J96,2)</f>
        <v>0</v>
      </c>
      <c r="L96" s="212">
        <v>21.0</v>
      </c>
      <c r="M96" s="212">
        <f>G96*(1+L96/100)</f>
        <v>8112.9895</v>
      </c>
      <c r="N96" s="212">
        <v>0.0</v>
      </c>
      <c r="O96" s="212">
        <f>ROUND(E96*N96,2)</f>
        <v>0</v>
      </c>
      <c r="P96" s="212">
        <v>0.0</v>
      </c>
      <c r="Q96" s="212">
        <f>ROUND(E96*P96,2)</f>
        <v>0</v>
      </c>
      <c r="R96" s="212"/>
      <c r="S96" s="212" t="s">
        <v>184</v>
      </c>
      <c r="T96" s="212" t="s">
        <v>184</v>
      </c>
      <c r="U96" s="212">
        <v>0.4518</v>
      </c>
      <c r="V96" s="212">
        <f>ROUND(E96*U96,2)</f>
        <v>20.32</v>
      </c>
      <c r="W96" s="212"/>
      <c r="X96" s="212" t="s">
        <v>397</v>
      </c>
      <c r="Y96" s="213"/>
      <c r="Z96" s="213"/>
      <c r="AA96" s="213"/>
      <c r="AB96" s="213"/>
      <c r="AC96" s="213"/>
      <c r="AD96" s="213"/>
      <c r="AE96" s="213"/>
      <c r="AF96" s="213"/>
      <c r="AG96" s="213" t="s">
        <v>398</v>
      </c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35"/>
      <c r="B97" s="236"/>
      <c r="C97" s="237" t="s">
        <v>399</v>
      </c>
      <c r="D97" s="238"/>
      <c r="E97" s="239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3"/>
      <c r="Z97" s="213"/>
      <c r="AA97" s="213"/>
      <c r="AB97" s="213"/>
      <c r="AC97" s="213"/>
      <c r="AD97" s="213"/>
      <c r="AE97" s="213"/>
      <c r="AF97" s="213"/>
      <c r="AG97" s="213" t="s">
        <v>228</v>
      </c>
      <c r="AH97" s="213">
        <v>0.0</v>
      </c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35"/>
      <c r="B98" s="236"/>
      <c r="C98" s="237" t="s">
        <v>1133</v>
      </c>
      <c r="D98" s="238"/>
      <c r="E98" s="239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3"/>
      <c r="Z98" s="213"/>
      <c r="AA98" s="213"/>
      <c r="AB98" s="213"/>
      <c r="AC98" s="213"/>
      <c r="AD98" s="213"/>
      <c r="AE98" s="213"/>
      <c r="AF98" s="213"/>
      <c r="AG98" s="213" t="s">
        <v>228</v>
      </c>
      <c r="AH98" s="213">
        <v>0.0</v>
      </c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1134</v>
      </c>
      <c r="D99" s="238"/>
      <c r="E99" s="239">
        <v>44.96951</v>
      </c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>
      <c r="A100" s="175"/>
      <c r="B100" s="179"/>
      <c r="C100" s="221"/>
      <c r="D100" s="181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AE100" s="184">
        <v>15.0</v>
      </c>
      <c r="AF100" s="184">
        <v>21.0</v>
      </c>
      <c r="AG100" s="184" t="s">
        <v>160</v>
      </c>
    </row>
    <row r="101" ht="12.75" customHeight="1">
      <c r="A101" s="222"/>
      <c r="B101" s="223" t="s">
        <v>24</v>
      </c>
      <c r="C101" s="224"/>
      <c r="D101" s="225"/>
      <c r="E101" s="226"/>
      <c r="F101" s="226"/>
      <c r="G101" s="227">
        <f>G8+G57+G67+G71+G89+G95</f>
        <v>136654.29</v>
      </c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AE101" s="184">
        <f>SUMIF(L7:L99,AE100,G7:G99)</f>
        <v>0</v>
      </c>
      <c r="AF101" s="184">
        <f>SUMIF(L7:L99,AF100,G7:G99)</f>
        <v>136654.29</v>
      </c>
      <c r="AG101" s="184" t="s">
        <v>218</v>
      </c>
    </row>
    <row r="102" ht="12.75" customHeight="1">
      <c r="A102" s="175"/>
      <c r="B102" s="179"/>
      <c r="C102" s="221"/>
      <c r="D102" s="181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</row>
    <row r="103" ht="12.75" customHeight="1">
      <c r="A103" s="175"/>
      <c r="B103" s="179"/>
      <c r="C103" s="221"/>
      <c r="D103" s="181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</row>
    <row r="104" ht="12.75" customHeight="1">
      <c r="A104" s="175" t="s">
        <v>219</v>
      </c>
      <c r="D104" s="181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</row>
    <row r="105" ht="12.75" customHeight="1">
      <c r="A105" s="228"/>
      <c r="B105" s="27"/>
      <c r="C105" s="27"/>
      <c r="D105" s="27"/>
      <c r="E105" s="27"/>
      <c r="F105" s="27"/>
      <c r="G105" s="229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AG105" s="184" t="s">
        <v>220</v>
      </c>
    </row>
    <row r="106" ht="12.75" customHeight="1">
      <c r="A106" s="230"/>
      <c r="G106" s="231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</row>
    <row r="107" ht="12.75" customHeight="1">
      <c r="A107" s="230"/>
      <c r="G107" s="231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</row>
    <row r="108" ht="12.75" customHeight="1">
      <c r="A108" s="230"/>
      <c r="G108" s="231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</row>
    <row r="109" ht="12.75" customHeight="1">
      <c r="A109" s="232"/>
      <c r="B109" s="38"/>
      <c r="C109" s="38"/>
      <c r="D109" s="38"/>
      <c r="E109" s="38"/>
      <c r="F109" s="38"/>
      <c r="G109" s="233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</row>
    <row r="110" ht="12.75" customHeight="1">
      <c r="A110" s="175"/>
      <c r="B110" s="179"/>
      <c r="C110" s="221"/>
      <c r="D110" s="181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</row>
    <row r="111" ht="12.75" customHeight="1">
      <c r="B111" s="185"/>
      <c r="C111" s="234"/>
      <c r="D111" s="126"/>
      <c r="AG111" s="184" t="s">
        <v>221</v>
      </c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104:C104"/>
    <mergeCell ref="A105:G109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82</v>
      </c>
      <c r="C3" s="177" t="s">
        <v>83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82</v>
      </c>
      <c r="C4" s="188" t="s">
        <v>83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SUMIF(AG9:AG272,"&lt;&gt;NOR",G9:G272)</f>
        <v>1420624.39</v>
      </c>
      <c r="H8" s="203"/>
      <c r="I8" s="203">
        <f>SUM(I9:I272)</f>
        <v>0</v>
      </c>
      <c r="J8" s="203"/>
      <c r="K8" s="203">
        <f>SUM(K9:K272)</f>
        <v>0</v>
      </c>
      <c r="L8" s="203"/>
      <c r="M8" s="203">
        <f>SUM(M9:M272)</f>
        <v>1718955.512</v>
      </c>
      <c r="N8" s="203"/>
      <c r="O8" s="203">
        <f>SUM(O9:O272)</f>
        <v>490.24</v>
      </c>
      <c r="P8" s="203"/>
      <c r="Q8" s="203">
        <f>SUM(Q9:Q272)</f>
        <v>0</v>
      </c>
      <c r="R8" s="203"/>
      <c r="S8" s="203"/>
      <c r="T8" s="203"/>
      <c r="U8" s="203"/>
      <c r="V8" s="203">
        <f>SUM(V9:V272)</f>
        <v>3055.29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1135</v>
      </c>
      <c r="C9" s="216" t="s">
        <v>1136</v>
      </c>
      <c r="D9" s="217" t="s">
        <v>234</v>
      </c>
      <c r="E9" s="218">
        <v>304.3878</v>
      </c>
      <c r="F9" s="219">
        <v>37.5</v>
      </c>
      <c r="G9" s="220">
        <f>ROUND(E9*F9,2)</f>
        <v>11414.54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13811.5934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0.0431</v>
      </c>
      <c r="V9" s="212">
        <f>ROUND(E9*U9,2)</f>
        <v>13.12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40" t="s">
        <v>236</v>
      </c>
      <c r="D10" s="241"/>
      <c r="E10" s="24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3" t="s">
        <v>1137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>
        <v>2.0</v>
      </c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1138</v>
      </c>
      <c r="D12" s="241"/>
      <c r="E12" s="242">
        <v>65.16959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3" t="s">
        <v>1139</v>
      </c>
      <c r="D13" s="241"/>
      <c r="E13" s="24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>
        <v>2.0</v>
      </c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43" t="s">
        <v>1140</v>
      </c>
      <c r="D14" s="241"/>
      <c r="E14" s="242">
        <v>74.358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2.0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35"/>
      <c r="B15" s="236"/>
      <c r="C15" s="243" t="s">
        <v>1141</v>
      </c>
      <c r="D15" s="241"/>
      <c r="E15" s="24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3"/>
      <c r="Z15" s="213"/>
      <c r="AA15" s="213"/>
      <c r="AB15" s="213"/>
      <c r="AC15" s="213"/>
      <c r="AD15" s="213"/>
      <c r="AE15" s="213"/>
      <c r="AF15" s="213"/>
      <c r="AG15" s="213" t="s">
        <v>228</v>
      </c>
      <c r="AH15" s="213">
        <v>2.0</v>
      </c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35"/>
      <c r="B16" s="236"/>
      <c r="C16" s="243" t="s">
        <v>1142</v>
      </c>
      <c r="D16" s="241"/>
      <c r="E16" s="242">
        <v>359.168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3"/>
      <c r="Z16" s="213"/>
      <c r="AA16" s="213"/>
      <c r="AB16" s="213"/>
      <c r="AC16" s="213"/>
      <c r="AD16" s="213"/>
      <c r="AE16" s="213"/>
      <c r="AF16" s="213"/>
      <c r="AG16" s="213" t="s">
        <v>228</v>
      </c>
      <c r="AH16" s="213">
        <v>2.0</v>
      </c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43" t="s">
        <v>1143</v>
      </c>
      <c r="D17" s="241"/>
      <c r="E17" s="24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2.0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35"/>
      <c r="B18" s="236"/>
      <c r="C18" s="243" t="s">
        <v>1144</v>
      </c>
      <c r="D18" s="241"/>
      <c r="E18" s="242">
        <v>110.08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/>
      <c r="AG18" s="213" t="s">
        <v>228</v>
      </c>
      <c r="AH18" s="213">
        <v>2.0</v>
      </c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40" t="s">
        <v>238</v>
      </c>
      <c r="D19" s="241"/>
      <c r="E19" s="24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1145</v>
      </c>
      <c r="D20" s="238"/>
      <c r="E20" s="239">
        <v>304.3878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2.0</v>
      </c>
      <c r="B21" s="215" t="s">
        <v>232</v>
      </c>
      <c r="C21" s="216" t="s">
        <v>233</v>
      </c>
      <c r="D21" s="217" t="s">
        <v>234</v>
      </c>
      <c r="E21" s="218">
        <v>266.214</v>
      </c>
      <c r="F21" s="219">
        <v>39.6</v>
      </c>
      <c r="G21" s="220">
        <f>ROUND(E21*F21,2)</f>
        <v>10542.07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12755.9047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0.084</v>
      </c>
      <c r="V21" s="212">
        <f>ROUND(E21*U21,2)</f>
        <v>22.36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40" t="s">
        <v>236</v>
      </c>
      <c r="D22" s="241"/>
      <c r="E22" s="24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43" t="s">
        <v>1146</v>
      </c>
      <c r="D23" s="241"/>
      <c r="E23" s="24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2.0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43" t="s">
        <v>1147</v>
      </c>
      <c r="D24" s="241"/>
      <c r="E24" s="242">
        <v>96.66</v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>
        <v>2.0</v>
      </c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43" t="s">
        <v>1148</v>
      </c>
      <c r="D25" s="241"/>
      <c r="E25" s="24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2.0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43" t="s">
        <v>1149</v>
      </c>
      <c r="D26" s="241"/>
      <c r="E26" s="242">
        <v>189.12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2.0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43" t="s">
        <v>1150</v>
      </c>
      <c r="D27" s="241"/>
      <c r="E27" s="24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2.0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43" t="s">
        <v>1151</v>
      </c>
      <c r="D28" s="241"/>
      <c r="E28" s="242">
        <v>184.248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2.0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43" t="s">
        <v>1152</v>
      </c>
      <c r="D29" s="241"/>
      <c r="E29" s="24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2.0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35"/>
      <c r="B30" s="236"/>
      <c r="C30" s="243" t="s">
        <v>1153</v>
      </c>
      <c r="D30" s="241"/>
      <c r="E30" s="242">
        <v>62.4</v>
      </c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213"/>
      <c r="AA30" s="213"/>
      <c r="AB30" s="213"/>
      <c r="AC30" s="213"/>
      <c r="AD30" s="213"/>
      <c r="AE30" s="213"/>
      <c r="AF30" s="213"/>
      <c r="AG30" s="213" t="s">
        <v>228</v>
      </c>
      <c r="AH30" s="213">
        <v>2.0</v>
      </c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40" t="s">
        <v>238</v>
      </c>
      <c r="D31" s="241"/>
      <c r="E31" s="24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1154</v>
      </c>
      <c r="D32" s="238"/>
      <c r="E32" s="239">
        <v>266.214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3.0</v>
      </c>
      <c r="B33" s="215" t="s">
        <v>1155</v>
      </c>
      <c r="C33" s="216" t="s">
        <v>1156</v>
      </c>
      <c r="D33" s="217" t="s">
        <v>234</v>
      </c>
      <c r="E33" s="218">
        <v>608.7756</v>
      </c>
      <c r="F33" s="219">
        <v>158.5</v>
      </c>
      <c r="G33" s="220">
        <f>ROUND(E33*F33,2)</f>
        <v>96490.93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116754.0253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0.17</v>
      </c>
      <c r="V33" s="212">
        <f>ROUND(E33*U33,2)</f>
        <v>103.49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1157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1158</v>
      </c>
      <c r="D35" s="238"/>
      <c r="E35" s="239">
        <v>65.17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35"/>
      <c r="B36" s="236"/>
      <c r="C36" s="237" t="s">
        <v>1159</v>
      </c>
      <c r="D36" s="238"/>
      <c r="E36" s="239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3"/>
      <c r="Z36" s="213"/>
      <c r="AA36" s="213"/>
      <c r="AB36" s="213"/>
      <c r="AC36" s="213"/>
      <c r="AD36" s="213"/>
      <c r="AE36" s="213"/>
      <c r="AF36" s="213"/>
      <c r="AG36" s="213" t="s">
        <v>228</v>
      </c>
      <c r="AH36" s="213">
        <v>0.0</v>
      </c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1160</v>
      </c>
      <c r="D37" s="238"/>
      <c r="E37" s="239">
        <v>74.36</v>
      </c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1161</v>
      </c>
      <c r="D38" s="238"/>
      <c r="E38" s="239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37" t="s">
        <v>1162</v>
      </c>
      <c r="D39" s="238"/>
      <c r="E39" s="239">
        <v>359.17</v>
      </c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>
        <v>0.0</v>
      </c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1163</v>
      </c>
      <c r="D40" s="238"/>
      <c r="E40" s="239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1164</v>
      </c>
      <c r="D41" s="238"/>
      <c r="E41" s="239">
        <v>110.08</v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4.0</v>
      </c>
      <c r="B42" s="215" t="s">
        <v>262</v>
      </c>
      <c r="C42" s="216" t="s">
        <v>263</v>
      </c>
      <c r="D42" s="217" t="s">
        <v>234</v>
      </c>
      <c r="E42" s="218">
        <v>532.428</v>
      </c>
      <c r="F42" s="219">
        <v>214.5</v>
      </c>
      <c r="G42" s="220">
        <f>ROUND(E42*F42,2)</f>
        <v>114205.81</v>
      </c>
      <c r="H42" s="211"/>
      <c r="I42" s="212">
        <f>ROUND(E42*H42,2)</f>
        <v>0</v>
      </c>
      <c r="J42" s="211"/>
      <c r="K42" s="212">
        <f>ROUND(E42*J42,2)</f>
        <v>0</v>
      </c>
      <c r="L42" s="212">
        <v>21.0</v>
      </c>
      <c r="M42" s="212">
        <f>G42*(1+L42/100)</f>
        <v>138189.0301</v>
      </c>
      <c r="N42" s="212">
        <v>0.0</v>
      </c>
      <c r="O42" s="212">
        <f>ROUND(E42*N42,2)</f>
        <v>0</v>
      </c>
      <c r="P42" s="212">
        <v>0.0</v>
      </c>
      <c r="Q42" s="212">
        <f>ROUND(E42*P42,2)</f>
        <v>0</v>
      </c>
      <c r="R42" s="212"/>
      <c r="S42" s="212" t="s">
        <v>184</v>
      </c>
      <c r="T42" s="212" t="s">
        <v>184</v>
      </c>
      <c r="U42" s="212">
        <v>0.222</v>
      </c>
      <c r="V42" s="212">
        <f>ROUND(E42*U42,2)</f>
        <v>118.2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1165</v>
      </c>
      <c r="D43" s="238"/>
      <c r="E43" s="239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1166</v>
      </c>
      <c r="D44" s="238"/>
      <c r="E44" s="239">
        <v>96.66</v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1167</v>
      </c>
      <c r="D45" s="238"/>
      <c r="E45" s="239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37" t="s">
        <v>1168</v>
      </c>
      <c r="D46" s="238"/>
      <c r="E46" s="239">
        <v>189.12</v>
      </c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>
        <v>0.0</v>
      </c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1169</v>
      </c>
      <c r="D47" s="238"/>
      <c r="E47" s="239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37" t="s">
        <v>1170</v>
      </c>
      <c r="D48" s="238"/>
      <c r="E48" s="239">
        <v>184.25</v>
      </c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>
        <v>0.0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37" t="s">
        <v>1171</v>
      </c>
      <c r="D49" s="238"/>
      <c r="E49" s="239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0.0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1172</v>
      </c>
      <c r="D50" s="238"/>
      <c r="E50" s="239">
        <v>62.4</v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14">
        <v>5.0</v>
      </c>
      <c r="B51" s="215" t="s">
        <v>278</v>
      </c>
      <c r="C51" s="216" t="s">
        <v>279</v>
      </c>
      <c r="D51" s="217" t="s">
        <v>224</v>
      </c>
      <c r="E51" s="218">
        <v>887.38</v>
      </c>
      <c r="F51" s="219">
        <v>69.5</v>
      </c>
      <c r="G51" s="220">
        <f>ROUND(E51*F51,2)</f>
        <v>61672.91</v>
      </c>
      <c r="H51" s="211"/>
      <c r="I51" s="212">
        <f>ROUND(E51*H51,2)</f>
        <v>0</v>
      </c>
      <c r="J51" s="211"/>
      <c r="K51" s="212">
        <f>ROUND(E51*J51,2)</f>
        <v>0</v>
      </c>
      <c r="L51" s="212">
        <v>21.0</v>
      </c>
      <c r="M51" s="212">
        <f>G51*(1+L51/100)</f>
        <v>74624.2211</v>
      </c>
      <c r="N51" s="212">
        <v>8.6E-4</v>
      </c>
      <c r="O51" s="212">
        <f>ROUND(E51*N51,2)</f>
        <v>0.76</v>
      </c>
      <c r="P51" s="212">
        <v>0.0</v>
      </c>
      <c r="Q51" s="212">
        <f>ROUND(E51*P51,2)</f>
        <v>0</v>
      </c>
      <c r="R51" s="212"/>
      <c r="S51" s="212" t="s">
        <v>184</v>
      </c>
      <c r="T51" s="212" t="s">
        <v>184</v>
      </c>
      <c r="U51" s="212">
        <v>0.479</v>
      </c>
      <c r="V51" s="212">
        <f>ROUND(E51*U51,2)</f>
        <v>425.06</v>
      </c>
      <c r="W51" s="212"/>
      <c r="X51" s="212" t="s">
        <v>225</v>
      </c>
      <c r="Y51" s="213"/>
      <c r="Z51" s="213"/>
      <c r="AA51" s="213"/>
      <c r="AB51" s="213"/>
      <c r="AC51" s="213"/>
      <c r="AD51" s="213"/>
      <c r="AE51" s="213"/>
      <c r="AF51" s="213"/>
      <c r="AG51" s="213" t="s">
        <v>226</v>
      </c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35"/>
      <c r="B52" s="236"/>
      <c r="C52" s="237" t="s">
        <v>1165</v>
      </c>
      <c r="D52" s="238"/>
      <c r="E52" s="239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3"/>
      <c r="Z52" s="213"/>
      <c r="AA52" s="213"/>
      <c r="AB52" s="213"/>
      <c r="AC52" s="213"/>
      <c r="AD52" s="213"/>
      <c r="AE52" s="213"/>
      <c r="AF52" s="213"/>
      <c r="AG52" s="213" t="s">
        <v>228</v>
      </c>
      <c r="AH52" s="213">
        <v>0.0</v>
      </c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1173</v>
      </c>
      <c r="D53" s="238"/>
      <c r="E53" s="239">
        <v>161.1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37" t="s">
        <v>1167</v>
      </c>
      <c r="D54" s="238"/>
      <c r="E54" s="239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0.0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37" t="s">
        <v>1174</v>
      </c>
      <c r="D55" s="238"/>
      <c r="E55" s="239">
        <v>315.2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0.0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1169</v>
      </c>
      <c r="D56" s="238"/>
      <c r="E56" s="239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1175</v>
      </c>
      <c r="D57" s="238"/>
      <c r="E57" s="239">
        <v>307.08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35"/>
      <c r="B58" s="236"/>
      <c r="C58" s="237" t="s">
        <v>1171</v>
      </c>
      <c r="D58" s="238"/>
      <c r="E58" s="239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3"/>
      <c r="Z58" s="213"/>
      <c r="AA58" s="213"/>
      <c r="AB58" s="213"/>
      <c r="AC58" s="213"/>
      <c r="AD58" s="213"/>
      <c r="AE58" s="213"/>
      <c r="AF58" s="213"/>
      <c r="AG58" s="213" t="s">
        <v>228</v>
      </c>
      <c r="AH58" s="213">
        <v>0.0</v>
      </c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1176</v>
      </c>
      <c r="D59" s="238"/>
      <c r="E59" s="239">
        <v>104.0</v>
      </c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14">
        <v>6.0</v>
      </c>
      <c r="B60" s="215" t="s">
        <v>286</v>
      </c>
      <c r="C60" s="216" t="s">
        <v>287</v>
      </c>
      <c r="D60" s="217" t="s">
        <v>224</v>
      </c>
      <c r="E60" s="218">
        <v>887.38</v>
      </c>
      <c r="F60" s="219">
        <v>41.3</v>
      </c>
      <c r="G60" s="220">
        <f>ROUND(E60*F60,2)</f>
        <v>36648.79</v>
      </c>
      <c r="H60" s="211"/>
      <c r="I60" s="212">
        <f>ROUND(E60*H60,2)</f>
        <v>0</v>
      </c>
      <c r="J60" s="211"/>
      <c r="K60" s="212">
        <f>ROUND(E60*J60,2)</f>
        <v>0</v>
      </c>
      <c r="L60" s="212">
        <v>21.0</v>
      </c>
      <c r="M60" s="212">
        <f>G60*(1+L60/100)</f>
        <v>44345.0359</v>
      </c>
      <c r="N60" s="212">
        <v>0.0</v>
      </c>
      <c r="O60" s="212">
        <f>ROUND(E60*N60,2)</f>
        <v>0</v>
      </c>
      <c r="P60" s="212">
        <v>0.0</v>
      </c>
      <c r="Q60" s="212">
        <f>ROUND(E60*P60,2)</f>
        <v>0</v>
      </c>
      <c r="R60" s="212"/>
      <c r="S60" s="212" t="s">
        <v>184</v>
      </c>
      <c r="T60" s="212" t="s">
        <v>184</v>
      </c>
      <c r="U60" s="212">
        <v>0.327</v>
      </c>
      <c r="V60" s="212">
        <f>ROUND(E60*U60,2)</f>
        <v>290.17</v>
      </c>
      <c r="W60" s="212"/>
      <c r="X60" s="212" t="s">
        <v>225</v>
      </c>
      <c r="Y60" s="213"/>
      <c r="Z60" s="213"/>
      <c r="AA60" s="213"/>
      <c r="AB60" s="213"/>
      <c r="AC60" s="213"/>
      <c r="AD60" s="213"/>
      <c r="AE60" s="213"/>
      <c r="AF60" s="213"/>
      <c r="AG60" s="213" t="s">
        <v>226</v>
      </c>
      <c r="AH60" s="213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1165</v>
      </c>
      <c r="D61" s="238"/>
      <c r="E61" s="239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35"/>
      <c r="B62" s="236"/>
      <c r="C62" s="237" t="s">
        <v>1173</v>
      </c>
      <c r="D62" s="238"/>
      <c r="E62" s="239">
        <v>161.1</v>
      </c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3"/>
      <c r="Z62" s="213"/>
      <c r="AA62" s="213"/>
      <c r="AB62" s="213"/>
      <c r="AC62" s="213"/>
      <c r="AD62" s="213"/>
      <c r="AE62" s="213"/>
      <c r="AF62" s="213"/>
      <c r="AG62" s="213" t="s">
        <v>228</v>
      </c>
      <c r="AH62" s="213">
        <v>0.0</v>
      </c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35"/>
      <c r="B63" s="236"/>
      <c r="C63" s="237" t="s">
        <v>1167</v>
      </c>
      <c r="D63" s="238"/>
      <c r="E63" s="239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3"/>
      <c r="Z63" s="213"/>
      <c r="AA63" s="213"/>
      <c r="AB63" s="213"/>
      <c r="AC63" s="213"/>
      <c r="AD63" s="213"/>
      <c r="AE63" s="213"/>
      <c r="AF63" s="213"/>
      <c r="AG63" s="213" t="s">
        <v>228</v>
      </c>
      <c r="AH63" s="213">
        <v>0.0</v>
      </c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1174</v>
      </c>
      <c r="D64" s="238"/>
      <c r="E64" s="239">
        <v>315.2</v>
      </c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1169</v>
      </c>
      <c r="D65" s="238"/>
      <c r="E65" s="239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1175</v>
      </c>
      <c r="D66" s="238"/>
      <c r="E66" s="239">
        <v>307.08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1171</v>
      </c>
      <c r="D67" s="238"/>
      <c r="E67" s="239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1176</v>
      </c>
      <c r="D68" s="238"/>
      <c r="E68" s="239">
        <v>104.0</v>
      </c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14">
        <v>7.0</v>
      </c>
      <c r="B69" s="215" t="s">
        <v>1177</v>
      </c>
      <c r="C69" s="216" t="s">
        <v>1178</v>
      </c>
      <c r="D69" s="217" t="s">
        <v>224</v>
      </c>
      <c r="E69" s="218">
        <v>110.08</v>
      </c>
      <c r="F69" s="219">
        <v>239.5</v>
      </c>
      <c r="G69" s="220">
        <f>ROUND(E69*F69,2)</f>
        <v>26364.16</v>
      </c>
      <c r="H69" s="211"/>
      <c r="I69" s="212">
        <f>ROUND(E69*H69,2)</f>
        <v>0</v>
      </c>
      <c r="J69" s="211"/>
      <c r="K69" s="212">
        <f>ROUND(E69*J69,2)</f>
        <v>0</v>
      </c>
      <c r="L69" s="212">
        <v>21.0</v>
      </c>
      <c r="M69" s="212">
        <f>G69*(1+L69/100)</f>
        <v>31900.6336</v>
      </c>
      <c r="N69" s="212">
        <v>7.2E-4</v>
      </c>
      <c r="O69" s="212">
        <f>ROUND(E69*N69,2)</f>
        <v>0.08</v>
      </c>
      <c r="P69" s="212">
        <v>0.0</v>
      </c>
      <c r="Q69" s="212">
        <f>ROUND(E69*P69,2)</f>
        <v>0</v>
      </c>
      <c r="R69" s="212"/>
      <c r="S69" s="212" t="s">
        <v>184</v>
      </c>
      <c r="T69" s="212" t="s">
        <v>184</v>
      </c>
      <c r="U69" s="212">
        <v>0.262</v>
      </c>
      <c r="V69" s="212">
        <f>ROUND(E69*U69,2)</f>
        <v>28.84</v>
      </c>
      <c r="W69" s="212"/>
      <c r="X69" s="212" t="s">
        <v>225</v>
      </c>
      <c r="Y69" s="213"/>
      <c r="Z69" s="213"/>
      <c r="AA69" s="213"/>
      <c r="AB69" s="213"/>
      <c r="AC69" s="213"/>
      <c r="AD69" s="213"/>
      <c r="AE69" s="213"/>
      <c r="AF69" s="213"/>
      <c r="AG69" s="213" t="s">
        <v>226</v>
      </c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1163</v>
      </c>
      <c r="D70" s="238"/>
      <c r="E70" s="239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1179</v>
      </c>
      <c r="D71" s="238"/>
      <c r="E71" s="239">
        <v>110.08</v>
      </c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14">
        <v>8.0</v>
      </c>
      <c r="B72" s="215" t="s">
        <v>1180</v>
      </c>
      <c r="C72" s="216" t="s">
        <v>1181</v>
      </c>
      <c r="D72" s="217" t="s">
        <v>224</v>
      </c>
      <c r="E72" s="218">
        <v>110.08</v>
      </c>
      <c r="F72" s="219">
        <v>112.8</v>
      </c>
      <c r="G72" s="220">
        <f>ROUND(E72*F72,2)</f>
        <v>12417.02</v>
      </c>
      <c r="H72" s="211"/>
      <c r="I72" s="212">
        <f>ROUND(E72*H72,2)</f>
        <v>0</v>
      </c>
      <c r="J72" s="211"/>
      <c r="K72" s="212">
        <f>ROUND(E72*J72,2)</f>
        <v>0</v>
      </c>
      <c r="L72" s="212">
        <v>21.0</v>
      </c>
      <c r="M72" s="212">
        <f>G72*(1+L72/100)</f>
        <v>15024.5942</v>
      </c>
      <c r="N72" s="212">
        <v>0.0</v>
      </c>
      <c r="O72" s="212">
        <f>ROUND(E72*N72,2)</f>
        <v>0</v>
      </c>
      <c r="P72" s="212">
        <v>0.0</v>
      </c>
      <c r="Q72" s="212">
        <f>ROUND(E72*P72,2)</f>
        <v>0</v>
      </c>
      <c r="R72" s="212"/>
      <c r="S72" s="212" t="s">
        <v>184</v>
      </c>
      <c r="T72" s="212" t="s">
        <v>184</v>
      </c>
      <c r="U72" s="212">
        <v>0.171</v>
      </c>
      <c r="V72" s="212">
        <f>ROUND(E72*U72,2)</f>
        <v>18.82</v>
      </c>
      <c r="W72" s="212"/>
      <c r="X72" s="212" t="s">
        <v>225</v>
      </c>
      <c r="Y72" s="213"/>
      <c r="Z72" s="213"/>
      <c r="AA72" s="213"/>
      <c r="AB72" s="213"/>
      <c r="AC72" s="213"/>
      <c r="AD72" s="213"/>
      <c r="AE72" s="213"/>
      <c r="AF72" s="213"/>
      <c r="AG72" s="213" t="s">
        <v>226</v>
      </c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1163</v>
      </c>
      <c r="D73" s="238"/>
      <c r="E73" s="239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1179</v>
      </c>
      <c r="D74" s="238"/>
      <c r="E74" s="239">
        <v>110.08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14">
        <v>9.0</v>
      </c>
      <c r="B75" s="215" t="s">
        <v>1182</v>
      </c>
      <c r="C75" s="216" t="s">
        <v>1183</v>
      </c>
      <c r="D75" s="217" t="s">
        <v>234</v>
      </c>
      <c r="E75" s="218">
        <v>110.08</v>
      </c>
      <c r="F75" s="219">
        <v>67.9</v>
      </c>
      <c r="G75" s="220">
        <f>ROUND(E75*F75,2)</f>
        <v>7474.43</v>
      </c>
      <c r="H75" s="211"/>
      <c r="I75" s="212">
        <f>ROUND(E75*H75,2)</f>
        <v>0</v>
      </c>
      <c r="J75" s="211"/>
      <c r="K75" s="212">
        <f>ROUND(E75*J75,2)</f>
        <v>0</v>
      </c>
      <c r="L75" s="212">
        <v>21.0</v>
      </c>
      <c r="M75" s="212">
        <f>G75*(1+L75/100)</f>
        <v>9044.0603</v>
      </c>
      <c r="N75" s="212">
        <v>4.9E-4</v>
      </c>
      <c r="O75" s="212">
        <f>ROUND(E75*N75,2)</f>
        <v>0.05</v>
      </c>
      <c r="P75" s="212">
        <v>0.0</v>
      </c>
      <c r="Q75" s="212">
        <f>ROUND(E75*P75,2)</f>
        <v>0</v>
      </c>
      <c r="R75" s="212"/>
      <c r="S75" s="212" t="s">
        <v>184</v>
      </c>
      <c r="T75" s="212" t="s">
        <v>184</v>
      </c>
      <c r="U75" s="212">
        <v>0.142</v>
      </c>
      <c r="V75" s="212">
        <f>ROUND(E75*U75,2)</f>
        <v>15.63</v>
      </c>
      <c r="W75" s="212"/>
      <c r="X75" s="212" t="s">
        <v>225</v>
      </c>
      <c r="Y75" s="213"/>
      <c r="Z75" s="213"/>
      <c r="AA75" s="213"/>
      <c r="AB75" s="213"/>
      <c r="AC75" s="213"/>
      <c r="AD75" s="213"/>
      <c r="AE75" s="213"/>
      <c r="AF75" s="213"/>
      <c r="AG75" s="213" t="s">
        <v>226</v>
      </c>
      <c r="AH75" s="213"/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35"/>
      <c r="B76" s="236"/>
      <c r="C76" s="237" t="s">
        <v>1163</v>
      </c>
      <c r="D76" s="238"/>
      <c r="E76" s="239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3"/>
      <c r="Z76" s="213"/>
      <c r="AA76" s="213"/>
      <c r="AB76" s="213"/>
      <c r="AC76" s="213"/>
      <c r="AD76" s="213"/>
      <c r="AE76" s="213"/>
      <c r="AF76" s="213"/>
      <c r="AG76" s="213" t="s">
        <v>228</v>
      </c>
      <c r="AH76" s="213">
        <v>0.0</v>
      </c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1164</v>
      </c>
      <c r="D77" s="238"/>
      <c r="E77" s="239">
        <v>110.08</v>
      </c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14">
        <v>10.0</v>
      </c>
      <c r="B78" s="215" t="s">
        <v>1184</v>
      </c>
      <c r="C78" s="216" t="s">
        <v>1185</v>
      </c>
      <c r="D78" s="217" t="s">
        <v>234</v>
      </c>
      <c r="E78" s="218">
        <v>110.08</v>
      </c>
      <c r="F78" s="219">
        <v>29.8</v>
      </c>
      <c r="G78" s="220">
        <f>ROUND(E78*F78,2)</f>
        <v>3280.38</v>
      </c>
      <c r="H78" s="211"/>
      <c r="I78" s="212">
        <f>ROUND(E78*H78,2)</f>
        <v>0</v>
      </c>
      <c r="J78" s="211"/>
      <c r="K78" s="212">
        <f>ROUND(E78*J78,2)</f>
        <v>0</v>
      </c>
      <c r="L78" s="212">
        <v>21.0</v>
      </c>
      <c r="M78" s="212">
        <f>G78*(1+L78/100)</f>
        <v>3969.2598</v>
      </c>
      <c r="N78" s="212">
        <v>0.0</v>
      </c>
      <c r="O78" s="212">
        <f>ROUND(E78*N78,2)</f>
        <v>0</v>
      </c>
      <c r="P78" s="212">
        <v>0.0</v>
      </c>
      <c r="Q78" s="212">
        <f>ROUND(E78*P78,2)</f>
        <v>0</v>
      </c>
      <c r="R78" s="212"/>
      <c r="S78" s="212" t="s">
        <v>184</v>
      </c>
      <c r="T78" s="212" t="s">
        <v>184</v>
      </c>
      <c r="U78" s="212">
        <v>0.04</v>
      </c>
      <c r="V78" s="212">
        <f>ROUND(E78*U78,2)</f>
        <v>4.4</v>
      </c>
      <c r="W78" s="212"/>
      <c r="X78" s="212" t="s">
        <v>225</v>
      </c>
      <c r="Y78" s="213"/>
      <c r="Z78" s="213"/>
      <c r="AA78" s="213"/>
      <c r="AB78" s="213"/>
      <c r="AC78" s="213"/>
      <c r="AD78" s="213"/>
      <c r="AE78" s="213"/>
      <c r="AF78" s="213"/>
      <c r="AG78" s="213" t="s">
        <v>226</v>
      </c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35"/>
      <c r="B79" s="236"/>
      <c r="C79" s="237" t="s">
        <v>1163</v>
      </c>
      <c r="D79" s="238"/>
      <c r="E79" s="239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3"/>
      <c r="Z79" s="213"/>
      <c r="AA79" s="213"/>
      <c r="AB79" s="213"/>
      <c r="AC79" s="213"/>
      <c r="AD79" s="213"/>
      <c r="AE79" s="213"/>
      <c r="AF79" s="213"/>
      <c r="AG79" s="213" t="s">
        <v>228</v>
      </c>
      <c r="AH79" s="213">
        <v>0.0</v>
      </c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35"/>
      <c r="B80" s="236"/>
      <c r="C80" s="237" t="s">
        <v>1164</v>
      </c>
      <c r="D80" s="238"/>
      <c r="E80" s="239">
        <v>110.08</v>
      </c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3"/>
      <c r="Z80" s="213"/>
      <c r="AA80" s="213"/>
      <c r="AB80" s="213"/>
      <c r="AC80" s="213"/>
      <c r="AD80" s="213"/>
      <c r="AE80" s="213"/>
      <c r="AF80" s="213"/>
      <c r="AG80" s="213" t="s">
        <v>228</v>
      </c>
      <c r="AH80" s="213">
        <v>0.0</v>
      </c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14">
        <v>11.0</v>
      </c>
      <c r="B81" s="215" t="s">
        <v>288</v>
      </c>
      <c r="C81" s="216" t="s">
        <v>289</v>
      </c>
      <c r="D81" s="217" t="s">
        <v>234</v>
      </c>
      <c r="E81" s="218">
        <v>532.428</v>
      </c>
      <c r="F81" s="219">
        <v>36.6</v>
      </c>
      <c r="G81" s="220">
        <f>ROUND(E81*F81,2)</f>
        <v>19486.86</v>
      </c>
      <c r="H81" s="211"/>
      <c r="I81" s="212">
        <f>ROUND(E81*H81,2)</f>
        <v>0</v>
      </c>
      <c r="J81" s="211"/>
      <c r="K81" s="212">
        <f>ROUND(E81*J81,2)</f>
        <v>0</v>
      </c>
      <c r="L81" s="212">
        <v>21.0</v>
      </c>
      <c r="M81" s="212">
        <f>G81*(1+L81/100)</f>
        <v>23579.1006</v>
      </c>
      <c r="N81" s="212">
        <v>0.0</v>
      </c>
      <c r="O81" s="212">
        <f>ROUND(E81*N81,2)</f>
        <v>0</v>
      </c>
      <c r="P81" s="212">
        <v>0.0</v>
      </c>
      <c r="Q81" s="212">
        <f>ROUND(E81*P81,2)</f>
        <v>0</v>
      </c>
      <c r="R81" s="212"/>
      <c r="S81" s="212" t="s">
        <v>184</v>
      </c>
      <c r="T81" s="212" t="s">
        <v>184</v>
      </c>
      <c r="U81" s="212">
        <v>0.039</v>
      </c>
      <c r="V81" s="212">
        <f>ROUND(E81*U81,2)</f>
        <v>20.76</v>
      </c>
      <c r="W81" s="212"/>
      <c r="X81" s="212" t="s">
        <v>225</v>
      </c>
      <c r="Y81" s="213"/>
      <c r="Z81" s="213"/>
      <c r="AA81" s="213"/>
      <c r="AB81" s="213"/>
      <c r="AC81" s="213"/>
      <c r="AD81" s="213"/>
      <c r="AE81" s="213"/>
      <c r="AF81" s="213"/>
      <c r="AG81" s="213" t="s">
        <v>226</v>
      </c>
      <c r="AH81" s="213"/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35"/>
      <c r="B82" s="236"/>
      <c r="C82" s="237" t="s">
        <v>1165</v>
      </c>
      <c r="D82" s="238"/>
      <c r="E82" s="239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3"/>
      <c r="Z82" s="213"/>
      <c r="AA82" s="213"/>
      <c r="AB82" s="213"/>
      <c r="AC82" s="213"/>
      <c r="AD82" s="213"/>
      <c r="AE82" s="213"/>
      <c r="AF82" s="213"/>
      <c r="AG82" s="213" t="s">
        <v>228</v>
      </c>
      <c r="AH82" s="213">
        <v>0.0</v>
      </c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35"/>
      <c r="B83" s="236"/>
      <c r="C83" s="237" t="s">
        <v>1166</v>
      </c>
      <c r="D83" s="238"/>
      <c r="E83" s="239">
        <v>96.66</v>
      </c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3"/>
      <c r="Z83" s="213"/>
      <c r="AA83" s="213"/>
      <c r="AB83" s="213"/>
      <c r="AC83" s="213"/>
      <c r="AD83" s="213"/>
      <c r="AE83" s="213"/>
      <c r="AF83" s="213"/>
      <c r="AG83" s="213" t="s">
        <v>228</v>
      </c>
      <c r="AH83" s="213">
        <v>0.0</v>
      </c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35"/>
      <c r="B84" s="236"/>
      <c r="C84" s="237" t="s">
        <v>1167</v>
      </c>
      <c r="D84" s="238"/>
      <c r="E84" s="239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3"/>
      <c r="Z84" s="213"/>
      <c r="AA84" s="213"/>
      <c r="AB84" s="213"/>
      <c r="AC84" s="213"/>
      <c r="AD84" s="213"/>
      <c r="AE84" s="213"/>
      <c r="AF84" s="213"/>
      <c r="AG84" s="213" t="s">
        <v>228</v>
      </c>
      <c r="AH84" s="213">
        <v>0.0</v>
      </c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35"/>
      <c r="B85" s="236"/>
      <c r="C85" s="237" t="s">
        <v>1168</v>
      </c>
      <c r="D85" s="238"/>
      <c r="E85" s="239">
        <v>189.12</v>
      </c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3"/>
      <c r="Z85" s="213"/>
      <c r="AA85" s="213"/>
      <c r="AB85" s="213"/>
      <c r="AC85" s="213"/>
      <c r="AD85" s="213"/>
      <c r="AE85" s="213"/>
      <c r="AF85" s="213"/>
      <c r="AG85" s="213" t="s">
        <v>228</v>
      </c>
      <c r="AH85" s="213">
        <v>0.0</v>
      </c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35"/>
      <c r="B86" s="236"/>
      <c r="C86" s="237" t="s">
        <v>1169</v>
      </c>
      <c r="D86" s="238"/>
      <c r="E86" s="239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3"/>
      <c r="Z86" s="213"/>
      <c r="AA86" s="213"/>
      <c r="AB86" s="213"/>
      <c r="AC86" s="213"/>
      <c r="AD86" s="213"/>
      <c r="AE86" s="213"/>
      <c r="AF86" s="213"/>
      <c r="AG86" s="213" t="s">
        <v>228</v>
      </c>
      <c r="AH86" s="213">
        <v>0.0</v>
      </c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35"/>
      <c r="B87" s="236"/>
      <c r="C87" s="237" t="s">
        <v>1170</v>
      </c>
      <c r="D87" s="238"/>
      <c r="E87" s="239">
        <v>184.25</v>
      </c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3"/>
      <c r="Z87" s="213"/>
      <c r="AA87" s="213"/>
      <c r="AB87" s="213"/>
      <c r="AC87" s="213"/>
      <c r="AD87" s="213"/>
      <c r="AE87" s="213"/>
      <c r="AF87" s="213"/>
      <c r="AG87" s="213" t="s">
        <v>228</v>
      </c>
      <c r="AH87" s="213">
        <v>0.0</v>
      </c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35"/>
      <c r="B88" s="236"/>
      <c r="C88" s="237" t="s">
        <v>1171</v>
      </c>
      <c r="D88" s="238"/>
      <c r="E88" s="239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3"/>
      <c r="Z88" s="213"/>
      <c r="AA88" s="213"/>
      <c r="AB88" s="213"/>
      <c r="AC88" s="213"/>
      <c r="AD88" s="213"/>
      <c r="AE88" s="213"/>
      <c r="AF88" s="213"/>
      <c r="AG88" s="213" t="s">
        <v>228</v>
      </c>
      <c r="AH88" s="213">
        <v>0.0</v>
      </c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35"/>
      <c r="B89" s="236"/>
      <c r="C89" s="237" t="s">
        <v>1172</v>
      </c>
      <c r="D89" s="238"/>
      <c r="E89" s="239">
        <v>62.4</v>
      </c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3"/>
      <c r="Z89" s="213"/>
      <c r="AA89" s="213"/>
      <c r="AB89" s="213"/>
      <c r="AC89" s="213"/>
      <c r="AD89" s="213"/>
      <c r="AE89" s="213"/>
      <c r="AF89" s="213"/>
      <c r="AG89" s="213" t="s">
        <v>228</v>
      </c>
      <c r="AH89" s="213">
        <v>0.0</v>
      </c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14">
        <v>12.0</v>
      </c>
      <c r="B90" s="215" t="s">
        <v>290</v>
      </c>
      <c r="C90" s="216" t="s">
        <v>291</v>
      </c>
      <c r="D90" s="217" t="s">
        <v>234</v>
      </c>
      <c r="E90" s="218">
        <v>671.9556</v>
      </c>
      <c r="F90" s="219">
        <v>64.0</v>
      </c>
      <c r="G90" s="220">
        <f>ROUND(E90*F90,2)</f>
        <v>43005.16</v>
      </c>
      <c r="H90" s="211"/>
      <c r="I90" s="212">
        <f>ROUND(E90*H90,2)</f>
        <v>0</v>
      </c>
      <c r="J90" s="211"/>
      <c r="K90" s="212">
        <f>ROUND(E90*J90,2)</f>
        <v>0</v>
      </c>
      <c r="L90" s="212">
        <v>21.0</v>
      </c>
      <c r="M90" s="212">
        <f>G90*(1+L90/100)</f>
        <v>52036.2436</v>
      </c>
      <c r="N90" s="212">
        <v>0.0</v>
      </c>
      <c r="O90" s="212">
        <f>ROUND(E90*N90,2)</f>
        <v>0</v>
      </c>
      <c r="P90" s="212">
        <v>0.0</v>
      </c>
      <c r="Q90" s="212">
        <f>ROUND(E90*P90,2)</f>
        <v>0</v>
      </c>
      <c r="R90" s="212"/>
      <c r="S90" s="212" t="s">
        <v>184</v>
      </c>
      <c r="T90" s="212" t="s">
        <v>184</v>
      </c>
      <c r="U90" s="212">
        <v>0.519</v>
      </c>
      <c r="V90" s="212">
        <f>ROUND(E90*U90,2)</f>
        <v>348.74</v>
      </c>
      <c r="W90" s="212"/>
      <c r="X90" s="212" t="s">
        <v>225</v>
      </c>
      <c r="Y90" s="213"/>
      <c r="Z90" s="213"/>
      <c r="AA90" s="213"/>
      <c r="AB90" s="213"/>
      <c r="AC90" s="213"/>
      <c r="AD90" s="213"/>
      <c r="AE90" s="213"/>
      <c r="AF90" s="213"/>
      <c r="AG90" s="213" t="s">
        <v>292</v>
      </c>
      <c r="AH90" s="213"/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37" t="s">
        <v>1165</v>
      </c>
      <c r="D91" s="238"/>
      <c r="E91" s="239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>
        <v>0.0</v>
      </c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1166</v>
      </c>
      <c r="D92" s="238"/>
      <c r="E92" s="239">
        <v>96.66</v>
      </c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1167</v>
      </c>
      <c r="D93" s="238"/>
      <c r="E93" s="239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37" t="s">
        <v>1168</v>
      </c>
      <c r="D94" s="238"/>
      <c r="E94" s="239">
        <v>189.12</v>
      </c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>
        <v>0.0</v>
      </c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35"/>
      <c r="B95" s="236"/>
      <c r="C95" s="237" t="s">
        <v>1169</v>
      </c>
      <c r="D95" s="238"/>
      <c r="E95" s="239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3"/>
      <c r="Z95" s="213"/>
      <c r="AA95" s="213"/>
      <c r="AB95" s="213"/>
      <c r="AC95" s="213"/>
      <c r="AD95" s="213"/>
      <c r="AE95" s="213"/>
      <c r="AF95" s="213"/>
      <c r="AG95" s="213" t="s">
        <v>228</v>
      </c>
      <c r="AH95" s="213">
        <v>0.0</v>
      </c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35"/>
      <c r="B96" s="236"/>
      <c r="C96" s="237" t="s">
        <v>1170</v>
      </c>
      <c r="D96" s="238"/>
      <c r="E96" s="239">
        <v>184.25</v>
      </c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3"/>
      <c r="Z96" s="213"/>
      <c r="AA96" s="213"/>
      <c r="AB96" s="213"/>
      <c r="AC96" s="213"/>
      <c r="AD96" s="213"/>
      <c r="AE96" s="213"/>
      <c r="AF96" s="213"/>
      <c r="AG96" s="213" t="s">
        <v>228</v>
      </c>
      <c r="AH96" s="213">
        <v>0.0</v>
      </c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35"/>
      <c r="B97" s="236"/>
      <c r="C97" s="237" t="s">
        <v>1171</v>
      </c>
      <c r="D97" s="238"/>
      <c r="E97" s="239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3"/>
      <c r="Z97" s="213"/>
      <c r="AA97" s="213"/>
      <c r="AB97" s="213"/>
      <c r="AC97" s="213"/>
      <c r="AD97" s="213"/>
      <c r="AE97" s="213"/>
      <c r="AF97" s="213"/>
      <c r="AG97" s="213" t="s">
        <v>228</v>
      </c>
      <c r="AH97" s="213">
        <v>0.0</v>
      </c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35"/>
      <c r="B98" s="236"/>
      <c r="C98" s="237" t="s">
        <v>1172</v>
      </c>
      <c r="D98" s="238"/>
      <c r="E98" s="239">
        <v>62.4</v>
      </c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3"/>
      <c r="Z98" s="213"/>
      <c r="AA98" s="213"/>
      <c r="AB98" s="213"/>
      <c r="AC98" s="213"/>
      <c r="AD98" s="213"/>
      <c r="AE98" s="213"/>
      <c r="AF98" s="213"/>
      <c r="AG98" s="213" t="s">
        <v>228</v>
      </c>
      <c r="AH98" s="213">
        <v>0.0</v>
      </c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1157</v>
      </c>
      <c r="D99" s="238"/>
      <c r="E99" s="239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35"/>
      <c r="B100" s="236"/>
      <c r="C100" s="237" t="s">
        <v>1158</v>
      </c>
      <c r="D100" s="238"/>
      <c r="E100" s="239">
        <v>65.17</v>
      </c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3"/>
      <c r="Z100" s="213"/>
      <c r="AA100" s="213"/>
      <c r="AB100" s="213"/>
      <c r="AC100" s="213"/>
      <c r="AD100" s="213"/>
      <c r="AE100" s="213"/>
      <c r="AF100" s="213"/>
      <c r="AG100" s="213" t="s">
        <v>228</v>
      </c>
      <c r="AH100" s="213">
        <v>0.0</v>
      </c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35"/>
      <c r="B101" s="236"/>
      <c r="C101" s="237" t="s">
        <v>1159</v>
      </c>
      <c r="D101" s="238"/>
      <c r="E101" s="239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3"/>
      <c r="Z101" s="213"/>
      <c r="AA101" s="213"/>
      <c r="AB101" s="213"/>
      <c r="AC101" s="213"/>
      <c r="AD101" s="213"/>
      <c r="AE101" s="213"/>
      <c r="AF101" s="213"/>
      <c r="AG101" s="213" t="s">
        <v>228</v>
      </c>
      <c r="AH101" s="213">
        <v>0.0</v>
      </c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37" t="s">
        <v>1160</v>
      </c>
      <c r="D102" s="238"/>
      <c r="E102" s="239">
        <v>74.36</v>
      </c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0.0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14">
        <v>13.0</v>
      </c>
      <c r="B103" s="215" t="s">
        <v>1186</v>
      </c>
      <c r="C103" s="216" t="s">
        <v>1187</v>
      </c>
      <c r="D103" s="217" t="s">
        <v>234</v>
      </c>
      <c r="E103" s="218">
        <v>359.168</v>
      </c>
      <c r="F103" s="219">
        <v>126.5</v>
      </c>
      <c r="G103" s="220">
        <f>ROUND(E103*F103,2)</f>
        <v>45434.75</v>
      </c>
      <c r="H103" s="211"/>
      <c r="I103" s="212">
        <f>ROUND(E103*H103,2)</f>
        <v>0</v>
      </c>
      <c r="J103" s="211"/>
      <c r="K103" s="212">
        <f>ROUND(E103*J103,2)</f>
        <v>0</v>
      </c>
      <c r="L103" s="212">
        <v>21.0</v>
      </c>
      <c r="M103" s="212">
        <f>G103*(1+L103/100)</f>
        <v>54976.0475</v>
      </c>
      <c r="N103" s="212">
        <v>0.0</v>
      </c>
      <c r="O103" s="212">
        <f>ROUND(E103*N103,2)</f>
        <v>0</v>
      </c>
      <c r="P103" s="212">
        <v>0.0</v>
      </c>
      <c r="Q103" s="212">
        <f>ROUND(E103*P103,2)</f>
        <v>0</v>
      </c>
      <c r="R103" s="212"/>
      <c r="S103" s="212" t="s">
        <v>184</v>
      </c>
      <c r="T103" s="212" t="s">
        <v>184</v>
      </c>
      <c r="U103" s="212">
        <v>0.626</v>
      </c>
      <c r="V103" s="212">
        <f>ROUND(E103*U103,2)</f>
        <v>224.84</v>
      </c>
      <c r="W103" s="212"/>
      <c r="X103" s="212" t="s">
        <v>225</v>
      </c>
      <c r="Y103" s="213"/>
      <c r="Z103" s="213"/>
      <c r="AA103" s="213"/>
      <c r="AB103" s="213"/>
      <c r="AC103" s="213"/>
      <c r="AD103" s="213"/>
      <c r="AE103" s="213"/>
      <c r="AF103" s="213"/>
      <c r="AG103" s="213" t="s">
        <v>226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35"/>
      <c r="B104" s="236"/>
      <c r="C104" s="237" t="s">
        <v>1161</v>
      </c>
      <c r="D104" s="238"/>
      <c r="E104" s="239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3"/>
      <c r="Z104" s="213"/>
      <c r="AA104" s="213"/>
      <c r="AB104" s="213"/>
      <c r="AC104" s="213"/>
      <c r="AD104" s="213"/>
      <c r="AE104" s="213"/>
      <c r="AF104" s="213"/>
      <c r="AG104" s="213" t="s">
        <v>228</v>
      </c>
      <c r="AH104" s="213">
        <v>0.0</v>
      </c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 outlineLevel="1">
      <c r="A105" s="235"/>
      <c r="B105" s="236"/>
      <c r="C105" s="237" t="s">
        <v>1162</v>
      </c>
      <c r="D105" s="238"/>
      <c r="E105" s="239">
        <v>359.17</v>
      </c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3"/>
      <c r="Z105" s="213"/>
      <c r="AA105" s="213"/>
      <c r="AB105" s="213"/>
      <c r="AC105" s="213"/>
      <c r="AD105" s="213"/>
      <c r="AE105" s="213"/>
      <c r="AF105" s="213"/>
      <c r="AG105" s="213" t="s">
        <v>228</v>
      </c>
      <c r="AH105" s="213">
        <v>0.0</v>
      </c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213"/>
      <c r="AT105" s="213"/>
      <c r="AU105" s="213"/>
      <c r="AV105" s="213"/>
      <c r="AW105" s="213"/>
      <c r="AX105" s="213"/>
      <c r="AY105" s="213"/>
      <c r="AZ105" s="213"/>
      <c r="BA105" s="213"/>
      <c r="BB105" s="213"/>
    </row>
    <row r="106" ht="12.75" customHeight="1" outlineLevel="1">
      <c r="A106" s="214">
        <v>14.0</v>
      </c>
      <c r="B106" s="215" t="s">
        <v>896</v>
      </c>
      <c r="C106" s="216" t="s">
        <v>897</v>
      </c>
      <c r="D106" s="217" t="s">
        <v>234</v>
      </c>
      <c r="E106" s="218">
        <v>110.08</v>
      </c>
      <c r="F106" s="219">
        <v>168.1</v>
      </c>
      <c r="G106" s="220">
        <f>ROUND(E106*F106,2)</f>
        <v>18504.45</v>
      </c>
      <c r="H106" s="211"/>
      <c r="I106" s="212">
        <f>ROUND(E106*H106,2)</f>
        <v>0</v>
      </c>
      <c r="J106" s="211"/>
      <c r="K106" s="212">
        <f>ROUND(E106*J106,2)</f>
        <v>0</v>
      </c>
      <c r="L106" s="212">
        <v>21.0</v>
      </c>
      <c r="M106" s="212">
        <f>G106*(1+L106/100)</f>
        <v>22390.3845</v>
      </c>
      <c r="N106" s="212">
        <v>0.0</v>
      </c>
      <c r="O106" s="212">
        <f>ROUND(E106*N106,2)</f>
        <v>0</v>
      </c>
      <c r="P106" s="212">
        <v>0.0</v>
      </c>
      <c r="Q106" s="212">
        <f>ROUND(E106*P106,2)</f>
        <v>0</v>
      </c>
      <c r="R106" s="212"/>
      <c r="S106" s="212" t="s">
        <v>184</v>
      </c>
      <c r="T106" s="212" t="s">
        <v>184</v>
      </c>
      <c r="U106" s="212">
        <v>0.831</v>
      </c>
      <c r="V106" s="212">
        <f>ROUND(E106*U106,2)</f>
        <v>91.48</v>
      </c>
      <c r="W106" s="212"/>
      <c r="X106" s="212" t="s">
        <v>225</v>
      </c>
      <c r="Y106" s="213"/>
      <c r="Z106" s="213"/>
      <c r="AA106" s="213"/>
      <c r="AB106" s="213"/>
      <c r="AC106" s="213"/>
      <c r="AD106" s="213"/>
      <c r="AE106" s="213"/>
      <c r="AF106" s="213"/>
      <c r="AG106" s="213" t="s">
        <v>226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35"/>
      <c r="B107" s="236"/>
      <c r="C107" s="237" t="s">
        <v>1163</v>
      </c>
      <c r="D107" s="238"/>
      <c r="E107" s="239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3"/>
      <c r="Z107" s="213"/>
      <c r="AA107" s="213"/>
      <c r="AB107" s="213"/>
      <c r="AC107" s="213"/>
      <c r="AD107" s="213"/>
      <c r="AE107" s="213"/>
      <c r="AF107" s="213"/>
      <c r="AG107" s="213" t="s">
        <v>228</v>
      </c>
      <c r="AH107" s="213">
        <v>0.0</v>
      </c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1164</v>
      </c>
      <c r="D108" s="238"/>
      <c r="E108" s="239">
        <v>110.08</v>
      </c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14">
        <v>15.0</v>
      </c>
      <c r="B109" s="215" t="s">
        <v>293</v>
      </c>
      <c r="C109" s="216" t="s">
        <v>294</v>
      </c>
      <c r="D109" s="217" t="s">
        <v>234</v>
      </c>
      <c r="E109" s="218">
        <v>462.3029</v>
      </c>
      <c r="F109" s="219">
        <v>215.5</v>
      </c>
      <c r="G109" s="220">
        <f>ROUND(E109*F109,2)</f>
        <v>99626.27</v>
      </c>
      <c r="H109" s="211"/>
      <c r="I109" s="212">
        <f>ROUND(E109*H109,2)</f>
        <v>0</v>
      </c>
      <c r="J109" s="211"/>
      <c r="K109" s="212">
        <f>ROUND(E109*J109,2)</f>
        <v>0</v>
      </c>
      <c r="L109" s="212">
        <v>21.0</v>
      </c>
      <c r="M109" s="212">
        <f>G109*(1+L109/100)</f>
        <v>120547.7867</v>
      </c>
      <c r="N109" s="212">
        <v>0.0</v>
      </c>
      <c r="O109" s="212">
        <f>ROUND(E109*N109,2)</f>
        <v>0</v>
      </c>
      <c r="P109" s="212">
        <v>0.0</v>
      </c>
      <c r="Q109" s="212">
        <f>ROUND(E109*P109,2)</f>
        <v>0</v>
      </c>
      <c r="R109" s="212"/>
      <c r="S109" s="212" t="s">
        <v>184</v>
      </c>
      <c r="T109" s="212" t="s">
        <v>184</v>
      </c>
      <c r="U109" s="212">
        <v>0.011</v>
      </c>
      <c r="V109" s="212">
        <f>ROUND(E109*U109,2)</f>
        <v>5.09</v>
      </c>
      <c r="W109" s="212"/>
      <c r="X109" s="212" t="s">
        <v>225</v>
      </c>
      <c r="Y109" s="213"/>
      <c r="Z109" s="213"/>
      <c r="AA109" s="213"/>
      <c r="AB109" s="213"/>
      <c r="AC109" s="213"/>
      <c r="AD109" s="213"/>
      <c r="AE109" s="213"/>
      <c r="AF109" s="213"/>
      <c r="AG109" s="213" t="s">
        <v>226</v>
      </c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35"/>
      <c r="B110" s="236"/>
      <c r="C110" s="237" t="s">
        <v>295</v>
      </c>
      <c r="D110" s="238"/>
      <c r="E110" s="239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3"/>
      <c r="Z110" s="213"/>
      <c r="AA110" s="213"/>
      <c r="AB110" s="213"/>
      <c r="AC110" s="213"/>
      <c r="AD110" s="213"/>
      <c r="AE110" s="213"/>
      <c r="AF110" s="213"/>
      <c r="AG110" s="213" t="s">
        <v>228</v>
      </c>
      <c r="AH110" s="213">
        <v>0.0</v>
      </c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 outlineLevel="1">
      <c r="A111" s="235"/>
      <c r="B111" s="236"/>
      <c r="C111" s="237" t="s">
        <v>1165</v>
      </c>
      <c r="D111" s="238"/>
      <c r="E111" s="239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3"/>
      <c r="Z111" s="213"/>
      <c r="AA111" s="213"/>
      <c r="AB111" s="213"/>
      <c r="AC111" s="213"/>
      <c r="AD111" s="213"/>
      <c r="AE111" s="213"/>
      <c r="AF111" s="213"/>
      <c r="AG111" s="213" t="s">
        <v>228</v>
      </c>
      <c r="AH111" s="213">
        <v>0.0</v>
      </c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</row>
    <row r="112" ht="12.75" customHeight="1" outlineLevel="1">
      <c r="A112" s="235"/>
      <c r="B112" s="236"/>
      <c r="C112" s="237" t="s">
        <v>1188</v>
      </c>
      <c r="D112" s="238"/>
      <c r="E112" s="239">
        <v>22.55</v>
      </c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3"/>
      <c r="Z112" s="213"/>
      <c r="AA112" s="213"/>
      <c r="AB112" s="213"/>
      <c r="AC112" s="213"/>
      <c r="AD112" s="213"/>
      <c r="AE112" s="213"/>
      <c r="AF112" s="213"/>
      <c r="AG112" s="213" t="s">
        <v>228</v>
      </c>
      <c r="AH112" s="213">
        <v>0.0</v>
      </c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35"/>
      <c r="B113" s="236"/>
      <c r="C113" s="237" t="s">
        <v>1167</v>
      </c>
      <c r="D113" s="238"/>
      <c r="E113" s="239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3"/>
      <c r="Z113" s="213"/>
      <c r="AA113" s="213"/>
      <c r="AB113" s="213"/>
      <c r="AC113" s="213"/>
      <c r="AD113" s="213"/>
      <c r="AE113" s="213"/>
      <c r="AF113" s="213"/>
      <c r="AG113" s="213" t="s">
        <v>228</v>
      </c>
      <c r="AH113" s="213">
        <v>0.0</v>
      </c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1189</v>
      </c>
      <c r="D114" s="238"/>
      <c r="E114" s="239">
        <v>66.19</v>
      </c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1169</v>
      </c>
      <c r="D115" s="238"/>
      <c r="E115" s="239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 outlineLevel="1">
      <c r="A116" s="235"/>
      <c r="B116" s="236"/>
      <c r="C116" s="237" t="s">
        <v>1190</v>
      </c>
      <c r="D116" s="238"/>
      <c r="E116" s="239">
        <v>64.49</v>
      </c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3"/>
      <c r="Z116" s="213"/>
      <c r="AA116" s="213"/>
      <c r="AB116" s="213"/>
      <c r="AC116" s="213"/>
      <c r="AD116" s="213"/>
      <c r="AE116" s="213"/>
      <c r="AF116" s="213"/>
      <c r="AG116" s="213" t="s">
        <v>228</v>
      </c>
      <c r="AH116" s="213">
        <v>0.0</v>
      </c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</row>
    <row r="117" ht="12.75" customHeight="1" outlineLevel="1">
      <c r="A117" s="235"/>
      <c r="B117" s="236"/>
      <c r="C117" s="237" t="s">
        <v>1171</v>
      </c>
      <c r="D117" s="238"/>
      <c r="E117" s="239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3"/>
      <c r="Z117" s="213"/>
      <c r="AA117" s="213"/>
      <c r="AB117" s="213"/>
      <c r="AC117" s="213"/>
      <c r="AD117" s="213"/>
      <c r="AE117" s="213"/>
      <c r="AF117" s="213"/>
      <c r="AG117" s="213" t="s">
        <v>228</v>
      </c>
      <c r="AH117" s="213">
        <v>0.0</v>
      </c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35"/>
      <c r="B118" s="236"/>
      <c r="C118" s="237" t="s">
        <v>1191</v>
      </c>
      <c r="D118" s="238"/>
      <c r="E118" s="239">
        <v>21.84</v>
      </c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3"/>
      <c r="Z118" s="213"/>
      <c r="AA118" s="213"/>
      <c r="AB118" s="213"/>
      <c r="AC118" s="213"/>
      <c r="AD118" s="213"/>
      <c r="AE118" s="213"/>
      <c r="AF118" s="213"/>
      <c r="AG118" s="213" t="s">
        <v>228</v>
      </c>
      <c r="AH118" s="213">
        <v>0.0</v>
      </c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 outlineLevel="1">
      <c r="A119" s="235"/>
      <c r="B119" s="236"/>
      <c r="C119" s="237" t="s">
        <v>1157</v>
      </c>
      <c r="D119" s="238"/>
      <c r="E119" s="239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3"/>
      <c r="Z119" s="213"/>
      <c r="AA119" s="213"/>
      <c r="AB119" s="213"/>
      <c r="AC119" s="213"/>
      <c r="AD119" s="213"/>
      <c r="AE119" s="213"/>
      <c r="AF119" s="213"/>
      <c r="AG119" s="213" t="s">
        <v>228</v>
      </c>
      <c r="AH119" s="213">
        <v>0.0</v>
      </c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35"/>
      <c r="B120" s="236"/>
      <c r="C120" s="237" t="s">
        <v>1158</v>
      </c>
      <c r="D120" s="238"/>
      <c r="E120" s="239">
        <v>65.17</v>
      </c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3"/>
      <c r="Z120" s="213"/>
      <c r="AA120" s="213"/>
      <c r="AB120" s="213"/>
      <c r="AC120" s="213"/>
      <c r="AD120" s="213"/>
      <c r="AE120" s="213"/>
      <c r="AF120" s="213"/>
      <c r="AG120" s="213" t="s">
        <v>228</v>
      </c>
      <c r="AH120" s="213">
        <v>0.0</v>
      </c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35"/>
      <c r="B121" s="236"/>
      <c r="C121" s="237" t="s">
        <v>1159</v>
      </c>
      <c r="D121" s="238"/>
      <c r="E121" s="239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3"/>
      <c r="Z121" s="213"/>
      <c r="AA121" s="213"/>
      <c r="AB121" s="213"/>
      <c r="AC121" s="213"/>
      <c r="AD121" s="213"/>
      <c r="AE121" s="213"/>
      <c r="AF121" s="213"/>
      <c r="AG121" s="213" t="s">
        <v>228</v>
      </c>
      <c r="AH121" s="213">
        <v>0.0</v>
      </c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 outlineLevel="1">
      <c r="A122" s="235"/>
      <c r="B122" s="236"/>
      <c r="C122" s="237" t="s">
        <v>1160</v>
      </c>
      <c r="D122" s="238"/>
      <c r="E122" s="239">
        <v>74.36</v>
      </c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3"/>
      <c r="Z122" s="213"/>
      <c r="AA122" s="213"/>
      <c r="AB122" s="213"/>
      <c r="AC122" s="213"/>
      <c r="AD122" s="213"/>
      <c r="AE122" s="213"/>
      <c r="AF122" s="213"/>
      <c r="AG122" s="213" t="s">
        <v>228</v>
      </c>
      <c r="AH122" s="213">
        <v>0.0</v>
      </c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 outlineLevel="1">
      <c r="A123" s="235"/>
      <c r="B123" s="236"/>
      <c r="C123" s="237" t="s">
        <v>1192</v>
      </c>
      <c r="D123" s="238"/>
      <c r="E123" s="239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3"/>
      <c r="Z123" s="213"/>
      <c r="AA123" s="213"/>
      <c r="AB123" s="213"/>
      <c r="AC123" s="213"/>
      <c r="AD123" s="213"/>
      <c r="AE123" s="213"/>
      <c r="AF123" s="213"/>
      <c r="AG123" s="213" t="s">
        <v>228</v>
      </c>
      <c r="AH123" s="213">
        <v>0.0</v>
      </c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</row>
    <row r="124" ht="12.75" customHeight="1" outlineLevel="1">
      <c r="A124" s="235"/>
      <c r="B124" s="236"/>
      <c r="C124" s="237" t="s">
        <v>1193</v>
      </c>
      <c r="D124" s="238"/>
      <c r="E124" s="239">
        <v>121.68</v>
      </c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3"/>
      <c r="Z124" s="213"/>
      <c r="AA124" s="213"/>
      <c r="AB124" s="213"/>
      <c r="AC124" s="213"/>
      <c r="AD124" s="213"/>
      <c r="AE124" s="213"/>
      <c r="AF124" s="213"/>
      <c r="AG124" s="213" t="s">
        <v>228</v>
      </c>
      <c r="AH124" s="213">
        <v>0.0</v>
      </c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</row>
    <row r="125" ht="12.75" customHeight="1" outlineLevel="1">
      <c r="A125" s="235"/>
      <c r="B125" s="236"/>
      <c r="C125" s="237" t="s">
        <v>1194</v>
      </c>
      <c r="D125" s="238"/>
      <c r="E125" s="239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3"/>
      <c r="Z125" s="213"/>
      <c r="AA125" s="213"/>
      <c r="AB125" s="213"/>
      <c r="AC125" s="213"/>
      <c r="AD125" s="213"/>
      <c r="AE125" s="213"/>
      <c r="AF125" s="213"/>
      <c r="AG125" s="213" t="s">
        <v>228</v>
      </c>
      <c r="AH125" s="213">
        <v>0.0</v>
      </c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</row>
    <row r="126" ht="12.75" customHeight="1" outlineLevel="1">
      <c r="A126" s="235"/>
      <c r="B126" s="236"/>
      <c r="C126" s="237" t="s">
        <v>1195</v>
      </c>
      <c r="D126" s="238"/>
      <c r="E126" s="239">
        <v>19.02</v>
      </c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3"/>
      <c r="Z126" s="213"/>
      <c r="AA126" s="213"/>
      <c r="AB126" s="213"/>
      <c r="AC126" s="213"/>
      <c r="AD126" s="213"/>
      <c r="AE126" s="213"/>
      <c r="AF126" s="213"/>
      <c r="AG126" s="213" t="s">
        <v>228</v>
      </c>
      <c r="AH126" s="213">
        <v>0.0</v>
      </c>
      <c r="AI126" s="213"/>
      <c r="AJ126" s="213"/>
      <c r="AK126" s="213"/>
      <c r="AL126" s="213"/>
      <c r="AM126" s="213"/>
      <c r="AN126" s="213"/>
      <c r="AO126" s="213"/>
      <c r="AP126" s="213"/>
      <c r="AQ126" s="213"/>
      <c r="AR126" s="213"/>
      <c r="AS126" s="213"/>
      <c r="AT126" s="213"/>
      <c r="AU126" s="213"/>
      <c r="AV126" s="213"/>
      <c r="AW126" s="213"/>
      <c r="AX126" s="213"/>
      <c r="AY126" s="213"/>
      <c r="AZ126" s="213"/>
      <c r="BA126" s="213"/>
      <c r="BB126" s="213"/>
    </row>
    <row r="127" ht="12.75" customHeight="1" outlineLevel="1">
      <c r="A127" s="235"/>
      <c r="B127" s="236"/>
      <c r="C127" s="237" t="s">
        <v>1196</v>
      </c>
      <c r="D127" s="238"/>
      <c r="E127" s="239">
        <v>3.4</v>
      </c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3"/>
      <c r="Z127" s="213"/>
      <c r="AA127" s="213"/>
      <c r="AB127" s="213"/>
      <c r="AC127" s="213"/>
      <c r="AD127" s="213"/>
      <c r="AE127" s="213"/>
      <c r="AF127" s="213"/>
      <c r="AG127" s="213" t="s">
        <v>228</v>
      </c>
      <c r="AH127" s="213">
        <v>0.0</v>
      </c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</row>
    <row r="128" ht="12.75" customHeight="1" outlineLevel="1">
      <c r="A128" s="235"/>
      <c r="B128" s="236"/>
      <c r="C128" s="237" t="s">
        <v>1197</v>
      </c>
      <c r="D128" s="238"/>
      <c r="E128" s="239">
        <v>1.8</v>
      </c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3"/>
      <c r="Z128" s="213"/>
      <c r="AA128" s="213"/>
      <c r="AB128" s="213"/>
      <c r="AC128" s="213"/>
      <c r="AD128" s="213"/>
      <c r="AE128" s="213"/>
      <c r="AF128" s="213"/>
      <c r="AG128" s="213" t="s">
        <v>228</v>
      </c>
      <c r="AH128" s="213">
        <v>0.0</v>
      </c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/>
      <c r="BB128" s="213"/>
    </row>
    <row r="129" ht="12.75" customHeight="1" outlineLevel="1">
      <c r="A129" s="235"/>
      <c r="B129" s="236"/>
      <c r="C129" s="237" t="s">
        <v>1197</v>
      </c>
      <c r="D129" s="238"/>
      <c r="E129" s="239">
        <v>1.8</v>
      </c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 t="s">
        <v>228</v>
      </c>
      <c r="AH129" s="213">
        <v>0.0</v>
      </c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</row>
    <row r="130" ht="12.75" customHeight="1" outlineLevel="1">
      <c r="A130" s="214">
        <v>16.0</v>
      </c>
      <c r="B130" s="215" t="s">
        <v>297</v>
      </c>
      <c r="C130" s="216" t="s">
        <v>298</v>
      </c>
      <c r="D130" s="217" t="s">
        <v>234</v>
      </c>
      <c r="E130" s="218">
        <v>462.3029</v>
      </c>
      <c r="F130" s="219">
        <v>61.0</v>
      </c>
      <c r="G130" s="220">
        <f>ROUND(E130*F130,2)</f>
        <v>28200.48</v>
      </c>
      <c r="H130" s="211"/>
      <c r="I130" s="212">
        <f>ROUND(E130*H130,2)</f>
        <v>0</v>
      </c>
      <c r="J130" s="211"/>
      <c r="K130" s="212">
        <f>ROUND(E130*J130,2)</f>
        <v>0</v>
      </c>
      <c r="L130" s="212">
        <v>21.0</v>
      </c>
      <c r="M130" s="212">
        <f>G130*(1+L130/100)</f>
        <v>34122.5808</v>
      </c>
      <c r="N130" s="212">
        <v>0.0</v>
      </c>
      <c r="O130" s="212">
        <f>ROUND(E130*N130,2)</f>
        <v>0</v>
      </c>
      <c r="P130" s="212">
        <v>0.0</v>
      </c>
      <c r="Q130" s="212">
        <f>ROUND(E130*P130,2)</f>
        <v>0</v>
      </c>
      <c r="R130" s="212"/>
      <c r="S130" s="212" t="s">
        <v>184</v>
      </c>
      <c r="T130" s="212" t="s">
        <v>184</v>
      </c>
      <c r="U130" s="212">
        <v>0.053</v>
      </c>
      <c r="V130" s="212">
        <f>ROUND(E130*U130,2)</f>
        <v>24.5</v>
      </c>
      <c r="W130" s="212"/>
      <c r="X130" s="212" t="s">
        <v>225</v>
      </c>
      <c r="Y130" s="213"/>
      <c r="Z130" s="213"/>
      <c r="AA130" s="213"/>
      <c r="AB130" s="213"/>
      <c r="AC130" s="213"/>
      <c r="AD130" s="213"/>
      <c r="AE130" s="213"/>
      <c r="AF130" s="213"/>
      <c r="AG130" s="213" t="s">
        <v>226</v>
      </c>
      <c r="AH130" s="213"/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/>
      <c r="AU130" s="213"/>
      <c r="AV130" s="213"/>
      <c r="AW130" s="213"/>
      <c r="AX130" s="213"/>
      <c r="AY130" s="213"/>
      <c r="AZ130" s="213"/>
      <c r="BA130" s="213"/>
      <c r="BB130" s="213"/>
    </row>
    <row r="131" ht="12.75" customHeight="1" outlineLevel="1">
      <c r="A131" s="235"/>
      <c r="B131" s="236"/>
      <c r="C131" s="237" t="s">
        <v>295</v>
      </c>
      <c r="D131" s="238"/>
      <c r="E131" s="239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3"/>
      <c r="Z131" s="213"/>
      <c r="AA131" s="213"/>
      <c r="AB131" s="213"/>
      <c r="AC131" s="213"/>
      <c r="AD131" s="213"/>
      <c r="AE131" s="213"/>
      <c r="AF131" s="213"/>
      <c r="AG131" s="213" t="s">
        <v>228</v>
      </c>
      <c r="AH131" s="213">
        <v>0.0</v>
      </c>
      <c r="AI131" s="213"/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13"/>
      <c r="AX131" s="213"/>
      <c r="AY131" s="213"/>
      <c r="AZ131" s="213"/>
      <c r="BA131" s="213"/>
      <c r="BB131" s="213"/>
    </row>
    <row r="132" ht="12.75" customHeight="1" outlineLevel="1">
      <c r="A132" s="235"/>
      <c r="B132" s="236"/>
      <c r="C132" s="237" t="s">
        <v>1165</v>
      </c>
      <c r="D132" s="238"/>
      <c r="E132" s="239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3"/>
      <c r="Z132" s="213"/>
      <c r="AA132" s="213"/>
      <c r="AB132" s="213"/>
      <c r="AC132" s="213"/>
      <c r="AD132" s="213"/>
      <c r="AE132" s="213"/>
      <c r="AF132" s="213"/>
      <c r="AG132" s="213" t="s">
        <v>228</v>
      </c>
      <c r="AH132" s="213">
        <v>0.0</v>
      </c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</row>
    <row r="133" ht="12.75" customHeight="1" outlineLevel="1">
      <c r="A133" s="235"/>
      <c r="B133" s="236"/>
      <c r="C133" s="237" t="s">
        <v>1188</v>
      </c>
      <c r="D133" s="238"/>
      <c r="E133" s="239">
        <v>22.55</v>
      </c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3"/>
      <c r="Z133" s="213"/>
      <c r="AA133" s="213"/>
      <c r="AB133" s="213"/>
      <c r="AC133" s="213"/>
      <c r="AD133" s="213"/>
      <c r="AE133" s="213"/>
      <c r="AF133" s="213"/>
      <c r="AG133" s="213" t="s">
        <v>228</v>
      </c>
      <c r="AH133" s="213">
        <v>0.0</v>
      </c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</row>
    <row r="134" ht="12.75" customHeight="1" outlineLevel="1">
      <c r="A134" s="235"/>
      <c r="B134" s="236"/>
      <c r="C134" s="237" t="s">
        <v>1167</v>
      </c>
      <c r="D134" s="238"/>
      <c r="E134" s="239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3"/>
      <c r="Z134" s="213"/>
      <c r="AA134" s="213"/>
      <c r="AB134" s="213"/>
      <c r="AC134" s="213"/>
      <c r="AD134" s="213"/>
      <c r="AE134" s="213"/>
      <c r="AF134" s="213"/>
      <c r="AG134" s="213" t="s">
        <v>228</v>
      </c>
      <c r="AH134" s="213">
        <v>0.0</v>
      </c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</row>
    <row r="135" ht="12.75" customHeight="1" outlineLevel="1">
      <c r="A135" s="235"/>
      <c r="B135" s="236"/>
      <c r="C135" s="237" t="s">
        <v>1189</v>
      </c>
      <c r="D135" s="238"/>
      <c r="E135" s="239">
        <v>66.19</v>
      </c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3"/>
      <c r="Z135" s="213"/>
      <c r="AA135" s="213"/>
      <c r="AB135" s="213"/>
      <c r="AC135" s="213"/>
      <c r="AD135" s="213"/>
      <c r="AE135" s="213"/>
      <c r="AF135" s="213"/>
      <c r="AG135" s="213" t="s">
        <v>228</v>
      </c>
      <c r="AH135" s="213">
        <v>0.0</v>
      </c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</row>
    <row r="136" ht="12.75" customHeight="1" outlineLevel="1">
      <c r="A136" s="235"/>
      <c r="B136" s="236"/>
      <c r="C136" s="237" t="s">
        <v>1169</v>
      </c>
      <c r="D136" s="238"/>
      <c r="E136" s="239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3"/>
      <c r="Z136" s="213"/>
      <c r="AA136" s="213"/>
      <c r="AB136" s="213"/>
      <c r="AC136" s="213"/>
      <c r="AD136" s="213"/>
      <c r="AE136" s="213"/>
      <c r="AF136" s="213"/>
      <c r="AG136" s="213" t="s">
        <v>228</v>
      </c>
      <c r="AH136" s="213">
        <v>0.0</v>
      </c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</row>
    <row r="137" ht="12.75" customHeight="1" outlineLevel="1">
      <c r="A137" s="235"/>
      <c r="B137" s="236"/>
      <c r="C137" s="237" t="s">
        <v>1190</v>
      </c>
      <c r="D137" s="238"/>
      <c r="E137" s="239">
        <v>64.49</v>
      </c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3"/>
      <c r="Z137" s="213"/>
      <c r="AA137" s="213"/>
      <c r="AB137" s="213"/>
      <c r="AC137" s="213"/>
      <c r="AD137" s="213"/>
      <c r="AE137" s="213"/>
      <c r="AF137" s="213"/>
      <c r="AG137" s="213" t="s">
        <v>228</v>
      </c>
      <c r="AH137" s="213">
        <v>0.0</v>
      </c>
      <c r="AI137" s="213"/>
      <c r="AJ137" s="213"/>
      <c r="AK137" s="213"/>
      <c r="AL137" s="213"/>
      <c r="AM137" s="213"/>
      <c r="AN137" s="213"/>
      <c r="AO137" s="213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</row>
    <row r="138" ht="12.75" customHeight="1" outlineLevel="1">
      <c r="A138" s="235"/>
      <c r="B138" s="236"/>
      <c r="C138" s="237" t="s">
        <v>1171</v>
      </c>
      <c r="D138" s="238"/>
      <c r="E138" s="239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3"/>
      <c r="Z138" s="213"/>
      <c r="AA138" s="213"/>
      <c r="AB138" s="213"/>
      <c r="AC138" s="213"/>
      <c r="AD138" s="213"/>
      <c r="AE138" s="213"/>
      <c r="AF138" s="213"/>
      <c r="AG138" s="213" t="s">
        <v>228</v>
      </c>
      <c r="AH138" s="213">
        <v>0.0</v>
      </c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</row>
    <row r="139" ht="12.75" customHeight="1" outlineLevel="1">
      <c r="A139" s="235"/>
      <c r="B139" s="236"/>
      <c r="C139" s="237" t="s">
        <v>1191</v>
      </c>
      <c r="D139" s="238"/>
      <c r="E139" s="239">
        <v>21.84</v>
      </c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3"/>
      <c r="Z139" s="213"/>
      <c r="AA139" s="213"/>
      <c r="AB139" s="213"/>
      <c r="AC139" s="213"/>
      <c r="AD139" s="213"/>
      <c r="AE139" s="213"/>
      <c r="AF139" s="213"/>
      <c r="AG139" s="213" t="s">
        <v>228</v>
      </c>
      <c r="AH139" s="213">
        <v>0.0</v>
      </c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</row>
    <row r="140" ht="12.75" customHeight="1" outlineLevel="1">
      <c r="A140" s="235"/>
      <c r="B140" s="236"/>
      <c r="C140" s="237" t="s">
        <v>1157</v>
      </c>
      <c r="D140" s="238"/>
      <c r="E140" s="239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3"/>
      <c r="Z140" s="213"/>
      <c r="AA140" s="213"/>
      <c r="AB140" s="213"/>
      <c r="AC140" s="213"/>
      <c r="AD140" s="213"/>
      <c r="AE140" s="213"/>
      <c r="AF140" s="213"/>
      <c r="AG140" s="213" t="s">
        <v>228</v>
      </c>
      <c r="AH140" s="213">
        <v>0.0</v>
      </c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</row>
    <row r="141" ht="12.75" customHeight="1" outlineLevel="1">
      <c r="A141" s="235"/>
      <c r="B141" s="236"/>
      <c r="C141" s="237" t="s">
        <v>1158</v>
      </c>
      <c r="D141" s="238"/>
      <c r="E141" s="239">
        <v>65.17</v>
      </c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3"/>
      <c r="Z141" s="213"/>
      <c r="AA141" s="213"/>
      <c r="AB141" s="213"/>
      <c r="AC141" s="213"/>
      <c r="AD141" s="213"/>
      <c r="AE141" s="213"/>
      <c r="AF141" s="213"/>
      <c r="AG141" s="213" t="s">
        <v>228</v>
      </c>
      <c r="AH141" s="213">
        <v>0.0</v>
      </c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</row>
    <row r="142" ht="12.75" customHeight="1" outlineLevel="1">
      <c r="A142" s="235"/>
      <c r="B142" s="236"/>
      <c r="C142" s="237" t="s">
        <v>1159</v>
      </c>
      <c r="D142" s="238"/>
      <c r="E142" s="239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3"/>
      <c r="Z142" s="213"/>
      <c r="AA142" s="213"/>
      <c r="AB142" s="213"/>
      <c r="AC142" s="213"/>
      <c r="AD142" s="213"/>
      <c r="AE142" s="213"/>
      <c r="AF142" s="213"/>
      <c r="AG142" s="213" t="s">
        <v>228</v>
      </c>
      <c r="AH142" s="213">
        <v>0.0</v>
      </c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</row>
    <row r="143" ht="12.75" customHeight="1" outlineLevel="1">
      <c r="A143" s="235"/>
      <c r="B143" s="236"/>
      <c r="C143" s="237" t="s">
        <v>1160</v>
      </c>
      <c r="D143" s="238"/>
      <c r="E143" s="239">
        <v>74.36</v>
      </c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3"/>
      <c r="Z143" s="213"/>
      <c r="AA143" s="213"/>
      <c r="AB143" s="213"/>
      <c r="AC143" s="213"/>
      <c r="AD143" s="213"/>
      <c r="AE143" s="213"/>
      <c r="AF143" s="213"/>
      <c r="AG143" s="213" t="s">
        <v>228</v>
      </c>
      <c r="AH143" s="213">
        <v>0.0</v>
      </c>
      <c r="AI143" s="213"/>
      <c r="AJ143" s="213"/>
      <c r="AK143" s="213"/>
      <c r="AL143" s="213"/>
      <c r="AM143" s="213"/>
      <c r="AN143" s="213"/>
      <c r="AO143" s="213"/>
      <c r="AP143" s="213"/>
      <c r="AQ143" s="213"/>
      <c r="AR143" s="213"/>
      <c r="AS143" s="213"/>
      <c r="AT143" s="213"/>
      <c r="AU143" s="213"/>
      <c r="AV143" s="213"/>
      <c r="AW143" s="213"/>
      <c r="AX143" s="213"/>
      <c r="AY143" s="213"/>
      <c r="AZ143" s="213"/>
      <c r="BA143" s="213"/>
      <c r="BB143" s="213"/>
    </row>
    <row r="144" ht="12.75" customHeight="1" outlineLevel="1">
      <c r="A144" s="235"/>
      <c r="B144" s="236"/>
      <c r="C144" s="237" t="s">
        <v>1192</v>
      </c>
      <c r="D144" s="238"/>
      <c r="E144" s="239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3"/>
      <c r="Z144" s="213"/>
      <c r="AA144" s="213"/>
      <c r="AB144" s="213"/>
      <c r="AC144" s="213"/>
      <c r="AD144" s="213"/>
      <c r="AE144" s="213"/>
      <c r="AF144" s="213"/>
      <c r="AG144" s="213" t="s">
        <v>228</v>
      </c>
      <c r="AH144" s="213">
        <v>0.0</v>
      </c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</row>
    <row r="145" ht="12.75" customHeight="1" outlineLevel="1">
      <c r="A145" s="235"/>
      <c r="B145" s="236"/>
      <c r="C145" s="237" t="s">
        <v>1193</v>
      </c>
      <c r="D145" s="238"/>
      <c r="E145" s="239">
        <v>121.68</v>
      </c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3"/>
      <c r="Z145" s="213"/>
      <c r="AA145" s="213"/>
      <c r="AB145" s="213"/>
      <c r="AC145" s="213"/>
      <c r="AD145" s="213"/>
      <c r="AE145" s="213"/>
      <c r="AF145" s="213"/>
      <c r="AG145" s="213" t="s">
        <v>228</v>
      </c>
      <c r="AH145" s="213">
        <v>0.0</v>
      </c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</row>
    <row r="146" ht="12.75" customHeight="1" outlineLevel="1">
      <c r="A146" s="235"/>
      <c r="B146" s="236"/>
      <c r="C146" s="237" t="s">
        <v>1194</v>
      </c>
      <c r="D146" s="238"/>
      <c r="E146" s="239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3"/>
      <c r="Z146" s="213"/>
      <c r="AA146" s="213"/>
      <c r="AB146" s="213"/>
      <c r="AC146" s="213"/>
      <c r="AD146" s="213"/>
      <c r="AE146" s="213"/>
      <c r="AF146" s="213"/>
      <c r="AG146" s="213" t="s">
        <v>228</v>
      </c>
      <c r="AH146" s="213">
        <v>0.0</v>
      </c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</row>
    <row r="147" ht="12.75" customHeight="1" outlineLevel="1">
      <c r="A147" s="235"/>
      <c r="B147" s="236"/>
      <c r="C147" s="237" t="s">
        <v>1195</v>
      </c>
      <c r="D147" s="238"/>
      <c r="E147" s="239">
        <v>19.02</v>
      </c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3"/>
      <c r="Z147" s="213"/>
      <c r="AA147" s="213"/>
      <c r="AB147" s="213"/>
      <c r="AC147" s="213"/>
      <c r="AD147" s="213"/>
      <c r="AE147" s="213"/>
      <c r="AF147" s="213"/>
      <c r="AG147" s="213" t="s">
        <v>228</v>
      </c>
      <c r="AH147" s="213">
        <v>0.0</v>
      </c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</row>
    <row r="148" ht="12.75" customHeight="1" outlineLevel="1">
      <c r="A148" s="235"/>
      <c r="B148" s="236"/>
      <c r="C148" s="237" t="s">
        <v>1196</v>
      </c>
      <c r="D148" s="238"/>
      <c r="E148" s="239">
        <v>3.4</v>
      </c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3"/>
      <c r="Z148" s="213"/>
      <c r="AA148" s="213"/>
      <c r="AB148" s="213"/>
      <c r="AC148" s="213"/>
      <c r="AD148" s="213"/>
      <c r="AE148" s="213"/>
      <c r="AF148" s="213"/>
      <c r="AG148" s="213" t="s">
        <v>228</v>
      </c>
      <c r="AH148" s="213">
        <v>0.0</v>
      </c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</row>
    <row r="149" ht="12.75" customHeight="1" outlineLevel="1">
      <c r="A149" s="235"/>
      <c r="B149" s="236"/>
      <c r="C149" s="237" t="s">
        <v>1197</v>
      </c>
      <c r="D149" s="238"/>
      <c r="E149" s="239">
        <v>1.8</v>
      </c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3"/>
      <c r="Z149" s="213"/>
      <c r="AA149" s="213"/>
      <c r="AB149" s="213"/>
      <c r="AC149" s="213"/>
      <c r="AD149" s="213"/>
      <c r="AE149" s="213"/>
      <c r="AF149" s="213"/>
      <c r="AG149" s="213" t="s">
        <v>228</v>
      </c>
      <c r="AH149" s="213">
        <v>0.0</v>
      </c>
      <c r="AI149" s="213"/>
      <c r="AJ149" s="213"/>
      <c r="AK149" s="213"/>
      <c r="AL149" s="213"/>
      <c r="AM149" s="213"/>
      <c r="AN149" s="213"/>
      <c r="AO149" s="213"/>
      <c r="AP149" s="213"/>
      <c r="AQ149" s="213"/>
      <c r="AR149" s="213"/>
      <c r="AS149" s="213"/>
      <c r="AT149" s="213"/>
      <c r="AU149" s="213"/>
      <c r="AV149" s="213"/>
      <c r="AW149" s="213"/>
      <c r="AX149" s="213"/>
      <c r="AY149" s="213"/>
      <c r="AZ149" s="213"/>
      <c r="BA149" s="213"/>
      <c r="BB149" s="213"/>
    </row>
    <row r="150" ht="12.75" customHeight="1" outlineLevel="1">
      <c r="A150" s="235"/>
      <c r="B150" s="236"/>
      <c r="C150" s="237" t="s">
        <v>1197</v>
      </c>
      <c r="D150" s="238"/>
      <c r="E150" s="239">
        <v>1.8</v>
      </c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3"/>
      <c r="Z150" s="213"/>
      <c r="AA150" s="213"/>
      <c r="AB150" s="213"/>
      <c r="AC150" s="213"/>
      <c r="AD150" s="213"/>
      <c r="AE150" s="213"/>
      <c r="AF150" s="213"/>
      <c r="AG150" s="213" t="s">
        <v>228</v>
      </c>
      <c r="AH150" s="213">
        <v>0.0</v>
      </c>
      <c r="AI150" s="213"/>
      <c r="AJ150" s="213"/>
      <c r="AK150" s="213"/>
      <c r="AL150" s="213"/>
      <c r="AM150" s="213"/>
      <c r="AN150" s="213"/>
      <c r="AO150" s="213"/>
      <c r="AP150" s="213"/>
      <c r="AQ150" s="213"/>
      <c r="AR150" s="213"/>
      <c r="AS150" s="213"/>
      <c r="AT150" s="213"/>
      <c r="AU150" s="213"/>
      <c r="AV150" s="213"/>
      <c r="AW150" s="213"/>
      <c r="AX150" s="213"/>
      <c r="AY150" s="213"/>
      <c r="AZ150" s="213"/>
      <c r="BA150" s="213"/>
      <c r="BB150" s="213"/>
    </row>
    <row r="151" ht="12.75" customHeight="1" outlineLevel="1">
      <c r="A151" s="214">
        <v>17.0</v>
      </c>
      <c r="B151" s="215" t="s">
        <v>299</v>
      </c>
      <c r="C151" s="216" t="s">
        <v>300</v>
      </c>
      <c r="D151" s="217" t="s">
        <v>234</v>
      </c>
      <c r="E151" s="218">
        <v>462.3029</v>
      </c>
      <c r="F151" s="219">
        <v>15.1</v>
      </c>
      <c r="G151" s="220">
        <f>ROUND(E151*F151,2)</f>
        <v>6980.77</v>
      </c>
      <c r="H151" s="211"/>
      <c r="I151" s="212">
        <f>ROUND(E151*H151,2)</f>
        <v>0</v>
      </c>
      <c r="J151" s="211"/>
      <c r="K151" s="212">
        <f>ROUND(E151*J151,2)</f>
        <v>0</v>
      </c>
      <c r="L151" s="212">
        <v>21.0</v>
      </c>
      <c r="M151" s="212">
        <f>G151*(1+L151/100)</f>
        <v>8446.7317</v>
      </c>
      <c r="N151" s="212">
        <v>0.0</v>
      </c>
      <c r="O151" s="212">
        <f>ROUND(E151*N151,2)</f>
        <v>0</v>
      </c>
      <c r="P151" s="212">
        <v>0.0</v>
      </c>
      <c r="Q151" s="212">
        <f>ROUND(E151*P151,2)</f>
        <v>0</v>
      </c>
      <c r="R151" s="212"/>
      <c r="S151" s="212" t="s">
        <v>184</v>
      </c>
      <c r="T151" s="212" t="s">
        <v>184</v>
      </c>
      <c r="U151" s="212">
        <v>0.009</v>
      </c>
      <c r="V151" s="212">
        <f>ROUND(E151*U151,2)</f>
        <v>4.16</v>
      </c>
      <c r="W151" s="212"/>
      <c r="X151" s="212" t="s">
        <v>225</v>
      </c>
      <c r="Y151" s="213"/>
      <c r="Z151" s="213"/>
      <c r="AA151" s="213"/>
      <c r="AB151" s="213"/>
      <c r="AC151" s="213"/>
      <c r="AD151" s="213"/>
      <c r="AE151" s="213"/>
      <c r="AF151" s="213"/>
      <c r="AG151" s="213" t="s">
        <v>226</v>
      </c>
      <c r="AH151" s="213"/>
      <c r="AI151" s="213"/>
      <c r="AJ151" s="213"/>
      <c r="AK151" s="213"/>
      <c r="AL151" s="213"/>
      <c r="AM151" s="213"/>
      <c r="AN151" s="213"/>
      <c r="AO151" s="213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</row>
    <row r="152" ht="12.75" customHeight="1" outlineLevel="1">
      <c r="A152" s="235"/>
      <c r="B152" s="236"/>
      <c r="C152" s="237" t="s">
        <v>295</v>
      </c>
      <c r="D152" s="238"/>
      <c r="E152" s="239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3"/>
      <c r="Z152" s="213"/>
      <c r="AA152" s="213"/>
      <c r="AB152" s="213"/>
      <c r="AC152" s="213"/>
      <c r="AD152" s="213"/>
      <c r="AE152" s="213"/>
      <c r="AF152" s="213"/>
      <c r="AG152" s="213" t="s">
        <v>228</v>
      </c>
      <c r="AH152" s="213">
        <v>0.0</v>
      </c>
      <c r="AI152" s="213"/>
      <c r="AJ152" s="213"/>
      <c r="AK152" s="213"/>
      <c r="AL152" s="213"/>
      <c r="AM152" s="213"/>
      <c r="AN152" s="213"/>
      <c r="AO152" s="213"/>
      <c r="AP152" s="213"/>
      <c r="AQ152" s="213"/>
      <c r="AR152" s="213"/>
      <c r="AS152" s="213"/>
      <c r="AT152" s="213"/>
      <c r="AU152" s="213"/>
      <c r="AV152" s="213"/>
      <c r="AW152" s="213"/>
      <c r="AX152" s="213"/>
      <c r="AY152" s="213"/>
      <c r="AZ152" s="213"/>
      <c r="BA152" s="213"/>
      <c r="BB152" s="213"/>
    </row>
    <row r="153" ht="12.75" customHeight="1" outlineLevel="1">
      <c r="A153" s="235"/>
      <c r="B153" s="236"/>
      <c r="C153" s="237" t="s">
        <v>1165</v>
      </c>
      <c r="D153" s="238"/>
      <c r="E153" s="239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3"/>
      <c r="Z153" s="213"/>
      <c r="AA153" s="213"/>
      <c r="AB153" s="213"/>
      <c r="AC153" s="213"/>
      <c r="AD153" s="213"/>
      <c r="AE153" s="213"/>
      <c r="AF153" s="213"/>
      <c r="AG153" s="213" t="s">
        <v>228</v>
      </c>
      <c r="AH153" s="213">
        <v>0.0</v>
      </c>
      <c r="AI153" s="213"/>
      <c r="AJ153" s="213"/>
      <c r="AK153" s="213"/>
      <c r="AL153" s="213"/>
      <c r="AM153" s="213"/>
      <c r="AN153" s="213"/>
      <c r="AO153" s="213"/>
      <c r="AP153" s="213"/>
      <c r="AQ153" s="213"/>
      <c r="AR153" s="213"/>
      <c r="AS153" s="213"/>
      <c r="AT153" s="213"/>
      <c r="AU153" s="213"/>
      <c r="AV153" s="213"/>
      <c r="AW153" s="213"/>
      <c r="AX153" s="213"/>
      <c r="AY153" s="213"/>
      <c r="AZ153" s="213"/>
      <c r="BA153" s="213"/>
      <c r="BB153" s="213"/>
    </row>
    <row r="154" ht="12.75" customHeight="1" outlineLevel="1">
      <c r="A154" s="235"/>
      <c r="B154" s="236"/>
      <c r="C154" s="237" t="s">
        <v>1188</v>
      </c>
      <c r="D154" s="238"/>
      <c r="E154" s="239">
        <v>22.55</v>
      </c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3"/>
      <c r="Z154" s="213"/>
      <c r="AA154" s="213"/>
      <c r="AB154" s="213"/>
      <c r="AC154" s="213"/>
      <c r="AD154" s="213"/>
      <c r="AE154" s="213"/>
      <c r="AF154" s="213"/>
      <c r="AG154" s="213" t="s">
        <v>228</v>
      </c>
      <c r="AH154" s="213">
        <v>0.0</v>
      </c>
      <c r="AI154" s="213"/>
      <c r="AJ154" s="213"/>
      <c r="AK154" s="213"/>
      <c r="AL154" s="213"/>
      <c r="AM154" s="213"/>
      <c r="AN154" s="213"/>
      <c r="AO154" s="213"/>
      <c r="AP154" s="213"/>
      <c r="AQ154" s="213"/>
      <c r="AR154" s="213"/>
      <c r="AS154" s="213"/>
      <c r="AT154" s="213"/>
      <c r="AU154" s="213"/>
      <c r="AV154" s="213"/>
      <c r="AW154" s="213"/>
      <c r="AX154" s="213"/>
      <c r="AY154" s="213"/>
      <c r="AZ154" s="213"/>
      <c r="BA154" s="213"/>
      <c r="BB154" s="213"/>
    </row>
    <row r="155" ht="12.75" customHeight="1" outlineLevel="1">
      <c r="A155" s="235"/>
      <c r="B155" s="236"/>
      <c r="C155" s="237" t="s">
        <v>1167</v>
      </c>
      <c r="D155" s="238"/>
      <c r="E155" s="239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3"/>
      <c r="Z155" s="213"/>
      <c r="AA155" s="213"/>
      <c r="AB155" s="213"/>
      <c r="AC155" s="213"/>
      <c r="AD155" s="213"/>
      <c r="AE155" s="213"/>
      <c r="AF155" s="213"/>
      <c r="AG155" s="213" t="s">
        <v>228</v>
      </c>
      <c r="AH155" s="213">
        <v>0.0</v>
      </c>
      <c r="AI155" s="213"/>
      <c r="AJ155" s="213"/>
      <c r="AK155" s="213"/>
      <c r="AL155" s="213"/>
      <c r="AM155" s="213"/>
      <c r="AN155" s="213"/>
      <c r="AO155" s="213"/>
      <c r="AP155" s="213"/>
      <c r="AQ155" s="213"/>
      <c r="AR155" s="213"/>
      <c r="AS155" s="213"/>
      <c r="AT155" s="213"/>
      <c r="AU155" s="213"/>
      <c r="AV155" s="213"/>
      <c r="AW155" s="213"/>
      <c r="AX155" s="213"/>
      <c r="AY155" s="213"/>
      <c r="AZ155" s="213"/>
      <c r="BA155" s="213"/>
      <c r="BB155" s="213"/>
    </row>
    <row r="156" ht="12.75" customHeight="1" outlineLevel="1">
      <c r="A156" s="235"/>
      <c r="B156" s="236"/>
      <c r="C156" s="237" t="s">
        <v>1189</v>
      </c>
      <c r="D156" s="238"/>
      <c r="E156" s="239">
        <v>66.19</v>
      </c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3"/>
      <c r="Z156" s="213"/>
      <c r="AA156" s="213"/>
      <c r="AB156" s="213"/>
      <c r="AC156" s="213"/>
      <c r="AD156" s="213"/>
      <c r="AE156" s="213"/>
      <c r="AF156" s="213"/>
      <c r="AG156" s="213" t="s">
        <v>228</v>
      </c>
      <c r="AH156" s="213">
        <v>0.0</v>
      </c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</row>
    <row r="157" ht="12.75" customHeight="1" outlineLevel="1">
      <c r="A157" s="235"/>
      <c r="B157" s="236"/>
      <c r="C157" s="237" t="s">
        <v>1169</v>
      </c>
      <c r="D157" s="238"/>
      <c r="E157" s="239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3"/>
      <c r="Z157" s="213"/>
      <c r="AA157" s="213"/>
      <c r="AB157" s="213"/>
      <c r="AC157" s="213"/>
      <c r="AD157" s="213"/>
      <c r="AE157" s="213"/>
      <c r="AF157" s="213"/>
      <c r="AG157" s="213" t="s">
        <v>228</v>
      </c>
      <c r="AH157" s="213">
        <v>0.0</v>
      </c>
      <c r="AI157" s="213"/>
      <c r="AJ157" s="213"/>
      <c r="AK157" s="213"/>
      <c r="AL157" s="213"/>
      <c r="AM157" s="213"/>
      <c r="AN157" s="213"/>
      <c r="AO157" s="213"/>
      <c r="AP157" s="213"/>
      <c r="AQ157" s="213"/>
      <c r="AR157" s="213"/>
      <c r="AS157" s="213"/>
      <c r="AT157" s="213"/>
      <c r="AU157" s="213"/>
      <c r="AV157" s="213"/>
      <c r="AW157" s="213"/>
      <c r="AX157" s="213"/>
      <c r="AY157" s="213"/>
      <c r="AZ157" s="213"/>
      <c r="BA157" s="213"/>
      <c r="BB157" s="213"/>
    </row>
    <row r="158" ht="12.75" customHeight="1" outlineLevel="1">
      <c r="A158" s="235"/>
      <c r="B158" s="236"/>
      <c r="C158" s="237" t="s">
        <v>1190</v>
      </c>
      <c r="D158" s="238"/>
      <c r="E158" s="239">
        <v>64.49</v>
      </c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3"/>
      <c r="Z158" s="213"/>
      <c r="AA158" s="213"/>
      <c r="AB158" s="213"/>
      <c r="AC158" s="213"/>
      <c r="AD158" s="213"/>
      <c r="AE158" s="213"/>
      <c r="AF158" s="213"/>
      <c r="AG158" s="213" t="s">
        <v>228</v>
      </c>
      <c r="AH158" s="213">
        <v>0.0</v>
      </c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3"/>
      <c r="AX158" s="213"/>
      <c r="AY158" s="213"/>
      <c r="AZ158" s="213"/>
      <c r="BA158" s="213"/>
      <c r="BB158" s="213"/>
    </row>
    <row r="159" ht="12.75" customHeight="1" outlineLevel="1">
      <c r="A159" s="235"/>
      <c r="B159" s="236"/>
      <c r="C159" s="237" t="s">
        <v>1171</v>
      </c>
      <c r="D159" s="238"/>
      <c r="E159" s="239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3"/>
      <c r="Z159" s="213"/>
      <c r="AA159" s="213"/>
      <c r="AB159" s="213"/>
      <c r="AC159" s="213"/>
      <c r="AD159" s="213"/>
      <c r="AE159" s="213"/>
      <c r="AF159" s="213"/>
      <c r="AG159" s="213" t="s">
        <v>228</v>
      </c>
      <c r="AH159" s="213">
        <v>0.0</v>
      </c>
      <c r="AI159" s="213"/>
      <c r="AJ159" s="213"/>
      <c r="AK159" s="213"/>
      <c r="AL159" s="213"/>
      <c r="AM159" s="213"/>
      <c r="AN159" s="213"/>
      <c r="AO159" s="213"/>
      <c r="AP159" s="213"/>
      <c r="AQ159" s="213"/>
      <c r="AR159" s="213"/>
      <c r="AS159" s="213"/>
      <c r="AT159" s="213"/>
      <c r="AU159" s="213"/>
      <c r="AV159" s="213"/>
      <c r="AW159" s="213"/>
      <c r="AX159" s="213"/>
      <c r="AY159" s="213"/>
      <c r="AZ159" s="213"/>
      <c r="BA159" s="213"/>
      <c r="BB159" s="213"/>
    </row>
    <row r="160" ht="12.75" customHeight="1" outlineLevel="1">
      <c r="A160" s="235"/>
      <c r="B160" s="236"/>
      <c r="C160" s="237" t="s">
        <v>1191</v>
      </c>
      <c r="D160" s="238"/>
      <c r="E160" s="239">
        <v>21.84</v>
      </c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3"/>
      <c r="Z160" s="213"/>
      <c r="AA160" s="213"/>
      <c r="AB160" s="213"/>
      <c r="AC160" s="213"/>
      <c r="AD160" s="213"/>
      <c r="AE160" s="213"/>
      <c r="AF160" s="213"/>
      <c r="AG160" s="213" t="s">
        <v>228</v>
      </c>
      <c r="AH160" s="213">
        <v>0.0</v>
      </c>
      <c r="AI160" s="213"/>
      <c r="AJ160" s="213"/>
      <c r="AK160" s="213"/>
      <c r="AL160" s="213"/>
      <c r="AM160" s="213"/>
      <c r="AN160" s="213"/>
      <c r="AO160" s="213"/>
      <c r="AP160" s="213"/>
      <c r="AQ160" s="213"/>
      <c r="AR160" s="213"/>
      <c r="AS160" s="213"/>
      <c r="AT160" s="213"/>
      <c r="AU160" s="213"/>
      <c r="AV160" s="213"/>
      <c r="AW160" s="213"/>
      <c r="AX160" s="213"/>
      <c r="AY160" s="213"/>
      <c r="AZ160" s="213"/>
      <c r="BA160" s="213"/>
      <c r="BB160" s="213"/>
    </row>
    <row r="161" ht="12.75" customHeight="1" outlineLevel="1">
      <c r="A161" s="235"/>
      <c r="B161" s="236"/>
      <c r="C161" s="237" t="s">
        <v>1157</v>
      </c>
      <c r="D161" s="238"/>
      <c r="E161" s="239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3"/>
      <c r="Z161" s="213"/>
      <c r="AA161" s="213"/>
      <c r="AB161" s="213"/>
      <c r="AC161" s="213"/>
      <c r="AD161" s="213"/>
      <c r="AE161" s="213"/>
      <c r="AF161" s="213"/>
      <c r="AG161" s="213" t="s">
        <v>228</v>
      </c>
      <c r="AH161" s="213">
        <v>0.0</v>
      </c>
      <c r="AI161" s="213"/>
      <c r="AJ161" s="213"/>
      <c r="AK161" s="213"/>
      <c r="AL161" s="213"/>
      <c r="AM161" s="213"/>
      <c r="AN161" s="213"/>
      <c r="AO161" s="213"/>
      <c r="AP161" s="213"/>
      <c r="AQ161" s="213"/>
      <c r="AR161" s="213"/>
      <c r="AS161" s="213"/>
      <c r="AT161" s="213"/>
      <c r="AU161" s="213"/>
      <c r="AV161" s="213"/>
      <c r="AW161" s="213"/>
      <c r="AX161" s="213"/>
      <c r="AY161" s="213"/>
      <c r="AZ161" s="213"/>
      <c r="BA161" s="213"/>
      <c r="BB161" s="213"/>
    </row>
    <row r="162" ht="12.75" customHeight="1" outlineLevel="1">
      <c r="A162" s="235"/>
      <c r="B162" s="236"/>
      <c r="C162" s="237" t="s">
        <v>1158</v>
      </c>
      <c r="D162" s="238"/>
      <c r="E162" s="239">
        <v>65.17</v>
      </c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3"/>
      <c r="Z162" s="213"/>
      <c r="AA162" s="213"/>
      <c r="AB162" s="213"/>
      <c r="AC162" s="213"/>
      <c r="AD162" s="213"/>
      <c r="AE162" s="213"/>
      <c r="AF162" s="213"/>
      <c r="AG162" s="213" t="s">
        <v>228</v>
      </c>
      <c r="AH162" s="213">
        <v>0.0</v>
      </c>
      <c r="AI162" s="213"/>
      <c r="AJ162" s="213"/>
      <c r="AK162" s="213"/>
      <c r="AL162" s="213"/>
      <c r="AM162" s="213"/>
      <c r="AN162" s="213"/>
      <c r="AO162" s="213"/>
      <c r="AP162" s="213"/>
      <c r="AQ162" s="213"/>
      <c r="AR162" s="213"/>
      <c r="AS162" s="213"/>
      <c r="AT162" s="213"/>
      <c r="AU162" s="213"/>
      <c r="AV162" s="213"/>
      <c r="AW162" s="213"/>
      <c r="AX162" s="213"/>
      <c r="AY162" s="213"/>
      <c r="AZ162" s="213"/>
      <c r="BA162" s="213"/>
      <c r="BB162" s="213"/>
    </row>
    <row r="163" ht="12.75" customHeight="1" outlineLevel="1">
      <c r="A163" s="235"/>
      <c r="B163" s="236"/>
      <c r="C163" s="237" t="s">
        <v>1159</v>
      </c>
      <c r="D163" s="238"/>
      <c r="E163" s="239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3"/>
      <c r="Z163" s="213"/>
      <c r="AA163" s="213"/>
      <c r="AB163" s="213"/>
      <c r="AC163" s="213"/>
      <c r="AD163" s="213"/>
      <c r="AE163" s="213"/>
      <c r="AF163" s="213"/>
      <c r="AG163" s="213" t="s">
        <v>228</v>
      </c>
      <c r="AH163" s="213">
        <v>0.0</v>
      </c>
      <c r="AI163" s="213"/>
      <c r="AJ163" s="213"/>
      <c r="AK163" s="213"/>
      <c r="AL163" s="213"/>
      <c r="AM163" s="213"/>
      <c r="AN163" s="213"/>
      <c r="AO163" s="213"/>
      <c r="AP163" s="213"/>
      <c r="AQ163" s="213"/>
      <c r="AR163" s="213"/>
      <c r="AS163" s="213"/>
      <c r="AT163" s="213"/>
      <c r="AU163" s="213"/>
      <c r="AV163" s="213"/>
      <c r="AW163" s="213"/>
      <c r="AX163" s="213"/>
      <c r="AY163" s="213"/>
      <c r="AZ163" s="213"/>
      <c r="BA163" s="213"/>
      <c r="BB163" s="213"/>
    </row>
    <row r="164" ht="12.75" customHeight="1" outlineLevel="1">
      <c r="A164" s="235"/>
      <c r="B164" s="236"/>
      <c r="C164" s="237" t="s">
        <v>1160</v>
      </c>
      <c r="D164" s="238"/>
      <c r="E164" s="239">
        <v>74.36</v>
      </c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3"/>
      <c r="Z164" s="213"/>
      <c r="AA164" s="213"/>
      <c r="AB164" s="213"/>
      <c r="AC164" s="213"/>
      <c r="AD164" s="213"/>
      <c r="AE164" s="213"/>
      <c r="AF164" s="213"/>
      <c r="AG164" s="213" t="s">
        <v>228</v>
      </c>
      <c r="AH164" s="213">
        <v>0.0</v>
      </c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</row>
    <row r="165" ht="12.75" customHeight="1" outlineLevel="1">
      <c r="A165" s="235"/>
      <c r="B165" s="236"/>
      <c r="C165" s="237" t="s">
        <v>1192</v>
      </c>
      <c r="D165" s="238"/>
      <c r="E165" s="239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3"/>
      <c r="Z165" s="213"/>
      <c r="AA165" s="213"/>
      <c r="AB165" s="213"/>
      <c r="AC165" s="213"/>
      <c r="AD165" s="213"/>
      <c r="AE165" s="213"/>
      <c r="AF165" s="213"/>
      <c r="AG165" s="213" t="s">
        <v>228</v>
      </c>
      <c r="AH165" s="213">
        <v>0.0</v>
      </c>
      <c r="AI165" s="213"/>
      <c r="AJ165" s="213"/>
      <c r="AK165" s="213"/>
      <c r="AL165" s="213"/>
      <c r="AM165" s="213"/>
      <c r="AN165" s="213"/>
      <c r="AO165" s="213"/>
      <c r="AP165" s="213"/>
      <c r="AQ165" s="213"/>
      <c r="AR165" s="213"/>
      <c r="AS165" s="213"/>
      <c r="AT165" s="213"/>
      <c r="AU165" s="213"/>
      <c r="AV165" s="213"/>
      <c r="AW165" s="213"/>
      <c r="AX165" s="213"/>
      <c r="AY165" s="213"/>
      <c r="AZ165" s="213"/>
      <c r="BA165" s="213"/>
      <c r="BB165" s="213"/>
    </row>
    <row r="166" ht="12.75" customHeight="1" outlineLevel="1">
      <c r="A166" s="235"/>
      <c r="B166" s="236"/>
      <c r="C166" s="237" t="s">
        <v>1193</v>
      </c>
      <c r="D166" s="238"/>
      <c r="E166" s="239">
        <v>121.68</v>
      </c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3"/>
      <c r="Z166" s="213"/>
      <c r="AA166" s="213"/>
      <c r="AB166" s="213"/>
      <c r="AC166" s="213"/>
      <c r="AD166" s="213"/>
      <c r="AE166" s="213"/>
      <c r="AF166" s="213"/>
      <c r="AG166" s="213" t="s">
        <v>228</v>
      </c>
      <c r="AH166" s="213">
        <v>0.0</v>
      </c>
      <c r="AI166" s="213"/>
      <c r="AJ166" s="213"/>
      <c r="AK166" s="213"/>
      <c r="AL166" s="213"/>
      <c r="AM166" s="213"/>
      <c r="AN166" s="213"/>
      <c r="AO166" s="213"/>
      <c r="AP166" s="213"/>
      <c r="AQ166" s="213"/>
      <c r="AR166" s="213"/>
      <c r="AS166" s="213"/>
      <c r="AT166" s="213"/>
      <c r="AU166" s="213"/>
      <c r="AV166" s="213"/>
      <c r="AW166" s="213"/>
      <c r="AX166" s="213"/>
      <c r="AY166" s="213"/>
      <c r="AZ166" s="213"/>
      <c r="BA166" s="213"/>
      <c r="BB166" s="213"/>
    </row>
    <row r="167" ht="12.75" customHeight="1" outlineLevel="1">
      <c r="A167" s="235"/>
      <c r="B167" s="236"/>
      <c r="C167" s="237" t="s">
        <v>1194</v>
      </c>
      <c r="D167" s="238"/>
      <c r="E167" s="239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3"/>
      <c r="Z167" s="213"/>
      <c r="AA167" s="213"/>
      <c r="AB167" s="213"/>
      <c r="AC167" s="213"/>
      <c r="AD167" s="213"/>
      <c r="AE167" s="213"/>
      <c r="AF167" s="213"/>
      <c r="AG167" s="213" t="s">
        <v>228</v>
      </c>
      <c r="AH167" s="213">
        <v>0.0</v>
      </c>
      <c r="AI167" s="213"/>
      <c r="AJ167" s="213"/>
      <c r="AK167" s="213"/>
      <c r="AL167" s="213"/>
      <c r="AM167" s="213"/>
      <c r="AN167" s="213"/>
      <c r="AO167" s="213"/>
      <c r="AP167" s="213"/>
      <c r="AQ167" s="213"/>
      <c r="AR167" s="213"/>
      <c r="AS167" s="213"/>
      <c r="AT167" s="213"/>
      <c r="AU167" s="213"/>
      <c r="AV167" s="213"/>
      <c r="AW167" s="213"/>
      <c r="AX167" s="213"/>
      <c r="AY167" s="213"/>
      <c r="AZ167" s="213"/>
      <c r="BA167" s="213"/>
      <c r="BB167" s="213"/>
    </row>
    <row r="168" ht="12.75" customHeight="1" outlineLevel="1">
      <c r="A168" s="235"/>
      <c r="B168" s="236"/>
      <c r="C168" s="237" t="s">
        <v>1195</v>
      </c>
      <c r="D168" s="238"/>
      <c r="E168" s="239">
        <v>19.02</v>
      </c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3"/>
      <c r="Z168" s="213"/>
      <c r="AA168" s="213"/>
      <c r="AB168" s="213"/>
      <c r="AC168" s="213"/>
      <c r="AD168" s="213"/>
      <c r="AE168" s="213"/>
      <c r="AF168" s="213"/>
      <c r="AG168" s="213" t="s">
        <v>228</v>
      </c>
      <c r="AH168" s="213">
        <v>0.0</v>
      </c>
      <c r="AI168" s="213"/>
      <c r="AJ168" s="213"/>
      <c r="AK168" s="213"/>
      <c r="AL168" s="213"/>
      <c r="AM168" s="213"/>
      <c r="AN168" s="213"/>
      <c r="AO168" s="213"/>
      <c r="AP168" s="213"/>
      <c r="AQ168" s="213"/>
      <c r="AR168" s="213"/>
      <c r="AS168" s="213"/>
      <c r="AT168" s="213"/>
      <c r="AU168" s="213"/>
      <c r="AV168" s="213"/>
      <c r="AW168" s="213"/>
      <c r="AX168" s="213"/>
      <c r="AY168" s="213"/>
      <c r="AZ168" s="213"/>
      <c r="BA168" s="213"/>
      <c r="BB168" s="213"/>
    </row>
    <row r="169" ht="12.75" customHeight="1" outlineLevel="1">
      <c r="A169" s="235"/>
      <c r="B169" s="236"/>
      <c r="C169" s="237" t="s">
        <v>1196</v>
      </c>
      <c r="D169" s="238"/>
      <c r="E169" s="239">
        <v>3.4</v>
      </c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3"/>
      <c r="Z169" s="213"/>
      <c r="AA169" s="213"/>
      <c r="AB169" s="213"/>
      <c r="AC169" s="213"/>
      <c r="AD169" s="213"/>
      <c r="AE169" s="213"/>
      <c r="AF169" s="213"/>
      <c r="AG169" s="213" t="s">
        <v>228</v>
      </c>
      <c r="AH169" s="213">
        <v>0.0</v>
      </c>
      <c r="AI169" s="213"/>
      <c r="AJ169" s="213"/>
      <c r="AK169" s="213"/>
      <c r="AL169" s="213"/>
      <c r="AM169" s="213"/>
      <c r="AN169" s="213"/>
      <c r="AO169" s="213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213"/>
      <c r="BA169" s="213"/>
      <c r="BB169" s="213"/>
    </row>
    <row r="170" ht="12.75" customHeight="1" outlineLevel="1">
      <c r="A170" s="235"/>
      <c r="B170" s="236"/>
      <c r="C170" s="237" t="s">
        <v>1197</v>
      </c>
      <c r="D170" s="238"/>
      <c r="E170" s="239">
        <v>1.8</v>
      </c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3"/>
      <c r="Z170" s="213"/>
      <c r="AA170" s="213"/>
      <c r="AB170" s="213"/>
      <c r="AC170" s="213"/>
      <c r="AD170" s="213"/>
      <c r="AE170" s="213"/>
      <c r="AF170" s="213"/>
      <c r="AG170" s="213" t="s">
        <v>228</v>
      </c>
      <c r="AH170" s="213">
        <v>0.0</v>
      </c>
      <c r="AI170" s="213"/>
      <c r="AJ170" s="213"/>
      <c r="AK170" s="213"/>
      <c r="AL170" s="213"/>
      <c r="AM170" s="213"/>
      <c r="AN170" s="213"/>
      <c r="AO170" s="213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</row>
    <row r="171" ht="12.75" customHeight="1" outlineLevel="1">
      <c r="A171" s="235"/>
      <c r="B171" s="236"/>
      <c r="C171" s="237" t="s">
        <v>1197</v>
      </c>
      <c r="D171" s="238"/>
      <c r="E171" s="239">
        <v>1.8</v>
      </c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3"/>
      <c r="Z171" s="213"/>
      <c r="AA171" s="213"/>
      <c r="AB171" s="213"/>
      <c r="AC171" s="213"/>
      <c r="AD171" s="213"/>
      <c r="AE171" s="213"/>
      <c r="AF171" s="213"/>
      <c r="AG171" s="213" t="s">
        <v>228</v>
      </c>
      <c r="AH171" s="213">
        <v>0.0</v>
      </c>
      <c r="AI171" s="213"/>
      <c r="AJ171" s="213"/>
      <c r="AK171" s="213"/>
      <c r="AL171" s="213"/>
      <c r="AM171" s="213"/>
      <c r="AN171" s="213"/>
      <c r="AO171" s="213"/>
      <c r="AP171" s="213"/>
      <c r="AQ171" s="213"/>
      <c r="AR171" s="213"/>
      <c r="AS171" s="213"/>
      <c r="AT171" s="213"/>
      <c r="AU171" s="213"/>
      <c r="AV171" s="213"/>
      <c r="AW171" s="213"/>
      <c r="AX171" s="213"/>
      <c r="AY171" s="213"/>
      <c r="AZ171" s="213"/>
      <c r="BA171" s="213"/>
      <c r="BB171" s="213"/>
    </row>
    <row r="172" ht="12.75" customHeight="1" outlineLevel="1">
      <c r="A172" s="214">
        <v>18.0</v>
      </c>
      <c r="B172" s="215" t="s">
        <v>301</v>
      </c>
      <c r="C172" s="216" t="s">
        <v>302</v>
      </c>
      <c r="D172" s="217" t="s">
        <v>234</v>
      </c>
      <c r="E172" s="218">
        <v>357.3552</v>
      </c>
      <c r="F172" s="219">
        <v>169.0</v>
      </c>
      <c r="G172" s="220">
        <f>ROUND(E172*F172,2)</f>
        <v>60393.03</v>
      </c>
      <c r="H172" s="211"/>
      <c r="I172" s="212">
        <f>ROUND(E172*H172,2)</f>
        <v>0</v>
      </c>
      <c r="J172" s="211"/>
      <c r="K172" s="212">
        <f>ROUND(E172*J172,2)</f>
        <v>0</v>
      </c>
      <c r="L172" s="212">
        <v>21.0</v>
      </c>
      <c r="M172" s="212">
        <f>G172*(1+L172/100)</f>
        <v>73075.5663</v>
      </c>
      <c r="N172" s="212">
        <v>0.0</v>
      </c>
      <c r="O172" s="212">
        <f>ROUND(E172*N172,2)</f>
        <v>0</v>
      </c>
      <c r="P172" s="212">
        <v>0.0</v>
      </c>
      <c r="Q172" s="212">
        <f>ROUND(E172*P172,2)</f>
        <v>0</v>
      </c>
      <c r="R172" s="212"/>
      <c r="S172" s="212" t="s">
        <v>184</v>
      </c>
      <c r="T172" s="212" t="s">
        <v>184</v>
      </c>
      <c r="U172" s="212">
        <v>0.202</v>
      </c>
      <c r="V172" s="212">
        <f>ROUND(E172*U172,2)</f>
        <v>72.19</v>
      </c>
      <c r="W172" s="212"/>
      <c r="X172" s="212" t="s">
        <v>225</v>
      </c>
      <c r="Y172" s="213"/>
      <c r="Z172" s="213"/>
      <c r="AA172" s="213"/>
      <c r="AB172" s="213"/>
      <c r="AC172" s="213"/>
      <c r="AD172" s="213"/>
      <c r="AE172" s="213"/>
      <c r="AF172" s="213"/>
      <c r="AG172" s="213" t="s">
        <v>226</v>
      </c>
      <c r="AH172" s="213"/>
      <c r="AI172" s="213"/>
      <c r="AJ172" s="213"/>
      <c r="AK172" s="213"/>
      <c r="AL172" s="213"/>
      <c r="AM172" s="213"/>
      <c r="AN172" s="213"/>
      <c r="AO172" s="213"/>
      <c r="AP172" s="213"/>
      <c r="AQ172" s="213"/>
      <c r="AR172" s="213"/>
      <c r="AS172" s="213"/>
      <c r="AT172" s="213"/>
      <c r="AU172" s="213"/>
      <c r="AV172" s="213"/>
      <c r="AW172" s="213"/>
      <c r="AX172" s="213"/>
      <c r="AY172" s="213"/>
      <c r="AZ172" s="213"/>
      <c r="BA172" s="213"/>
      <c r="BB172" s="213"/>
    </row>
    <row r="173" ht="12.75" customHeight="1" outlineLevel="1">
      <c r="A173" s="235"/>
      <c r="B173" s="236"/>
      <c r="C173" s="237" t="s">
        <v>303</v>
      </c>
      <c r="D173" s="238"/>
      <c r="E173" s="239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3"/>
      <c r="Z173" s="213"/>
      <c r="AA173" s="213"/>
      <c r="AB173" s="213"/>
      <c r="AC173" s="213"/>
      <c r="AD173" s="213"/>
      <c r="AE173" s="213"/>
      <c r="AF173" s="213"/>
      <c r="AG173" s="213" t="s">
        <v>228</v>
      </c>
      <c r="AH173" s="213">
        <v>0.0</v>
      </c>
      <c r="AI173" s="213"/>
      <c r="AJ173" s="213"/>
      <c r="AK173" s="213"/>
      <c r="AL173" s="213"/>
      <c r="AM173" s="213"/>
      <c r="AN173" s="213"/>
      <c r="AO173" s="213"/>
      <c r="AP173" s="213"/>
      <c r="AQ173" s="213"/>
      <c r="AR173" s="213"/>
      <c r="AS173" s="213"/>
      <c r="AT173" s="213"/>
      <c r="AU173" s="213"/>
      <c r="AV173" s="213"/>
      <c r="AW173" s="213"/>
      <c r="AX173" s="213"/>
      <c r="AY173" s="213"/>
      <c r="AZ173" s="213"/>
      <c r="BA173" s="213"/>
      <c r="BB173" s="213"/>
    </row>
    <row r="174" ht="12.75" customHeight="1" outlineLevel="1">
      <c r="A174" s="235"/>
      <c r="B174" s="236"/>
      <c r="C174" s="237" t="s">
        <v>1165</v>
      </c>
      <c r="D174" s="238"/>
      <c r="E174" s="239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3"/>
      <c r="Z174" s="213"/>
      <c r="AA174" s="213"/>
      <c r="AB174" s="213"/>
      <c r="AC174" s="213"/>
      <c r="AD174" s="213"/>
      <c r="AE174" s="213"/>
      <c r="AF174" s="213"/>
      <c r="AG174" s="213" t="s">
        <v>228</v>
      </c>
      <c r="AH174" s="213">
        <v>0.0</v>
      </c>
      <c r="AI174" s="213"/>
      <c r="AJ174" s="213"/>
      <c r="AK174" s="213"/>
      <c r="AL174" s="213"/>
      <c r="AM174" s="213"/>
      <c r="AN174" s="213"/>
      <c r="AO174" s="213"/>
      <c r="AP174" s="213"/>
      <c r="AQ174" s="213"/>
      <c r="AR174" s="213"/>
      <c r="AS174" s="213"/>
      <c r="AT174" s="213"/>
      <c r="AU174" s="213"/>
      <c r="AV174" s="213"/>
      <c r="AW174" s="213"/>
      <c r="AX174" s="213"/>
      <c r="AY174" s="213"/>
      <c r="AZ174" s="213"/>
      <c r="BA174" s="213"/>
      <c r="BB174" s="213"/>
    </row>
    <row r="175" ht="12.75" customHeight="1" outlineLevel="1">
      <c r="A175" s="235"/>
      <c r="B175" s="236"/>
      <c r="C175" s="237" t="s">
        <v>1198</v>
      </c>
      <c r="D175" s="238"/>
      <c r="E175" s="239">
        <v>74.11</v>
      </c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3"/>
      <c r="Z175" s="213"/>
      <c r="AA175" s="213"/>
      <c r="AB175" s="213"/>
      <c r="AC175" s="213"/>
      <c r="AD175" s="213"/>
      <c r="AE175" s="213"/>
      <c r="AF175" s="213"/>
      <c r="AG175" s="213" t="s">
        <v>228</v>
      </c>
      <c r="AH175" s="213">
        <v>0.0</v>
      </c>
      <c r="AI175" s="213"/>
      <c r="AJ175" s="213"/>
      <c r="AK175" s="213"/>
      <c r="AL175" s="213"/>
      <c r="AM175" s="213"/>
      <c r="AN175" s="213"/>
      <c r="AO175" s="213"/>
      <c r="AP175" s="213"/>
      <c r="AQ175" s="213"/>
      <c r="AR175" s="213"/>
      <c r="AS175" s="213"/>
      <c r="AT175" s="213"/>
      <c r="AU175" s="213"/>
      <c r="AV175" s="213"/>
      <c r="AW175" s="213"/>
      <c r="AX175" s="213"/>
      <c r="AY175" s="213"/>
      <c r="AZ175" s="213"/>
      <c r="BA175" s="213"/>
      <c r="BB175" s="213"/>
    </row>
    <row r="176" ht="12.75" customHeight="1" outlineLevel="1">
      <c r="A176" s="235"/>
      <c r="B176" s="236"/>
      <c r="C176" s="237" t="s">
        <v>1167</v>
      </c>
      <c r="D176" s="238"/>
      <c r="E176" s="239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3"/>
      <c r="Z176" s="213"/>
      <c r="AA176" s="213"/>
      <c r="AB176" s="213"/>
      <c r="AC176" s="213"/>
      <c r="AD176" s="213"/>
      <c r="AE176" s="213"/>
      <c r="AF176" s="213"/>
      <c r="AG176" s="213" t="s">
        <v>228</v>
      </c>
      <c r="AH176" s="213">
        <v>0.0</v>
      </c>
      <c r="AI176" s="213"/>
      <c r="AJ176" s="213"/>
      <c r="AK176" s="213"/>
      <c r="AL176" s="213"/>
      <c r="AM176" s="213"/>
      <c r="AN176" s="213"/>
      <c r="AO176" s="213"/>
      <c r="AP176" s="213"/>
      <c r="AQ176" s="213"/>
      <c r="AR176" s="213"/>
      <c r="AS176" s="213"/>
      <c r="AT176" s="213"/>
      <c r="AU176" s="213"/>
      <c r="AV176" s="213"/>
      <c r="AW176" s="213"/>
      <c r="AX176" s="213"/>
      <c r="AY176" s="213"/>
      <c r="AZ176" s="213"/>
      <c r="BA176" s="213"/>
      <c r="BB176" s="213"/>
    </row>
    <row r="177" ht="12.75" customHeight="1" outlineLevel="1">
      <c r="A177" s="235"/>
      <c r="B177" s="236"/>
      <c r="C177" s="237" t="s">
        <v>1199</v>
      </c>
      <c r="D177" s="238"/>
      <c r="E177" s="239">
        <v>122.93</v>
      </c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3"/>
      <c r="Z177" s="213"/>
      <c r="AA177" s="213"/>
      <c r="AB177" s="213"/>
      <c r="AC177" s="213"/>
      <c r="AD177" s="213"/>
      <c r="AE177" s="213"/>
      <c r="AF177" s="213"/>
      <c r="AG177" s="213" t="s">
        <v>228</v>
      </c>
      <c r="AH177" s="213">
        <v>0.0</v>
      </c>
      <c r="AI177" s="213"/>
      <c r="AJ177" s="213"/>
      <c r="AK177" s="213"/>
      <c r="AL177" s="213"/>
      <c r="AM177" s="213"/>
      <c r="AN177" s="213"/>
      <c r="AO177" s="213"/>
      <c r="AP177" s="213"/>
      <c r="AQ177" s="213"/>
      <c r="AR177" s="213"/>
      <c r="AS177" s="213"/>
      <c r="AT177" s="213"/>
      <c r="AU177" s="213"/>
      <c r="AV177" s="213"/>
      <c r="AW177" s="213"/>
      <c r="AX177" s="213"/>
      <c r="AY177" s="213"/>
      <c r="AZ177" s="213"/>
      <c r="BA177" s="213"/>
      <c r="BB177" s="213"/>
    </row>
    <row r="178" ht="12.75" customHeight="1" outlineLevel="1">
      <c r="A178" s="235"/>
      <c r="B178" s="236"/>
      <c r="C178" s="237" t="s">
        <v>1169</v>
      </c>
      <c r="D178" s="238"/>
      <c r="E178" s="239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3"/>
      <c r="Z178" s="213"/>
      <c r="AA178" s="213"/>
      <c r="AB178" s="213"/>
      <c r="AC178" s="213"/>
      <c r="AD178" s="213"/>
      <c r="AE178" s="213"/>
      <c r="AF178" s="213"/>
      <c r="AG178" s="213" t="s">
        <v>228</v>
      </c>
      <c r="AH178" s="213">
        <v>0.0</v>
      </c>
      <c r="AI178" s="213"/>
      <c r="AJ178" s="213"/>
      <c r="AK178" s="213"/>
      <c r="AL178" s="213"/>
      <c r="AM178" s="213"/>
      <c r="AN178" s="213"/>
      <c r="AO178" s="213"/>
      <c r="AP178" s="213"/>
      <c r="AQ178" s="213"/>
      <c r="AR178" s="213"/>
      <c r="AS178" s="213"/>
      <c r="AT178" s="213"/>
      <c r="AU178" s="213"/>
      <c r="AV178" s="213"/>
      <c r="AW178" s="213"/>
      <c r="AX178" s="213"/>
      <c r="AY178" s="213"/>
      <c r="AZ178" s="213"/>
      <c r="BA178" s="213"/>
      <c r="BB178" s="213"/>
    </row>
    <row r="179" ht="12.75" customHeight="1" outlineLevel="1">
      <c r="A179" s="235"/>
      <c r="B179" s="236"/>
      <c r="C179" s="237" t="s">
        <v>1200</v>
      </c>
      <c r="D179" s="238"/>
      <c r="E179" s="239">
        <v>119.76</v>
      </c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3"/>
      <c r="Z179" s="213"/>
      <c r="AA179" s="213"/>
      <c r="AB179" s="213"/>
      <c r="AC179" s="213"/>
      <c r="AD179" s="213"/>
      <c r="AE179" s="213"/>
      <c r="AF179" s="213"/>
      <c r="AG179" s="213" t="s">
        <v>228</v>
      </c>
      <c r="AH179" s="213">
        <v>0.0</v>
      </c>
      <c r="AI179" s="213"/>
      <c r="AJ179" s="213"/>
      <c r="AK179" s="213"/>
      <c r="AL179" s="213"/>
      <c r="AM179" s="213"/>
      <c r="AN179" s="213"/>
      <c r="AO179" s="213"/>
      <c r="AP179" s="213"/>
      <c r="AQ179" s="213"/>
      <c r="AR179" s="213"/>
      <c r="AS179" s="213"/>
      <c r="AT179" s="213"/>
      <c r="AU179" s="213"/>
      <c r="AV179" s="213"/>
      <c r="AW179" s="213"/>
      <c r="AX179" s="213"/>
      <c r="AY179" s="213"/>
      <c r="AZ179" s="213"/>
      <c r="BA179" s="213"/>
      <c r="BB179" s="213"/>
    </row>
    <row r="180" ht="12.75" customHeight="1" outlineLevel="1">
      <c r="A180" s="235"/>
      <c r="B180" s="236"/>
      <c r="C180" s="237" t="s">
        <v>1171</v>
      </c>
      <c r="D180" s="238"/>
      <c r="E180" s="239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3"/>
      <c r="Z180" s="213"/>
      <c r="AA180" s="213"/>
      <c r="AB180" s="213"/>
      <c r="AC180" s="213"/>
      <c r="AD180" s="213"/>
      <c r="AE180" s="213"/>
      <c r="AF180" s="213"/>
      <c r="AG180" s="213" t="s">
        <v>228</v>
      </c>
      <c r="AH180" s="213">
        <v>0.0</v>
      </c>
      <c r="AI180" s="213"/>
      <c r="AJ180" s="213"/>
      <c r="AK180" s="213"/>
      <c r="AL180" s="213"/>
      <c r="AM180" s="213"/>
      <c r="AN180" s="213"/>
      <c r="AO180" s="213"/>
      <c r="AP180" s="213"/>
      <c r="AQ180" s="213"/>
      <c r="AR180" s="213"/>
      <c r="AS180" s="213"/>
      <c r="AT180" s="213"/>
      <c r="AU180" s="213"/>
      <c r="AV180" s="213"/>
      <c r="AW180" s="213"/>
      <c r="AX180" s="213"/>
      <c r="AY180" s="213"/>
      <c r="AZ180" s="213"/>
      <c r="BA180" s="213"/>
      <c r="BB180" s="213"/>
    </row>
    <row r="181" ht="12.75" customHeight="1" outlineLevel="1">
      <c r="A181" s="235"/>
      <c r="B181" s="236"/>
      <c r="C181" s="237" t="s">
        <v>1201</v>
      </c>
      <c r="D181" s="238"/>
      <c r="E181" s="239">
        <v>40.56</v>
      </c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3"/>
      <c r="Z181" s="213"/>
      <c r="AA181" s="213"/>
      <c r="AB181" s="213"/>
      <c r="AC181" s="213"/>
      <c r="AD181" s="213"/>
      <c r="AE181" s="213"/>
      <c r="AF181" s="213"/>
      <c r="AG181" s="213" t="s">
        <v>228</v>
      </c>
      <c r="AH181" s="213">
        <v>0.0</v>
      </c>
      <c r="AI181" s="213"/>
      <c r="AJ181" s="213"/>
      <c r="AK181" s="213"/>
      <c r="AL181" s="213"/>
      <c r="AM181" s="213"/>
      <c r="AN181" s="213"/>
      <c r="AO181" s="213"/>
      <c r="AP181" s="213"/>
      <c r="AQ181" s="213"/>
      <c r="AR181" s="213"/>
      <c r="AS181" s="213"/>
      <c r="AT181" s="213"/>
      <c r="AU181" s="213"/>
      <c r="AV181" s="213"/>
      <c r="AW181" s="213"/>
      <c r="AX181" s="213"/>
      <c r="AY181" s="213"/>
      <c r="AZ181" s="213"/>
      <c r="BA181" s="213"/>
      <c r="BB181" s="213"/>
    </row>
    <row r="182" ht="12.75" customHeight="1" outlineLevel="1">
      <c r="A182" s="214">
        <v>19.0</v>
      </c>
      <c r="B182" s="215" t="s">
        <v>311</v>
      </c>
      <c r="C182" s="216" t="s">
        <v>312</v>
      </c>
      <c r="D182" s="217" t="s">
        <v>234</v>
      </c>
      <c r="E182" s="218">
        <v>580.4618</v>
      </c>
      <c r="F182" s="219">
        <v>477.51</v>
      </c>
      <c r="G182" s="220">
        <f>ROUND(E182*F182,2)</f>
        <v>277176.31</v>
      </c>
      <c r="H182" s="211"/>
      <c r="I182" s="212">
        <f>ROUND(E182*H182,2)</f>
        <v>0</v>
      </c>
      <c r="J182" s="211"/>
      <c r="K182" s="212">
        <f>ROUND(E182*J182,2)</f>
        <v>0</v>
      </c>
      <c r="L182" s="212">
        <v>21.0</v>
      </c>
      <c r="M182" s="212">
        <f>G182*(1+L182/100)</f>
        <v>335383.3351</v>
      </c>
      <c r="N182" s="212">
        <v>0.0</v>
      </c>
      <c r="O182" s="212">
        <f>ROUND(E182*N182,2)</f>
        <v>0</v>
      </c>
      <c r="P182" s="212">
        <v>0.0</v>
      </c>
      <c r="Q182" s="212">
        <f>ROUND(E182*P182,2)</f>
        <v>0</v>
      </c>
      <c r="R182" s="212"/>
      <c r="S182" s="212" t="s">
        <v>184</v>
      </c>
      <c r="T182" s="212" t="s">
        <v>184</v>
      </c>
      <c r="U182" s="212">
        <v>1.587</v>
      </c>
      <c r="V182" s="212">
        <f>ROUND(E182*U182,2)</f>
        <v>921.19</v>
      </c>
      <c r="W182" s="212"/>
      <c r="X182" s="212" t="s">
        <v>225</v>
      </c>
      <c r="Y182" s="213"/>
      <c r="Z182" s="213"/>
      <c r="AA182" s="213"/>
      <c r="AB182" s="213"/>
      <c r="AC182" s="213"/>
      <c r="AD182" s="213"/>
      <c r="AE182" s="213"/>
      <c r="AF182" s="213"/>
      <c r="AG182" s="213" t="s">
        <v>226</v>
      </c>
      <c r="AH182" s="213"/>
      <c r="AI182" s="213"/>
      <c r="AJ182" s="213"/>
      <c r="AK182" s="213"/>
      <c r="AL182" s="213"/>
      <c r="AM182" s="213"/>
      <c r="AN182" s="213"/>
      <c r="AO182" s="213"/>
      <c r="AP182" s="213"/>
      <c r="AQ182" s="213"/>
      <c r="AR182" s="213"/>
      <c r="AS182" s="213"/>
      <c r="AT182" s="213"/>
      <c r="AU182" s="213"/>
      <c r="AV182" s="213"/>
      <c r="AW182" s="213"/>
      <c r="AX182" s="213"/>
      <c r="AY182" s="213"/>
      <c r="AZ182" s="213"/>
      <c r="BA182" s="213"/>
      <c r="BB182" s="213"/>
    </row>
    <row r="183" ht="12.75" customHeight="1" outlineLevel="1">
      <c r="A183" s="235"/>
      <c r="B183" s="236"/>
      <c r="C183" s="237" t="s">
        <v>1165</v>
      </c>
      <c r="D183" s="238"/>
      <c r="E183" s="239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3"/>
      <c r="Z183" s="213"/>
      <c r="AA183" s="213"/>
      <c r="AB183" s="213"/>
      <c r="AC183" s="213"/>
      <c r="AD183" s="213"/>
      <c r="AE183" s="213"/>
      <c r="AF183" s="213"/>
      <c r="AG183" s="213" t="s">
        <v>228</v>
      </c>
      <c r="AH183" s="213">
        <v>0.0</v>
      </c>
      <c r="AI183" s="213"/>
      <c r="AJ183" s="213"/>
      <c r="AK183" s="213"/>
      <c r="AL183" s="213"/>
      <c r="AM183" s="213"/>
      <c r="AN183" s="213"/>
      <c r="AO183" s="213"/>
      <c r="AP183" s="213"/>
      <c r="AQ183" s="213"/>
      <c r="AR183" s="213"/>
      <c r="AS183" s="213"/>
      <c r="AT183" s="213"/>
      <c r="AU183" s="213"/>
      <c r="AV183" s="213"/>
      <c r="AW183" s="213"/>
      <c r="AX183" s="213"/>
      <c r="AY183" s="213"/>
      <c r="AZ183" s="213"/>
      <c r="BA183" s="213"/>
      <c r="BB183" s="213"/>
    </row>
    <row r="184" ht="12.75" customHeight="1" outlineLevel="1">
      <c r="A184" s="235"/>
      <c r="B184" s="236"/>
      <c r="C184" s="237" t="s">
        <v>1202</v>
      </c>
      <c r="D184" s="238"/>
      <c r="E184" s="239">
        <v>19.33</v>
      </c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3"/>
      <c r="Z184" s="213"/>
      <c r="AA184" s="213"/>
      <c r="AB184" s="213"/>
      <c r="AC184" s="213"/>
      <c r="AD184" s="213"/>
      <c r="AE184" s="213"/>
      <c r="AF184" s="213"/>
      <c r="AG184" s="213" t="s">
        <v>228</v>
      </c>
      <c r="AH184" s="213">
        <v>0.0</v>
      </c>
      <c r="AI184" s="213"/>
      <c r="AJ184" s="213"/>
      <c r="AK184" s="213"/>
      <c r="AL184" s="213"/>
      <c r="AM184" s="213"/>
      <c r="AN184" s="213"/>
      <c r="AO184" s="213"/>
      <c r="AP184" s="213"/>
      <c r="AQ184" s="213"/>
      <c r="AR184" s="213"/>
      <c r="AS184" s="213"/>
      <c r="AT184" s="213"/>
      <c r="AU184" s="213"/>
      <c r="AV184" s="213"/>
      <c r="AW184" s="213"/>
      <c r="AX184" s="213"/>
      <c r="AY184" s="213"/>
      <c r="AZ184" s="213"/>
      <c r="BA184" s="213"/>
      <c r="BB184" s="213"/>
    </row>
    <row r="185" ht="12.75" customHeight="1" outlineLevel="1">
      <c r="A185" s="235"/>
      <c r="B185" s="236"/>
      <c r="C185" s="237" t="s">
        <v>1167</v>
      </c>
      <c r="D185" s="238"/>
      <c r="E185" s="239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3"/>
      <c r="Z185" s="213"/>
      <c r="AA185" s="213"/>
      <c r="AB185" s="213"/>
      <c r="AC185" s="213"/>
      <c r="AD185" s="213"/>
      <c r="AE185" s="213"/>
      <c r="AF185" s="213"/>
      <c r="AG185" s="213" t="s">
        <v>228</v>
      </c>
      <c r="AH185" s="213">
        <v>0.0</v>
      </c>
      <c r="AI185" s="213"/>
      <c r="AJ185" s="213"/>
      <c r="AK185" s="213"/>
      <c r="AL185" s="213"/>
      <c r="AM185" s="213"/>
      <c r="AN185" s="213"/>
      <c r="AO185" s="213"/>
      <c r="AP185" s="213"/>
      <c r="AQ185" s="213"/>
      <c r="AR185" s="213"/>
      <c r="AS185" s="213"/>
      <c r="AT185" s="213"/>
      <c r="AU185" s="213"/>
      <c r="AV185" s="213"/>
      <c r="AW185" s="213"/>
      <c r="AX185" s="213"/>
      <c r="AY185" s="213"/>
      <c r="AZ185" s="213"/>
      <c r="BA185" s="213"/>
      <c r="BB185" s="213"/>
    </row>
    <row r="186" ht="12.75" customHeight="1" outlineLevel="1">
      <c r="A186" s="235"/>
      <c r="B186" s="236"/>
      <c r="C186" s="237" t="s">
        <v>1203</v>
      </c>
      <c r="D186" s="238"/>
      <c r="E186" s="239">
        <v>56.74</v>
      </c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3"/>
      <c r="Z186" s="213"/>
      <c r="AA186" s="213"/>
      <c r="AB186" s="213"/>
      <c r="AC186" s="213"/>
      <c r="AD186" s="213"/>
      <c r="AE186" s="213"/>
      <c r="AF186" s="213"/>
      <c r="AG186" s="213" t="s">
        <v>228</v>
      </c>
      <c r="AH186" s="213">
        <v>0.0</v>
      </c>
      <c r="AI186" s="213"/>
      <c r="AJ186" s="213"/>
      <c r="AK186" s="213"/>
      <c r="AL186" s="213"/>
      <c r="AM186" s="213"/>
      <c r="AN186" s="213"/>
      <c r="AO186" s="213"/>
      <c r="AP186" s="213"/>
      <c r="AQ186" s="213"/>
      <c r="AR186" s="213"/>
      <c r="AS186" s="213"/>
      <c r="AT186" s="213"/>
      <c r="AU186" s="213"/>
      <c r="AV186" s="213"/>
      <c r="AW186" s="213"/>
      <c r="AX186" s="213"/>
      <c r="AY186" s="213"/>
      <c r="AZ186" s="213"/>
      <c r="BA186" s="213"/>
      <c r="BB186" s="213"/>
    </row>
    <row r="187" ht="12.75" customHeight="1" outlineLevel="1">
      <c r="A187" s="235"/>
      <c r="B187" s="236"/>
      <c r="C187" s="237" t="s">
        <v>1169</v>
      </c>
      <c r="D187" s="238"/>
      <c r="E187" s="239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3"/>
      <c r="Z187" s="213"/>
      <c r="AA187" s="213"/>
      <c r="AB187" s="213"/>
      <c r="AC187" s="213"/>
      <c r="AD187" s="213"/>
      <c r="AE187" s="213"/>
      <c r="AF187" s="213"/>
      <c r="AG187" s="213" t="s">
        <v>228</v>
      </c>
      <c r="AH187" s="213">
        <v>0.0</v>
      </c>
      <c r="AI187" s="213"/>
      <c r="AJ187" s="213"/>
      <c r="AK187" s="213"/>
      <c r="AL187" s="213"/>
      <c r="AM187" s="213"/>
      <c r="AN187" s="213"/>
      <c r="AO187" s="213"/>
      <c r="AP187" s="213"/>
      <c r="AQ187" s="213"/>
      <c r="AR187" s="213"/>
      <c r="AS187" s="213"/>
      <c r="AT187" s="213"/>
      <c r="AU187" s="213"/>
      <c r="AV187" s="213"/>
      <c r="AW187" s="213"/>
      <c r="AX187" s="213"/>
      <c r="AY187" s="213"/>
      <c r="AZ187" s="213"/>
      <c r="BA187" s="213"/>
      <c r="BB187" s="213"/>
    </row>
    <row r="188" ht="12.75" customHeight="1" outlineLevel="1">
      <c r="A188" s="235"/>
      <c r="B188" s="236"/>
      <c r="C188" s="237" t="s">
        <v>1204</v>
      </c>
      <c r="D188" s="238"/>
      <c r="E188" s="239">
        <v>55.27</v>
      </c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3"/>
      <c r="Z188" s="213"/>
      <c r="AA188" s="213"/>
      <c r="AB188" s="213"/>
      <c r="AC188" s="213"/>
      <c r="AD188" s="213"/>
      <c r="AE188" s="213"/>
      <c r="AF188" s="213"/>
      <c r="AG188" s="213" t="s">
        <v>228</v>
      </c>
      <c r="AH188" s="213">
        <v>0.0</v>
      </c>
      <c r="AI188" s="213"/>
      <c r="AJ188" s="213"/>
      <c r="AK188" s="213"/>
      <c r="AL188" s="213"/>
      <c r="AM188" s="213"/>
      <c r="AN188" s="213"/>
      <c r="AO188" s="213"/>
      <c r="AP188" s="213"/>
      <c r="AQ188" s="213"/>
      <c r="AR188" s="213"/>
      <c r="AS188" s="213"/>
      <c r="AT188" s="213"/>
      <c r="AU188" s="213"/>
      <c r="AV188" s="213"/>
      <c r="AW188" s="213"/>
      <c r="AX188" s="213"/>
      <c r="AY188" s="213"/>
      <c r="AZ188" s="213"/>
      <c r="BA188" s="213"/>
      <c r="BB188" s="213"/>
    </row>
    <row r="189" ht="12.75" customHeight="1" outlineLevel="1">
      <c r="A189" s="235"/>
      <c r="B189" s="236"/>
      <c r="C189" s="237" t="s">
        <v>1171</v>
      </c>
      <c r="D189" s="238"/>
      <c r="E189" s="239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3"/>
      <c r="Z189" s="213"/>
      <c r="AA189" s="213"/>
      <c r="AB189" s="213"/>
      <c r="AC189" s="213"/>
      <c r="AD189" s="213"/>
      <c r="AE189" s="213"/>
      <c r="AF189" s="213"/>
      <c r="AG189" s="213" t="s">
        <v>228</v>
      </c>
      <c r="AH189" s="213">
        <v>0.0</v>
      </c>
      <c r="AI189" s="213"/>
      <c r="AJ189" s="213"/>
      <c r="AK189" s="213"/>
      <c r="AL189" s="213"/>
      <c r="AM189" s="213"/>
      <c r="AN189" s="213"/>
      <c r="AO189" s="213"/>
      <c r="AP189" s="213"/>
      <c r="AQ189" s="213"/>
      <c r="AR189" s="213"/>
      <c r="AS189" s="213"/>
      <c r="AT189" s="213"/>
      <c r="AU189" s="213"/>
      <c r="AV189" s="213"/>
      <c r="AW189" s="213"/>
      <c r="AX189" s="213"/>
      <c r="AY189" s="213"/>
      <c r="AZ189" s="213"/>
      <c r="BA189" s="213"/>
      <c r="BB189" s="213"/>
    </row>
    <row r="190" ht="12.75" customHeight="1" outlineLevel="1">
      <c r="A190" s="235"/>
      <c r="B190" s="236"/>
      <c r="C190" s="237" t="s">
        <v>1205</v>
      </c>
      <c r="D190" s="238"/>
      <c r="E190" s="239">
        <v>18.72</v>
      </c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3"/>
      <c r="Z190" s="213"/>
      <c r="AA190" s="213"/>
      <c r="AB190" s="213"/>
      <c r="AC190" s="213"/>
      <c r="AD190" s="213"/>
      <c r="AE190" s="213"/>
      <c r="AF190" s="213"/>
      <c r="AG190" s="213" t="s">
        <v>228</v>
      </c>
      <c r="AH190" s="213">
        <v>0.0</v>
      </c>
      <c r="AI190" s="213"/>
      <c r="AJ190" s="213"/>
      <c r="AK190" s="213"/>
      <c r="AL190" s="213"/>
      <c r="AM190" s="213"/>
      <c r="AN190" s="213"/>
      <c r="AO190" s="213"/>
      <c r="AP190" s="213"/>
      <c r="AQ190" s="213"/>
      <c r="AR190" s="213"/>
      <c r="AS190" s="213"/>
      <c r="AT190" s="213"/>
      <c r="AU190" s="213"/>
      <c r="AV190" s="213"/>
      <c r="AW190" s="213"/>
      <c r="AX190" s="213"/>
      <c r="AY190" s="213"/>
      <c r="AZ190" s="213"/>
      <c r="BA190" s="213"/>
      <c r="BB190" s="213"/>
    </row>
    <row r="191" ht="12.75" customHeight="1" outlineLevel="1">
      <c r="A191" s="235"/>
      <c r="B191" s="236"/>
      <c r="C191" s="237" t="s">
        <v>1206</v>
      </c>
      <c r="D191" s="238"/>
      <c r="E191" s="239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3"/>
      <c r="Z191" s="213"/>
      <c r="AA191" s="213"/>
      <c r="AB191" s="213"/>
      <c r="AC191" s="213"/>
      <c r="AD191" s="213"/>
      <c r="AE191" s="213"/>
      <c r="AF191" s="213"/>
      <c r="AG191" s="213" t="s">
        <v>228</v>
      </c>
      <c r="AH191" s="213">
        <v>0.0</v>
      </c>
      <c r="AI191" s="213"/>
      <c r="AJ191" s="213"/>
      <c r="AK191" s="213"/>
      <c r="AL191" s="213"/>
      <c r="AM191" s="213"/>
      <c r="AN191" s="213"/>
      <c r="AO191" s="213"/>
      <c r="AP191" s="213"/>
      <c r="AQ191" s="213"/>
      <c r="AR191" s="213"/>
      <c r="AS191" s="213"/>
      <c r="AT191" s="213"/>
      <c r="AU191" s="213"/>
      <c r="AV191" s="213"/>
      <c r="AW191" s="213"/>
      <c r="AX191" s="213"/>
      <c r="AY191" s="213"/>
      <c r="AZ191" s="213"/>
      <c r="BA191" s="213"/>
      <c r="BB191" s="213"/>
    </row>
    <row r="192" ht="12.75" customHeight="1" outlineLevel="1">
      <c r="A192" s="235"/>
      <c r="B192" s="236"/>
      <c r="C192" s="237" t="s">
        <v>1158</v>
      </c>
      <c r="D192" s="238"/>
      <c r="E192" s="239">
        <v>65.17</v>
      </c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3"/>
      <c r="Z192" s="213"/>
      <c r="AA192" s="213"/>
      <c r="AB192" s="213"/>
      <c r="AC192" s="213"/>
      <c r="AD192" s="213"/>
      <c r="AE192" s="213"/>
      <c r="AF192" s="213"/>
      <c r="AG192" s="213" t="s">
        <v>228</v>
      </c>
      <c r="AH192" s="213">
        <v>0.0</v>
      </c>
      <c r="AI192" s="213"/>
      <c r="AJ192" s="213"/>
      <c r="AK192" s="213"/>
      <c r="AL192" s="213"/>
      <c r="AM192" s="213"/>
      <c r="AN192" s="213"/>
      <c r="AO192" s="213"/>
      <c r="AP192" s="213"/>
      <c r="AQ192" s="213"/>
      <c r="AR192" s="213"/>
      <c r="AS192" s="213"/>
      <c r="AT192" s="213"/>
      <c r="AU192" s="213"/>
      <c r="AV192" s="213"/>
      <c r="AW192" s="213"/>
      <c r="AX192" s="213"/>
      <c r="AY192" s="213"/>
      <c r="AZ192" s="213"/>
      <c r="BA192" s="213"/>
      <c r="BB192" s="213"/>
    </row>
    <row r="193" ht="12.75" customHeight="1" outlineLevel="1">
      <c r="A193" s="235"/>
      <c r="B193" s="236"/>
      <c r="C193" s="237" t="s">
        <v>1207</v>
      </c>
      <c r="D193" s="238"/>
      <c r="E193" s="239">
        <v>-7.72</v>
      </c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3"/>
      <c r="Z193" s="213"/>
      <c r="AA193" s="213"/>
      <c r="AB193" s="213"/>
      <c r="AC193" s="213"/>
      <c r="AD193" s="213"/>
      <c r="AE193" s="213"/>
      <c r="AF193" s="213"/>
      <c r="AG193" s="213" t="s">
        <v>228</v>
      </c>
      <c r="AH193" s="213">
        <v>0.0</v>
      </c>
      <c r="AI193" s="213"/>
      <c r="AJ193" s="213"/>
      <c r="AK193" s="213"/>
      <c r="AL193" s="213"/>
      <c r="AM193" s="213"/>
      <c r="AN193" s="213"/>
      <c r="AO193" s="213"/>
      <c r="AP193" s="213"/>
      <c r="AQ193" s="213"/>
      <c r="AR193" s="213"/>
      <c r="AS193" s="213"/>
      <c r="AT193" s="213"/>
      <c r="AU193" s="213"/>
      <c r="AV193" s="213"/>
      <c r="AW193" s="213"/>
      <c r="AX193" s="213"/>
      <c r="AY193" s="213"/>
      <c r="AZ193" s="213"/>
      <c r="BA193" s="213"/>
      <c r="BB193" s="213"/>
    </row>
    <row r="194" ht="12.75" customHeight="1" outlineLevel="1">
      <c r="A194" s="235"/>
      <c r="B194" s="236"/>
      <c r="C194" s="237" t="s">
        <v>1208</v>
      </c>
      <c r="D194" s="238"/>
      <c r="E194" s="239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3"/>
      <c r="Z194" s="213"/>
      <c r="AA194" s="213"/>
      <c r="AB194" s="213"/>
      <c r="AC194" s="213"/>
      <c r="AD194" s="213"/>
      <c r="AE194" s="213"/>
      <c r="AF194" s="213"/>
      <c r="AG194" s="213" t="s">
        <v>228</v>
      </c>
      <c r="AH194" s="213">
        <v>0.0</v>
      </c>
      <c r="AI194" s="213"/>
      <c r="AJ194" s="213"/>
      <c r="AK194" s="213"/>
      <c r="AL194" s="213"/>
      <c r="AM194" s="213"/>
      <c r="AN194" s="213"/>
      <c r="AO194" s="213"/>
      <c r="AP194" s="213"/>
      <c r="AQ194" s="213"/>
      <c r="AR194" s="213"/>
      <c r="AS194" s="213"/>
      <c r="AT194" s="213"/>
      <c r="AU194" s="213"/>
      <c r="AV194" s="213"/>
      <c r="AW194" s="213"/>
      <c r="AX194" s="213"/>
      <c r="AY194" s="213"/>
      <c r="AZ194" s="213"/>
      <c r="BA194" s="213"/>
      <c r="BB194" s="213"/>
    </row>
    <row r="195" ht="12.75" customHeight="1" outlineLevel="1">
      <c r="A195" s="235"/>
      <c r="B195" s="236"/>
      <c r="C195" s="237" t="s">
        <v>1160</v>
      </c>
      <c r="D195" s="238"/>
      <c r="E195" s="239">
        <v>74.36</v>
      </c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3"/>
      <c r="Z195" s="213"/>
      <c r="AA195" s="213"/>
      <c r="AB195" s="213"/>
      <c r="AC195" s="213"/>
      <c r="AD195" s="213"/>
      <c r="AE195" s="213"/>
      <c r="AF195" s="213"/>
      <c r="AG195" s="213" t="s">
        <v>228</v>
      </c>
      <c r="AH195" s="213">
        <v>0.0</v>
      </c>
      <c r="AI195" s="213"/>
      <c r="AJ195" s="213"/>
      <c r="AK195" s="213"/>
      <c r="AL195" s="213"/>
      <c r="AM195" s="213"/>
      <c r="AN195" s="213"/>
      <c r="AO195" s="213"/>
      <c r="AP195" s="213"/>
      <c r="AQ195" s="213"/>
      <c r="AR195" s="213"/>
      <c r="AS195" s="213"/>
      <c r="AT195" s="213"/>
      <c r="AU195" s="213"/>
      <c r="AV195" s="213"/>
      <c r="AW195" s="213"/>
      <c r="AX195" s="213"/>
      <c r="AY195" s="213"/>
      <c r="AZ195" s="213"/>
      <c r="BA195" s="213"/>
      <c r="BB195" s="213"/>
    </row>
    <row r="196" ht="12.75" customHeight="1" outlineLevel="1">
      <c r="A196" s="235"/>
      <c r="B196" s="236"/>
      <c r="C196" s="237" t="s">
        <v>1209</v>
      </c>
      <c r="D196" s="238"/>
      <c r="E196" s="239">
        <v>-22.95</v>
      </c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3"/>
      <c r="Z196" s="213"/>
      <c r="AA196" s="213"/>
      <c r="AB196" s="213"/>
      <c r="AC196" s="213"/>
      <c r="AD196" s="213"/>
      <c r="AE196" s="213"/>
      <c r="AF196" s="213"/>
      <c r="AG196" s="213" t="s">
        <v>228</v>
      </c>
      <c r="AH196" s="213">
        <v>0.0</v>
      </c>
      <c r="AI196" s="213"/>
      <c r="AJ196" s="213"/>
      <c r="AK196" s="213"/>
      <c r="AL196" s="213"/>
      <c r="AM196" s="213"/>
      <c r="AN196" s="213"/>
      <c r="AO196" s="213"/>
      <c r="AP196" s="213"/>
      <c r="AQ196" s="213"/>
      <c r="AR196" s="213"/>
      <c r="AS196" s="213"/>
      <c r="AT196" s="213"/>
      <c r="AU196" s="213"/>
      <c r="AV196" s="213"/>
      <c r="AW196" s="213"/>
      <c r="AX196" s="213"/>
      <c r="AY196" s="213"/>
      <c r="AZ196" s="213"/>
      <c r="BA196" s="213"/>
      <c r="BB196" s="213"/>
    </row>
    <row r="197" ht="12.75" customHeight="1" outlineLevel="1">
      <c r="A197" s="235"/>
      <c r="B197" s="236"/>
      <c r="C197" s="237" t="s">
        <v>1210</v>
      </c>
      <c r="D197" s="238"/>
      <c r="E197" s="239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3"/>
      <c r="Z197" s="213"/>
      <c r="AA197" s="213"/>
      <c r="AB197" s="213"/>
      <c r="AC197" s="213"/>
      <c r="AD197" s="213"/>
      <c r="AE197" s="213"/>
      <c r="AF197" s="213"/>
      <c r="AG197" s="213" t="s">
        <v>228</v>
      </c>
      <c r="AH197" s="213">
        <v>0.0</v>
      </c>
      <c r="AI197" s="213"/>
      <c r="AJ197" s="213"/>
      <c r="AK197" s="213"/>
      <c r="AL197" s="213"/>
      <c r="AM197" s="213"/>
      <c r="AN197" s="213"/>
      <c r="AO197" s="213"/>
      <c r="AP197" s="213"/>
      <c r="AQ197" s="213"/>
      <c r="AR197" s="213"/>
      <c r="AS197" s="213"/>
      <c r="AT197" s="213"/>
      <c r="AU197" s="213"/>
      <c r="AV197" s="213"/>
      <c r="AW197" s="213"/>
      <c r="AX197" s="213"/>
      <c r="AY197" s="213"/>
      <c r="AZ197" s="213"/>
      <c r="BA197" s="213"/>
      <c r="BB197" s="213"/>
    </row>
    <row r="198" ht="12.75" customHeight="1" outlineLevel="1">
      <c r="A198" s="235"/>
      <c r="B198" s="236"/>
      <c r="C198" s="237" t="s">
        <v>1162</v>
      </c>
      <c r="D198" s="238"/>
      <c r="E198" s="239">
        <v>359.17</v>
      </c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3"/>
      <c r="Z198" s="213"/>
      <c r="AA198" s="213"/>
      <c r="AB198" s="213"/>
      <c r="AC198" s="213"/>
      <c r="AD198" s="213"/>
      <c r="AE198" s="213"/>
      <c r="AF198" s="213"/>
      <c r="AG198" s="213" t="s">
        <v>228</v>
      </c>
      <c r="AH198" s="213">
        <v>0.0</v>
      </c>
      <c r="AI198" s="213"/>
      <c r="AJ198" s="213"/>
      <c r="AK198" s="213"/>
      <c r="AL198" s="213"/>
      <c r="AM198" s="213"/>
      <c r="AN198" s="213"/>
      <c r="AO198" s="213"/>
      <c r="AP198" s="213"/>
      <c r="AQ198" s="213"/>
      <c r="AR198" s="213"/>
      <c r="AS198" s="213"/>
      <c r="AT198" s="213"/>
      <c r="AU198" s="213"/>
      <c r="AV198" s="213"/>
      <c r="AW198" s="213"/>
      <c r="AX198" s="213"/>
      <c r="AY198" s="213"/>
      <c r="AZ198" s="213"/>
      <c r="BA198" s="213"/>
      <c r="BB198" s="213"/>
    </row>
    <row r="199" ht="12.75" customHeight="1" outlineLevel="1">
      <c r="A199" s="235"/>
      <c r="B199" s="236"/>
      <c r="C199" s="237" t="s">
        <v>1211</v>
      </c>
      <c r="D199" s="238"/>
      <c r="E199" s="239">
        <v>-121.68</v>
      </c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3"/>
      <c r="Z199" s="213"/>
      <c r="AA199" s="213"/>
      <c r="AB199" s="213"/>
      <c r="AC199" s="213"/>
      <c r="AD199" s="213"/>
      <c r="AE199" s="213"/>
      <c r="AF199" s="213"/>
      <c r="AG199" s="213" t="s">
        <v>228</v>
      </c>
      <c r="AH199" s="213">
        <v>0.0</v>
      </c>
      <c r="AI199" s="213"/>
      <c r="AJ199" s="213"/>
      <c r="AK199" s="213"/>
      <c r="AL199" s="213"/>
      <c r="AM199" s="213"/>
      <c r="AN199" s="213"/>
      <c r="AO199" s="213"/>
      <c r="AP199" s="213"/>
      <c r="AQ199" s="213"/>
      <c r="AR199" s="213"/>
      <c r="AS199" s="213"/>
      <c r="AT199" s="213"/>
      <c r="AU199" s="213"/>
      <c r="AV199" s="213"/>
      <c r="AW199" s="213"/>
      <c r="AX199" s="213"/>
      <c r="AY199" s="213"/>
      <c r="AZ199" s="213"/>
      <c r="BA199" s="213"/>
      <c r="BB199" s="213"/>
    </row>
    <row r="200" ht="12.75" customHeight="1" outlineLevel="1">
      <c r="A200" s="235"/>
      <c r="B200" s="236"/>
      <c r="C200" s="237" t="s">
        <v>1212</v>
      </c>
      <c r="D200" s="238"/>
      <c r="E200" s="239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3"/>
      <c r="Z200" s="213"/>
      <c r="AA200" s="213"/>
      <c r="AB200" s="213"/>
      <c r="AC200" s="213"/>
      <c r="AD200" s="213"/>
      <c r="AE200" s="213"/>
      <c r="AF200" s="213"/>
      <c r="AG200" s="213" t="s">
        <v>228</v>
      </c>
      <c r="AH200" s="213">
        <v>0.0</v>
      </c>
      <c r="AI200" s="213"/>
      <c r="AJ200" s="213"/>
      <c r="AK200" s="213"/>
      <c r="AL200" s="213"/>
      <c r="AM200" s="213"/>
      <c r="AN200" s="213"/>
      <c r="AO200" s="213"/>
      <c r="AP200" s="213"/>
      <c r="AQ200" s="213"/>
      <c r="AR200" s="213"/>
      <c r="AS200" s="213"/>
      <c r="AT200" s="213"/>
      <c r="AU200" s="213"/>
      <c r="AV200" s="213"/>
      <c r="AW200" s="213"/>
      <c r="AX200" s="213"/>
      <c r="AY200" s="213"/>
      <c r="AZ200" s="213"/>
      <c r="BA200" s="213"/>
      <c r="BB200" s="213"/>
    </row>
    <row r="201" ht="12.75" customHeight="1" outlineLevel="1">
      <c r="A201" s="235"/>
      <c r="B201" s="236"/>
      <c r="C201" s="237" t="s">
        <v>1164</v>
      </c>
      <c r="D201" s="238"/>
      <c r="E201" s="239">
        <v>110.08</v>
      </c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3"/>
      <c r="AA201" s="213"/>
      <c r="AB201" s="213"/>
      <c r="AC201" s="213"/>
      <c r="AD201" s="213"/>
      <c r="AE201" s="213"/>
      <c r="AF201" s="213"/>
      <c r="AG201" s="213" t="s">
        <v>228</v>
      </c>
      <c r="AH201" s="213">
        <v>0.0</v>
      </c>
      <c r="AI201" s="213"/>
      <c r="AJ201" s="213"/>
      <c r="AK201" s="213"/>
      <c r="AL201" s="213"/>
      <c r="AM201" s="213"/>
      <c r="AN201" s="213"/>
      <c r="AO201" s="213"/>
      <c r="AP201" s="213"/>
      <c r="AQ201" s="213"/>
      <c r="AR201" s="213"/>
      <c r="AS201" s="213"/>
      <c r="AT201" s="213"/>
      <c r="AU201" s="213"/>
      <c r="AV201" s="213"/>
      <c r="AW201" s="213"/>
      <c r="AX201" s="213"/>
      <c r="AY201" s="213"/>
      <c r="AZ201" s="213"/>
      <c r="BA201" s="213"/>
      <c r="BB201" s="213"/>
    </row>
    <row r="202" ht="12.75" customHeight="1" outlineLevel="1">
      <c r="A202" s="235"/>
      <c r="B202" s="236"/>
      <c r="C202" s="237" t="s">
        <v>1213</v>
      </c>
      <c r="D202" s="238"/>
      <c r="E202" s="239">
        <v>-19.02</v>
      </c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3"/>
      <c r="Z202" s="213"/>
      <c r="AA202" s="213"/>
      <c r="AB202" s="213"/>
      <c r="AC202" s="213"/>
      <c r="AD202" s="213"/>
      <c r="AE202" s="213"/>
      <c r="AF202" s="213"/>
      <c r="AG202" s="213" t="s">
        <v>228</v>
      </c>
      <c r="AH202" s="213">
        <v>0.0</v>
      </c>
      <c r="AI202" s="213"/>
      <c r="AJ202" s="213"/>
      <c r="AK202" s="213"/>
      <c r="AL202" s="213"/>
      <c r="AM202" s="213"/>
      <c r="AN202" s="213"/>
      <c r="AO202" s="213"/>
      <c r="AP202" s="213"/>
      <c r="AQ202" s="213"/>
      <c r="AR202" s="213"/>
      <c r="AS202" s="213"/>
      <c r="AT202" s="213"/>
      <c r="AU202" s="213"/>
      <c r="AV202" s="213"/>
      <c r="AW202" s="213"/>
      <c r="AX202" s="213"/>
      <c r="AY202" s="213"/>
      <c r="AZ202" s="213"/>
      <c r="BA202" s="213"/>
      <c r="BB202" s="213"/>
    </row>
    <row r="203" ht="12.75" customHeight="1" outlineLevel="1">
      <c r="A203" s="235"/>
      <c r="B203" s="236"/>
      <c r="C203" s="237" t="s">
        <v>1214</v>
      </c>
      <c r="D203" s="238"/>
      <c r="E203" s="239">
        <v>-3.4</v>
      </c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3"/>
      <c r="Z203" s="213"/>
      <c r="AA203" s="213"/>
      <c r="AB203" s="213"/>
      <c r="AC203" s="213"/>
      <c r="AD203" s="213"/>
      <c r="AE203" s="213"/>
      <c r="AF203" s="213"/>
      <c r="AG203" s="213" t="s">
        <v>228</v>
      </c>
      <c r="AH203" s="213">
        <v>0.0</v>
      </c>
      <c r="AI203" s="213"/>
      <c r="AJ203" s="213"/>
      <c r="AK203" s="213"/>
      <c r="AL203" s="213"/>
      <c r="AM203" s="213"/>
      <c r="AN203" s="213"/>
      <c r="AO203" s="213"/>
      <c r="AP203" s="213"/>
      <c r="AQ203" s="213"/>
      <c r="AR203" s="213"/>
      <c r="AS203" s="213"/>
      <c r="AT203" s="213"/>
      <c r="AU203" s="213"/>
      <c r="AV203" s="213"/>
      <c r="AW203" s="213"/>
      <c r="AX203" s="213"/>
      <c r="AY203" s="213"/>
      <c r="AZ203" s="213"/>
      <c r="BA203" s="213"/>
      <c r="BB203" s="213"/>
    </row>
    <row r="204" ht="12.75" customHeight="1" outlineLevel="1">
      <c r="A204" s="235"/>
      <c r="B204" s="236"/>
      <c r="C204" s="237" t="s">
        <v>1215</v>
      </c>
      <c r="D204" s="238"/>
      <c r="E204" s="239">
        <v>-1.8</v>
      </c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3"/>
      <c r="Z204" s="213"/>
      <c r="AA204" s="213"/>
      <c r="AB204" s="213"/>
      <c r="AC204" s="213"/>
      <c r="AD204" s="213"/>
      <c r="AE204" s="213"/>
      <c r="AF204" s="213"/>
      <c r="AG204" s="213" t="s">
        <v>228</v>
      </c>
      <c r="AH204" s="213">
        <v>0.0</v>
      </c>
      <c r="AI204" s="213"/>
      <c r="AJ204" s="213"/>
      <c r="AK204" s="213"/>
      <c r="AL204" s="213"/>
      <c r="AM204" s="213"/>
      <c r="AN204" s="213"/>
      <c r="AO204" s="213"/>
      <c r="AP204" s="213"/>
      <c r="AQ204" s="213"/>
      <c r="AR204" s="213"/>
      <c r="AS204" s="213"/>
      <c r="AT204" s="213"/>
      <c r="AU204" s="213"/>
      <c r="AV204" s="213"/>
      <c r="AW204" s="213"/>
      <c r="AX204" s="213"/>
      <c r="AY204" s="213"/>
      <c r="AZ204" s="213"/>
      <c r="BA204" s="213"/>
      <c r="BB204" s="213"/>
    </row>
    <row r="205" ht="12.75" customHeight="1" outlineLevel="1">
      <c r="A205" s="235"/>
      <c r="B205" s="236"/>
      <c r="C205" s="237" t="s">
        <v>1215</v>
      </c>
      <c r="D205" s="238"/>
      <c r="E205" s="239">
        <v>-1.8</v>
      </c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3"/>
      <c r="Z205" s="213"/>
      <c r="AA205" s="213"/>
      <c r="AB205" s="213"/>
      <c r="AC205" s="213"/>
      <c r="AD205" s="213"/>
      <c r="AE205" s="213"/>
      <c r="AF205" s="213"/>
      <c r="AG205" s="213" t="s">
        <v>228</v>
      </c>
      <c r="AH205" s="213">
        <v>0.0</v>
      </c>
      <c r="AI205" s="213"/>
      <c r="AJ205" s="213"/>
      <c r="AK205" s="213"/>
      <c r="AL205" s="213"/>
      <c r="AM205" s="213"/>
      <c r="AN205" s="213"/>
      <c r="AO205" s="213"/>
      <c r="AP205" s="213"/>
      <c r="AQ205" s="213"/>
      <c r="AR205" s="213"/>
      <c r="AS205" s="213"/>
      <c r="AT205" s="213"/>
      <c r="AU205" s="213"/>
      <c r="AV205" s="213"/>
      <c r="AW205" s="213"/>
      <c r="AX205" s="213"/>
      <c r="AY205" s="213"/>
      <c r="AZ205" s="213"/>
      <c r="BA205" s="213"/>
      <c r="BB205" s="213"/>
    </row>
    <row r="206" ht="12.75" customHeight="1" outlineLevel="1">
      <c r="A206" s="214">
        <v>20.0</v>
      </c>
      <c r="B206" s="215" t="s">
        <v>1216</v>
      </c>
      <c r="C206" s="216" t="s">
        <v>1217</v>
      </c>
      <c r="D206" s="217" t="s">
        <v>234</v>
      </c>
      <c r="E206" s="218">
        <v>321.5455</v>
      </c>
      <c r="F206" s="219">
        <v>192.3</v>
      </c>
      <c r="G206" s="220">
        <f>ROUND(E206*F206,2)</f>
        <v>61833.2</v>
      </c>
      <c r="H206" s="211"/>
      <c r="I206" s="212">
        <f>ROUND(E206*H206,2)</f>
        <v>0</v>
      </c>
      <c r="J206" s="211"/>
      <c r="K206" s="212">
        <f>ROUND(E206*J206,2)</f>
        <v>0</v>
      </c>
      <c r="L206" s="212">
        <v>21.0</v>
      </c>
      <c r="M206" s="212">
        <f>G206*(1+L206/100)</f>
        <v>74818.172</v>
      </c>
      <c r="N206" s="212">
        <v>0.0</v>
      </c>
      <c r="O206" s="212">
        <f>ROUND(E206*N206,2)</f>
        <v>0</v>
      </c>
      <c r="P206" s="212">
        <v>0.0</v>
      </c>
      <c r="Q206" s="212">
        <f>ROUND(E206*P206,2)</f>
        <v>0</v>
      </c>
      <c r="R206" s="212"/>
      <c r="S206" s="212" t="s">
        <v>184</v>
      </c>
      <c r="T206" s="212" t="s">
        <v>184</v>
      </c>
      <c r="U206" s="212">
        <v>0.94</v>
      </c>
      <c r="V206" s="212">
        <f>ROUND(E206*U206,2)</f>
        <v>302.25</v>
      </c>
      <c r="W206" s="212"/>
      <c r="X206" s="212" t="s">
        <v>225</v>
      </c>
      <c r="Y206" s="213"/>
      <c r="Z206" s="213"/>
      <c r="AA206" s="213"/>
      <c r="AB206" s="213"/>
      <c r="AC206" s="213"/>
      <c r="AD206" s="213"/>
      <c r="AE206" s="213"/>
      <c r="AF206" s="213"/>
      <c r="AG206" s="213" t="s">
        <v>226</v>
      </c>
      <c r="AH206" s="213"/>
      <c r="AI206" s="213"/>
      <c r="AJ206" s="213"/>
      <c r="AK206" s="213"/>
      <c r="AL206" s="213"/>
      <c r="AM206" s="213"/>
      <c r="AN206" s="213"/>
      <c r="AO206" s="213"/>
      <c r="AP206" s="213"/>
      <c r="AQ206" s="213"/>
      <c r="AR206" s="213"/>
      <c r="AS206" s="213"/>
      <c r="AT206" s="213"/>
      <c r="AU206" s="213"/>
      <c r="AV206" s="213"/>
      <c r="AW206" s="213"/>
      <c r="AX206" s="213"/>
      <c r="AY206" s="213"/>
      <c r="AZ206" s="213"/>
      <c r="BA206" s="213"/>
      <c r="BB206" s="213"/>
    </row>
    <row r="207" ht="12.75" customHeight="1" outlineLevel="1">
      <c r="A207" s="235"/>
      <c r="B207" s="236"/>
      <c r="C207" s="237" t="s">
        <v>1210</v>
      </c>
      <c r="D207" s="238"/>
      <c r="E207" s="239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3"/>
      <c r="Z207" s="213"/>
      <c r="AA207" s="213"/>
      <c r="AB207" s="213"/>
      <c r="AC207" s="213"/>
      <c r="AD207" s="213"/>
      <c r="AE207" s="213"/>
      <c r="AF207" s="213"/>
      <c r="AG207" s="213" t="s">
        <v>228</v>
      </c>
      <c r="AH207" s="213">
        <v>0.0</v>
      </c>
      <c r="AI207" s="213"/>
      <c r="AJ207" s="213"/>
      <c r="AK207" s="213"/>
      <c r="AL207" s="213"/>
      <c r="AM207" s="213"/>
      <c r="AN207" s="213"/>
      <c r="AO207" s="213"/>
      <c r="AP207" s="213"/>
      <c r="AQ207" s="213"/>
      <c r="AR207" s="213"/>
      <c r="AS207" s="213"/>
      <c r="AT207" s="213"/>
      <c r="AU207" s="213"/>
      <c r="AV207" s="213"/>
      <c r="AW207" s="213"/>
      <c r="AX207" s="213"/>
      <c r="AY207" s="213"/>
      <c r="AZ207" s="213"/>
      <c r="BA207" s="213"/>
      <c r="BB207" s="213"/>
    </row>
    <row r="208" ht="12.75" customHeight="1" outlineLevel="1">
      <c r="A208" s="235"/>
      <c r="B208" s="236"/>
      <c r="C208" s="237" t="s">
        <v>1162</v>
      </c>
      <c r="D208" s="238"/>
      <c r="E208" s="239">
        <v>359.17</v>
      </c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3"/>
      <c r="Z208" s="213"/>
      <c r="AA208" s="213"/>
      <c r="AB208" s="213"/>
      <c r="AC208" s="213"/>
      <c r="AD208" s="213"/>
      <c r="AE208" s="213"/>
      <c r="AF208" s="213"/>
      <c r="AG208" s="213" t="s">
        <v>228</v>
      </c>
      <c r="AH208" s="213">
        <v>0.0</v>
      </c>
      <c r="AI208" s="213"/>
      <c r="AJ208" s="213"/>
      <c r="AK208" s="213"/>
      <c r="AL208" s="213"/>
      <c r="AM208" s="213"/>
      <c r="AN208" s="213"/>
      <c r="AO208" s="213"/>
      <c r="AP208" s="213"/>
      <c r="AQ208" s="213"/>
      <c r="AR208" s="213"/>
      <c r="AS208" s="213"/>
      <c r="AT208" s="213"/>
      <c r="AU208" s="213"/>
      <c r="AV208" s="213"/>
      <c r="AW208" s="213"/>
      <c r="AX208" s="213"/>
      <c r="AY208" s="213"/>
      <c r="AZ208" s="213"/>
      <c r="BA208" s="213"/>
      <c r="BB208" s="213"/>
    </row>
    <row r="209" ht="12.75" customHeight="1" outlineLevel="1">
      <c r="A209" s="235"/>
      <c r="B209" s="236"/>
      <c r="C209" s="237" t="s">
        <v>1211</v>
      </c>
      <c r="D209" s="238"/>
      <c r="E209" s="239">
        <v>-121.68</v>
      </c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3"/>
      <c r="Z209" s="213"/>
      <c r="AA209" s="213"/>
      <c r="AB209" s="213"/>
      <c r="AC209" s="213"/>
      <c r="AD209" s="213"/>
      <c r="AE209" s="213"/>
      <c r="AF209" s="213"/>
      <c r="AG209" s="213" t="s">
        <v>228</v>
      </c>
      <c r="AH209" s="213">
        <v>0.0</v>
      </c>
      <c r="AI209" s="213"/>
      <c r="AJ209" s="213"/>
      <c r="AK209" s="213"/>
      <c r="AL209" s="213"/>
      <c r="AM209" s="213"/>
      <c r="AN209" s="213"/>
      <c r="AO209" s="213"/>
      <c r="AP209" s="213"/>
      <c r="AQ209" s="213"/>
      <c r="AR209" s="213"/>
      <c r="AS209" s="213"/>
      <c r="AT209" s="213"/>
      <c r="AU209" s="213"/>
      <c r="AV209" s="213"/>
      <c r="AW209" s="213"/>
      <c r="AX209" s="213"/>
      <c r="AY209" s="213"/>
      <c r="AZ209" s="213"/>
      <c r="BA209" s="213"/>
      <c r="BB209" s="213"/>
    </row>
    <row r="210" ht="12.75" customHeight="1" outlineLevel="1">
      <c r="A210" s="235"/>
      <c r="B210" s="236"/>
      <c r="C210" s="237" t="s">
        <v>1212</v>
      </c>
      <c r="D210" s="238"/>
      <c r="E210" s="239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3"/>
      <c r="Z210" s="213"/>
      <c r="AA210" s="213"/>
      <c r="AB210" s="213"/>
      <c r="AC210" s="213"/>
      <c r="AD210" s="213"/>
      <c r="AE210" s="213"/>
      <c r="AF210" s="213"/>
      <c r="AG210" s="213" t="s">
        <v>228</v>
      </c>
      <c r="AH210" s="213">
        <v>0.0</v>
      </c>
      <c r="AI210" s="213"/>
      <c r="AJ210" s="213"/>
      <c r="AK210" s="213"/>
      <c r="AL210" s="213"/>
      <c r="AM210" s="213"/>
      <c r="AN210" s="213"/>
      <c r="AO210" s="213"/>
      <c r="AP210" s="213"/>
      <c r="AQ210" s="213"/>
      <c r="AR210" s="213"/>
      <c r="AS210" s="213"/>
      <c r="AT210" s="213"/>
      <c r="AU210" s="213"/>
      <c r="AV210" s="213"/>
      <c r="AW210" s="213"/>
      <c r="AX210" s="213"/>
      <c r="AY210" s="213"/>
      <c r="AZ210" s="213"/>
      <c r="BA210" s="213"/>
      <c r="BB210" s="213"/>
    </row>
    <row r="211" ht="12.75" customHeight="1" outlineLevel="1">
      <c r="A211" s="235"/>
      <c r="B211" s="236"/>
      <c r="C211" s="237" t="s">
        <v>1164</v>
      </c>
      <c r="D211" s="238"/>
      <c r="E211" s="239">
        <v>110.08</v>
      </c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3"/>
      <c r="Z211" s="213"/>
      <c r="AA211" s="213"/>
      <c r="AB211" s="213"/>
      <c r="AC211" s="213"/>
      <c r="AD211" s="213"/>
      <c r="AE211" s="213"/>
      <c r="AF211" s="213"/>
      <c r="AG211" s="213" t="s">
        <v>228</v>
      </c>
      <c r="AH211" s="213">
        <v>0.0</v>
      </c>
      <c r="AI211" s="213"/>
      <c r="AJ211" s="213"/>
      <c r="AK211" s="213"/>
      <c r="AL211" s="213"/>
      <c r="AM211" s="213"/>
      <c r="AN211" s="213"/>
      <c r="AO211" s="213"/>
      <c r="AP211" s="213"/>
      <c r="AQ211" s="213"/>
      <c r="AR211" s="213"/>
      <c r="AS211" s="213"/>
      <c r="AT211" s="213"/>
      <c r="AU211" s="213"/>
      <c r="AV211" s="213"/>
      <c r="AW211" s="213"/>
      <c r="AX211" s="213"/>
      <c r="AY211" s="213"/>
      <c r="AZ211" s="213"/>
      <c r="BA211" s="213"/>
      <c r="BB211" s="213"/>
    </row>
    <row r="212" ht="12.75" customHeight="1" outlineLevel="1">
      <c r="A212" s="235"/>
      <c r="B212" s="236"/>
      <c r="C212" s="237" t="s">
        <v>1213</v>
      </c>
      <c r="D212" s="238"/>
      <c r="E212" s="239">
        <v>-19.02</v>
      </c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3"/>
      <c r="Z212" s="213"/>
      <c r="AA212" s="213"/>
      <c r="AB212" s="213"/>
      <c r="AC212" s="213"/>
      <c r="AD212" s="213"/>
      <c r="AE212" s="213"/>
      <c r="AF212" s="213"/>
      <c r="AG212" s="213" t="s">
        <v>228</v>
      </c>
      <c r="AH212" s="213">
        <v>0.0</v>
      </c>
      <c r="AI212" s="213"/>
      <c r="AJ212" s="213"/>
      <c r="AK212" s="213"/>
      <c r="AL212" s="213"/>
      <c r="AM212" s="213"/>
      <c r="AN212" s="213"/>
      <c r="AO212" s="213"/>
      <c r="AP212" s="213"/>
      <c r="AQ212" s="213"/>
      <c r="AR212" s="213"/>
      <c r="AS212" s="213"/>
      <c r="AT212" s="213"/>
      <c r="AU212" s="213"/>
      <c r="AV212" s="213"/>
      <c r="AW212" s="213"/>
      <c r="AX212" s="213"/>
      <c r="AY212" s="213"/>
      <c r="AZ212" s="213"/>
      <c r="BA212" s="213"/>
      <c r="BB212" s="213"/>
    </row>
    <row r="213" ht="12.75" customHeight="1" outlineLevel="1">
      <c r="A213" s="235"/>
      <c r="B213" s="236"/>
      <c r="C213" s="237" t="s">
        <v>1214</v>
      </c>
      <c r="D213" s="238"/>
      <c r="E213" s="239">
        <v>-3.4</v>
      </c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3"/>
      <c r="Z213" s="213"/>
      <c r="AA213" s="213"/>
      <c r="AB213" s="213"/>
      <c r="AC213" s="213"/>
      <c r="AD213" s="213"/>
      <c r="AE213" s="213"/>
      <c r="AF213" s="213"/>
      <c r="AG213" s="213" t="s">
        <v>228</v>
      </c>
      <c r="AH213" s="213">
        <v>0.0</v>
      </c>
      <c r="AI213" s="213"/>
      <c r="AJ213" s="213"/>
      <c r="AK213" s="213"/>
      <c r="AL213" s="213"/>
      <c r="AM213" s="213"/>
      <c r="AN213" s="213"/>
      <c r="AO213" s="213"/>
      <c r="AP213" s="213"/>
      <c r="AQ213" s="213"/>
      <c r="AR213" s="213"/>
      <c r="AS213" s="213"/>
      <c r="AT213" s="213"/>
      <c r="AU213" s="213"/>
      <c r="AV213" s="213"/>
      <c r="AW213" s="213"/>
      <c r="AX213" s="213"/>
      <c r="AY213" s="213"/>
      <c r="AZ213" s="213"/>
      <c r="BA213" s="213"/>
      <c r="BB213" s="213"/>
    </row>
    <row r="214" ht="12.75" customHeight="1" outlineLevel="1">
      <c r="A214" s="235"/>
      <c r="B214" s="236"/>
      <c r="C214" s="237" t="s">
        <v>1215</v>
      </c>
      <c r="D214" s="238"/>
      <c r="E214" s="239">
        <v>-1.8</v>
      </c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3"/>
      <c r="Z214" s="213"/>
      <c r="AA214" s="213"/>
      <c r="AB214" s="213"/>
      <c r="AC214" s="213"/>
      <c r="AD214" s="213"/>
      <c r="AE214" s="213"/>
      <c r="AF214" s="213"/>
      <c r="AG214" s="213" t="s">
        <v>228</v>
      </c>
      <c r="AH214" s="213">
        <v>0.0</v>
      </c>
      <c r="AI214" s="213"/>
      <c r="AJ214" s="213"/>
      <c r="AK214" s="213"/>
      <c r="AL214" s="213"/>
      <c r="AM214" s="213"/>
      <c r="AN214" s="213"/>
      <c r="AO214" s="213"/>
      <c r="AP214" s="213"/>
      <c r="AQ214" s="213"/>
      <c r="AR214" s="213"/>
      <c r="AS214" s="213"/>
      <c r="AT214" s="213"/>
      <c r="AU214" s="213"/>
      <c r="AV214" s="213"/>
      <c r="AW214" s="213"/>
      <c r="AX214" s="213"/>
      <c r="AY214" s="213"/>
      <c r="AZ214" s="213"/>
      <c r="BA214" s="213"/>
      <c r="BB214" s="213"/>
    </row>
    <row r="215" ht="12.75" customHeight="1" outlineLevel="1">
      <c r="A215" s="235"/>
      <c r="B215" s="236"/>
      <c r="C215" s="237" t="s">
        <v>1215</v>
      </c>
      <c r="D215" s="238"/>
      <c r="E215" s="239">
        <v>-1.8</v>
      </c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3"/>
      <c r="Z215" s="213"/>
      <c r="AA215" s="213"/>
      <c r="AB215" s="213"/>
      <c r="AC215" s="213"/>
      <c r="AD215" s="213"/>
      <c r="AE215" s="213"/>
      <c r="AF215" s="213"/>
      <c r="AG215" s="213" t="s">
        <v>228</v>
      </c>
      <c r="AH215" s="213">
        <v>0.0</v>
      </c>
      <c r="AI215" s="213"/>
      <c r="AJ215" s="213"/>
      <c r="AK215" s="213"/>
      <c r="AL215" s="213"/>
      <c r="AM215" s="213"/>
      <c r="AN215" s="213"/>
      <c r="AO215" s="213"/>
      <c r="AP215" s="213"/>
      <c r="AQ215" s="213"/>
      <c r="AR215" s="213"/>
      <c r="AS215" s="213"/>
      <c r="AT215" s="213"/>
      <c r="AU215" s="213"/>
      <c r="AV215" s="213"/>
      <c r="AW215" s="213"/>
      <c r="AX215" s="213"/>
      <c r="AY215" s="213"/>
      <c r="AZ215" s="213"/>
      <c r="BA215" s="213"/>
      <c r="BB215" s="213"/>
    </row>
    <row r="216" ht="12.75" customHeight="1" outlineLevel="1">
      <c r="A216" s="214">
        <v>21.0</v>
      </c>
      <c r="B216" s="215" t="s">
        <v>314</v>
      </c>
      <c r="C216" s="216" t="s">
        <v>315</v>
      </c>
      <c r="D216" s="217" t="s">
        <v>316</v>
      </c>
      <c r="E216" s="218">
        <v>878.3755</v>
      </c>
      <c r="F216" s="219">
        <v>285.0</v>
      </c>
      <c r="G216" s="220">
        <f>ROUND(E216*F216,2)</f>
        <v>250337.02</v>
      </c>
      <c r="H216" s="211"/>
      <c r="I216" s="212">
        <f>ROUND(E216*H216,2)</f>
        <v>0</v>
      </c>
      <c r="J216" s="211"/>
      <c r="K216" s="212">
        <f>ROUND(E216*J216,2)</f>
        <v>0</v>
      </c>
      <c r="L216" s="212">
        <v>21.0</v>
      </c>
      <c r="M216" s="212">
        <f>G216*(1+L216/100)</f>
        <v>302907.7942</v>
      </c>
      <c r="N216" s="212">
        <v>0.0</v>
      </c>
      <c r="O216" s="212">
        <f>ROUND(E216*N216,2)</f>
        <v>0</v>
      </c>
      <c r="P216" s="212">
        <v>0.0</v>
      </c>
      <c r="Q216" s="212">
        <f>ROUND(E216*P216,2)</f>
        <v>0</v>
      </c>
      <c r="R216" s="212"/>
      <c r="S216" s="212" t="s">
        <v>184</v>
      </c>
      <c r="T216" s="212" t="s">
        <v>184</v>
      </c>
      <c r="U216" s="212">
        <v>0.0</v>
      </c>
      <c r="V216" s="212">
        <f>ROUND(E216*U216,2)</f>
        <v>0</v>
      </c>
      <c r="W216" s="212"/>
      <c r="X216" s="212" t="s">
        <v>225</v>
      </c>
      <c r="Y216" s="213"/>
      <c r="Z216" s="213"/>
      <c r="AA216" s="213"/>
      <c r="AB216" s="213"/>
      <c r="AC216" s="213"/>
      <c r="AD216" s="213"/>
      <c r="AE216" s="213"/>
      <c r="AF216" s="213"/>
      <c r="AG216" s="213" t="s">
        <v>226</v>
      </c>
      <c r="AH216" s="213"/>
      <c r="AI216" s="213"/>
      <c r="AJ216" s="213"/>
      <c r="AK216" s="213"/>
      <c r="AL216" s="213"/>
      <c r="AM216" s="213"/>
      <c r="AN216" s="213"/>
      <c r="AO216" s="213"/>
      <c r="AP216" s="213"/>
      <c r="AQ216" s="213"/>
      <c r="AR216" s="213"/>
      <c r="AS216" s="213"/>
      <c r="AT216" s="213"/>
      <c r="AU216" s="213"/>
      <c r="AV216" s="213"/>
      <c r="AW216" s="213"/>
      <c r="AX216" s="213"/>
      <c r="AY216" s="213"/>
      <c r="AZ216" s="213"/>
      <c r="BA216" s="213"/>
      <c r="BB216" s="213"/>
    </row>
    <row r="217" ht="12.75" customHeight="1" outlineLevel="1">
      <c r="A217" s="235"/>
      <c r="B217" s="236"/>
      <c r="C217" s="237" t="s">
        <v>295</v>
      </c>
      <c r="D217" s="238"/>
      <c r="E217" s="239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3"/>
      <c r="Z217" s="213"/>
      <c r="AA217" s="213"/>
      <c r="AB217" s="213"/>
      <c r="AC217" s="213"/>
      <c r="AD217" s="213"/>
      <c r="AE217" s="213"/>
      <c r="AF217" s="213"/>
      <c r="AG217" s="213" t="s">
        <v>228</v>
      </c>
      <c r="AH217" s="213">
        <v>0.0</v>
      </c>
      <c r="AI217" s="213"/>
      <c r="AJ217" s="213"/>
      <c r="AK217" s="213"/>
      <c r="AL217" s="213"/>
      <c r="AM217" s="213"/>
      <c r="AN217" s="213"/>
      <c r="AO217" s="213"/>
      <c r="AP217" s="213"/>
      <c r="AQ217" s="213"/>
      <c r="AR217" s="213"/>
      <c r="AS217" s="213"/>
      <c r="AT217" s="213"/>
      <c r="AU217" s="213"/>
      <c r="AV217" s="213"/>
      <c r="AW217" s="213"/>
      <c r="AX217" s="213"/>
      <c r="AY217" s="213"/>
      <c r="AZ217" s="213"/>
      <c r="BA217" s="213"/>
      <c r="BB217" s="213"/>
    </row>
    <row r="218" ht="12.75" customHeight="1" outlineLevel="1">
      <c r="A218" s="235"/>
      <c r="B218" s="236"/>
      <c r="C218" s="240" t="s">
        <v>236</v>
      </c>
      <c r="D218" s="241"/>
      <c r="E218" s="24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3"/>
      <c r="Z218" s="213"/>
      <c r="AA218" s="213"/>
      <c r="AB218" s="213"/>
      <c r="AC218" s="213"/>
      <c r="AD218" s="213"/>
      <c r="AE218" s="213"/>
      <c r="AF218" s="213"/>
      <c r="AG218" s="213" t="s">
        <v>228</v>
      </c>
      <c r="AH218" s="213"/>
      <c r="AI218" s="213"/>
      <c r="AJ218" s="213"/>
      <c r="AK218" s="213"/>
      <c r="AL218" s="213"/>
      <c r="AM218" s="213"/>
      <c r="AN218" s="213"/>
      <c r="AO218" s="213"/>
      <c r="AP218" s="213"/>
      <c r="AQ218" s="213"/>
      <c r="AR218" s="213"/>
      <c r="AS218" s="213"/>
      <c r="AT218" s="213"/>
      <c r="AU218" s="213"/>
      <c r="AV218" s="213"/>
      <c r="AW218" s="213"/>
      <c r="AX218" s="213"/>
      <c r="AY218" s="213"/>
      <c r="AZ218" s="213"/>
      <c r="BA218" s="213"/>
      <c r="BB218" s="213"/>
    </row>
    <row r="219" ht="12.75" customHeight="1" outlineLevel="1">
      <c r="A219" s="235"/>
      <c r="B219" s="236"/>
      <c r="C219" s="243" t="s">
        <v>1146</v>
      </c>
      <c r="D219" s="241"/>
      <c r="E219" s="24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3"/>
      <c r="Z219" s="213"/>
      <c r="AA219" s="213"/>
      <c r="AB219" s="213"/>
      <c r="AC219" s="213"/>
      <c r="AD219" s="213"/>
      <c r="AE219" s="213"/>
      <c r="AF219" s="213"/>
      <c r="AG219" s="213" t="s">
        <v>228</v>
      </c>
      <c r="AH219" s="213">
        <v>2.0</v>
      </c>
      <c r="AI219" s="213"/>
      <c r="AJ219" s="213"/>
      <c r="AK219" s="213"/>
      <c r="AL219" s="213"/>
      <c r="AM219" s="213"/>
      <c r="AN219" s="213"/>
      <c r="AO219" s="213"/>
      <c r="AP219" s="213"/>
      <c r="AQ219" s="213"/>
      <c r="AR219" s="213"/>
      <c r="AS219" s="213"/>
      <c r="AT219" s="213"/>
      <c r="AU219" s="213"/>
      <c r="AV219" s="213"/>
      <c r="AW219" s="213"/>
      <c r="AX219" s="213"/>
      <c r="AY219" s="213"/>
      <c r="AZ219" s="213"/>
      <c r="BA219" s="213"/>
      <c r="BB219" s="213"/>
    </row>
    <row r="220" ht="12.75" customHeight="1" outlineLevel="1">
      <c r="A220" s="235"/>
      <c r="B220" s="236"/>
      <c r="C220" s="243" t="s">
        <v>1218</v>
      </c>
      <c r="D220" s="241"/>
      <c r="E220" s="242">
        <v>22.55</v>
      </c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3"/>
      <c r="Z220" s="213"/>
      <c r="AA220" s="213"/>
      <c r="AB220" s="213"/>
      <c r="AC220" s="213"/>
      <c r="AD220" s="213"/>
      <c r="AE220" s="213"/>
      <c r="AF220" s="213"/>
      <c r="AG220" s="213" t="s">
        <v>228</v>
      </c>
      <c r="AH220" s="213">
        <v>2.0</v>
      </c>
      <c r="AI220" s="213"/>
      <c r="AJ220" s="213"/>
      <c r="AK220" s="213"/>
      <c r="AL220" s="213"/>
      <c r="AM220" s="213"/>
      <c r="AN220" s="213"/>
      <c r="AO220" s="213"/>
      <c r="AP220" s="213"/>
      <c r="AQ220" s="213"/>
      <c r="AR220" s="213"/>
      <c r="AS220" s="213"/>
      <c r="AT220" s="213"/>
      <c r="AU220" s="213"/>
      <c r="AV220" s="213"/>
      <c r="AW220" s="213"/>
      <c r="AX220" s="213"/>
      <c r="AY220" s="213"/>
      <c r="AZ220" s="213"/>
      <c r="BA220" s="213"/>
      <c r="BB220" s="213"/>
    </row>
    <row r="221" ht="12.75" customHeight="1" outlineLevel="1">
      <c r="A221" s="235"/>
      <c r="B221" s="236"/>
      <c r="C221" s="243" t="s">
        <v>1148</v>
      </c>
      <c r="D221" s="241"/>
      <c r="E221" s="24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3"/>
      <c r="Z221" s="213"/>
      <c r="AA221" s="213"/>
      <c r="AB221" s="213"/>
      <c r="AC221" s="213"/>
      <c r="AD221" s="213"/>
      <c r="AE221" s="213"/>
      <c r="AF221" s="213"/>
      <c r="AG221" s="213" t="s">
        <v>228</v>
      </c>
      <c r="AH221" s="213">
        <v>2.0</v>
      </c>
      <c r="AI221" s="213"/>
      <c r="AJ221" s="213"/>
      <c r="AK221" s="213"/>
      <c r="AL221" s="213"/>
      <c r="AM221" s="213"/>
      <c r="AN221" s="213"/>
      <c r="AO221" s="213"/>
      <c r="AP221" s="213"/>
      <c r="AQ221" s="213"/>
      <c r="AR221" s="213"/>
      <c r="AS221" s="213"/>
      <c r="AT221" s="213"/>
      <c r="AU221" s="213"/>
      <c r="AV221" s="213"/>
      <c r="AW221" s="213"/>
      <c r="AX221" s="213"/>
      <c r="AY221" s="213"/>
      <c r="AZ221" s="213"/>
      <c r="BA221" s="213"/>
      <c r="BB221" s="213"/>
    </row>
    <row r="222" ht="12.75" customHeight="1" outlineLevel="1">
      <c r="A222" s="235"/>
      <c r="B222" s="236"/>
      <c r="C222" s="243" t="s">
        <v>1219</v>
      </c>
      <c r="D222" s="241"/>
      <c r="E222" s="242">
        <v>66.19</v>
      </c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3"/>
      <c r="Z222" s="213"/>
      <c r="AA222" s="213"/>
      <c r="AB222" s="213"/>
      <c r="AC222" s="213"/>
      <c r="AD222" s="213"/>
      <c r="AE222" s="213"/>
      <c r="AF222" s="213"/>
      <c r="AG222" s="213" t="s">
        <v>228</v>
      </c>
      <c r="AH222" s="213">
        <v>2.0</v>
      </c>
      <c r="AI222" s="213"/>
      <c r="AJ222" s="213"/>
      <c r="AK222" s="213"/>
      <c r="AL222" s="213"/>
      <c r="AM222" s="213"/>
      <c r="AN222" s="213"/>
      <c r="AO222" s="213"/>
      <c r="AP222" s="213"/>
      <c r="AQ222" s="213"/>
      <c r="AR222" s="213"/>
      <c r="AS222" s="213"/>
      <c r="AT222" s="213"/>
      <c r="AU222" s="213"/>
      <c r="AV222" s="213"/>
      <c r="AW222" s="213"/>
      <c r="AX222" s="213"/>
      <c r="AY222" s="213"/>
      <c r="AZ222" s="213"/>
      <c r="BA222" s="213"/>
      <c r="BB222" s="213"/>
    </row>
    <row r="223" ht="12.75" customHeight="1" outlineLevel="1">
      <c r="A223" s="235"/>
      <c r="B223" s="236"/>
      <c r="C223" s="243" t="s">
        <v>1150</v>
      </c>
      <c r="D223" s="241"/>
      <c r="E223" s="24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3"/>
      <c r="Z223" s="213"/>
      <c r="AA223" s="213"/>
      <c r="AB223" s="213"/>
      <c r="AC223" s="213"/>
      <c r="AD223" s="213"/>
      <c r="AE223" s="213"/>
      <c r="AF223" s="213"/>
      <c r="AG223" s="213" t="s">
        <v>228</v>
      </c>
      <c r="AH223" s="213">
        <v>2.0</v>
      </c>
      <c r="AI223" s="213"/>
      <c r="AJ223" s="213"/>
      <c r="AK223" s="213"/>
      <c r="AL223" s="213"/>
      <c r="AM223" s="213"/>
      <c r="AN223" s="213"/>
      <c r="AO223" s="213"/>
      <c r="AP223" s="213"/>
      <c r="AQ223" s="213"/>
      <c r="AR223" s="213"/>
      <c r="AS223" s="213"/>
      <c r="AT223" s="213"/>
      <c r="AU223" s="213"/>
      <c r="AV223" s="213"/>
      <c r="AW223" s="213"/>
      <c r="AX223" s="213"/>
      <c r="AY223" s="213"/>
      <c r="AZ223" s="213"/>
      <c r="BA223" s="213"/>
      <c r="BB223" s="213"/>
    </row>
    <row r="224" ht="12.75" customHeight="1" outlineLevel="1">
      <c r="A224" s="235"/>
      <c r="B224" s="236"/>
      <c r="C224" s="243" t="s">
        <v>1220</v>
      </c>
      <c r="D224" s="241"/>
      <c r="E224" s="242">
        <v>64.49</v>
      </c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3"/>
      <c r="Z224" s="213"/>
      <c r="AA224" s="213"/>
      <c r="AB224" s="213"/>
      <c r="AC224" s="213"/>
      <c r="AD224" s="213"/>
      <c r="AE224" s="213"/>
      <c r="AF224" s="213"/>
      <c r="AG224" s="213" t="s">
        <v>228</v>
      </c>
      <c r="AH224" s="213">
        <v>2.0</v>
      </c>
      <c r="AI224" s="213"/>
      <c r="AJ224" s="213"/>
      <c r="AK224" s="213"/>
      <c r="AL224" s="213"/>
      <c r="AM224" s="213"/>
      <c r="AN224" s="213"/>
      <c r="AO224" s="213"/>
      <c r="AP224" s="213"/>
      <c r="AQ224" s="213"/>
      <c r="AR224" s="213"/>
      <c r="AS224" s="213"/>
      <c r="AT224" s="213"/>
      <c r="AU224" s="213"/>
      <c r="AV224" s="213"/>
      <c r="AW224" s="213"/>
      <c r="AX224" s="213"/>
      <c r="AY224" s="213"/>
      <c r="AZ224" s="213"/>
      <c r="BA224" s="213"/>
      <c r="BB224" s="213"/>
    </row>
    <row r="225" ht="12.75" customHeight="1" outlineLevel="1">
      <c r="A225" s="235"/>
      <c r="B225" s="236"/>
      <c r="C225" s="243" t="s">
        <v>1152</v>
      </c>
      <c r="D225" s="241"/>
      <c r="E225" s="24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3"/>
      <c r="Z225" s="213"/>
      <c r="AA225" s="213"/>
      <c r="AB225" s="213"/>
      <c r="AC225" s="213"/>
      <c r="AD225" s="213"/>
      <c r="AE225" s="213"/>
      <c r="AF225" s="213"/>
      <c r="AG225" s="213" t="s">
        <v>228</v>
      </c>
      <c r="AH225" s="213">
        <v>2.0</v>
      </c>
      <c r="AI225" s="213"/>
      <c r="AJ225" s="213"/>
      <c r="AK225" s="213"/>
      <c r="AL225" s="213"/>
      <c r="AM225" s="213"/>
      <c r="AN225" s="213"/>
      <c r="AO225" s="213"/>
      <c r="AP225" s="213"/>
      <c r="AQ225" s="213"/>
      <c r="AR225" s="213"/>
      <c r="AS225" s="213"/>
      <c r="AT225" s="213"/>
      <c r="AU225" s="213"/>
      <c r="AV225" s="213"/>
      <c r="AW225" s="213"/>
      <c r="AX225" s="213"/>
      <c r="AY225" s="213"/>
      <c r="AZ225" s="213"/>
      <c r="BA225" s="213"/>
      <c r="BB225" s="213"/>
    </row>
    <row r="226" ht="12.75" customHeight="1" outlineLevel="1">
      <c r="A226" s="235"/>
      <c r="B226" s="236"/>
      <c r="C226" s="243" t="s">
        <v>1221</v>
      </c>
      <c r="D226" s="241"/>
      <c r="E226" s="242">
        <v>21.84</v>
      </c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3"/>
      <c r="Z226" s="213"/>
      <c r="AA226" s="213"/>
      <c r="AB226" s="213"/>
      <c r="AC226" s="213"/>
      <c r="AD226" s="213"/>
      <c r="AE226" s="213"/>
      <c r="AF226" s="213"/>
      <c r="AG226" s="213" t="s">
        <v>228</v>
      </c>
      <c r="AH226" s="213">
        <v>2.0</v>
      </c>
      <c r="AI226" s="213"/>
      <c r="AJ226" s="213"/>
      <c r="AK226" s="213"/>
      <c r="AL226" s="213"/>
      <c r="AM226" s="213"/>
      <c r="AN226" s="213"/>
      <c r="AO226" s="213"/>
      <c r="AP226" s="213"/>
      <c r="AQ226" s="213"/>
      <c r="AR226" s="213"/>
      <c r="AS226" s="213"/>
      <c r="AT226" s="213"/>
      <c r="AU226" s="213"/>
      <c r="AV226" s="213"/>
      <c r="AW226" s="213"/>
      <c r="AX226" s="213"/>
      <c r="AY226" s="213"/>
      <c r="AZ226" s="213"/>
      <c r="BA226" s="213"/>
      <c r="BB226" s="213"/>
    </row>
    <row r="227" ht="12.75" customHeight="1" outlineLevel="1">
      <c r="A227" s="235"/>
      <c r="B227" s="236"/>
      <c r="C227" s="243" t="s">
        <v>1137</v>
      </c>
      <c r="D227" s="241"/>
      <c r="E227" s="24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3"/>
      <c r="Z227" s="213"/>
      <c r="AA227" s="213"/>
      <c r="AB227" s="213"/>
      <c r="AC227" s="213"/>
      <c r="AD227" s="213"/>
      <c r="AE227" s="213"/>
      <c r="AF227" s="213"/>
      <c r="AG227" s="213" t="s">
        <v>228</v>
      </c>
      <c r="AH227" s="213">
        <v>2.0</v>
      </c>
      <c r="AI227" s="213"/>
      <c r="AJ227" s="213"/>
      <c r="AK227" s="213"/>
      <c r="AL227" s="213"/>
      <c r="AM227" s="213"/>
      <c r="AN227" s="213"/>
      <c r="AO227" s="213"/>
      <c r="AP227" s="213"/>
      <c r="AQ227" s="213"/>
      <c r="AR227" s="213"/>
      <c r="AS227" s="213"/>
      <c r="AT227" s="213"/>
      <c r="AU227" s="213"/>
      <c r="AV227" s="213"/>
      <c r="AW227" s="213"/>
      <c r="AX227" s="213"/>
      <c r="AY227" s="213"/>
      <c r="AZ227" s="213"/>
      <c r="BA227" s="213"/>
      <c r="BB227" s="213"/>
    </row>
    <row r="228" ht="12.75" customHeight="1" outlineLevel="1">
      <c r="A228" s="235"/>
      <c r="B228" s="236"/>
      <c r="C228" s="243" t="s">
        <v>1138</v>
      </c>
      <c r="D228" s="241"/>
      <c r="E228" s="242">
        <v>65.17</v>
      </c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3"/>
      <c r="Z228" s="213"/>
      <c r="AA228" s="213"/>
      <c r="AB228" s="213"/>
      <c r="AC228" s="213"/>
      <c r="AD228" s="213"/>
      <c r="AE228" s="213"/>
      <c r="AF228" s="213"/>
      <c r="AG228" s="213" t="s">
        <v>228</v>
      </c>
      <c r="AH228" s="213">
        <v>2.0</v>
      </c>
      <c r="AI228" s="213"/>
      <c r="AJ228" s="213"/>
      <c r="AK228" s="213"/>
      <c r="AL228" s="213"/>
      <c r="AM228" s="213"/>
      <c r="AN228" s="213"/>
      <c r="AO228" s="213"/>
      <c r="AP228" s="213"/>
      <c r="AQ228" s="213"/>
      <c r="AR228" s="213"/>
      <c r="AS228" s="213"/>
      <c r="AT228" s="213"/>
      <c r="AU228" s="213"/>
      <c r="AV228" s="213"/>
      <c r="AW228" s="213"/>
      <c r="AX228" s="213"/>
      <c r="AY228" s="213"/>
      <c r="AZ228" s="213"/>
      <c r="BA228" s="213"/>
      <c r="BB228" s="213"/>
    </row>
    <row r="229" ht="12.75" customHeight="1" outlineLevel="1">
      <c r="A229" s="235"/>
      <c r="B229" s="236"/>
      <c r="C229" s="243" t="s">
        <v>1139</v>
      </c>
      <c r="D229" s="241"/>
      <c r="E229" s="24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3"/>
      <c r="Z229" s="213"/>
      <c r="AA229" s="213"/>
      <c r="AB229" s="213"/>
      <c r="AC229" s="213"/>
      <c r="AD229" s="213"/>
      <c r="AE229" s="213"/>
      <c r="AF229" s="213"/>
      <c r="AG229" s="213" t="s">
        <v>228</v>
      </c>
      <c r="AH229" s="213">
        <v>2.0</v>
      </c>
      <c r="AI229" s="213"/>
      <c r="AJ229" s="213"/>
      <c r="AK229" s="213"/>
      <c r="AL229" s="213"/>
      <c r="AM229" s="213"/>
      <c r="AN229" s="213"/>
      <c r="AO229" s="213"/>
      <c r="AP229" s="213"/>
      <c r="AQ229" s="213"/>
      <c r="AR229" s="213"/>
      <c r="AS229" s="213"/>
      <c r="AT229" s="213"/>
      <c r="AU229" s="213"/>
      <c r="AV229" s="213"/>
      <c r="AW229" s="213"/>
      <c r="AX229" s="213"/>
      <c r="AY229" s="213"/>
      <c r="AZ229" s="213"/>
      <c r="BA229" s="213"/>
      <c r="BB229" s="213"/>
    </row>
    <row r="230" ht="12.75" customHeight="1" outlineLevel="1">
      <c r="A230" s="235"/>
      <c r="B230" s="236"/>
      <c r="C230" s="243" t="s">
        <v>1140</v>
      </c>
      <c r="D230" s="241"/>
      <c r="E230" s="242">
        <v>74.36</v>
      </c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3"/>
      <c r="Z230" s="213"/>
      <c r="AA230" s="213"/>
      <c r="AB230" s="213"/>
      <c r="AC230" s="213"/>
      <c r="AD230" s="213"/>
      <c r="AE230" s="213"/>
      <c r="AF230" s="213"/>
      <c r="AG230" s="213" t="s">
        <v>228</v>
      </c>
      <c r="AH230" s="213">
        <v>2.0</v>
      </c>
      <c r="AI230" s="213"/>
      <c r="AJ230" s="213"/>
      <c r="AK230" s="213"/>
      <c r="AL230" s="213"/>
      <c r="AM230" s="213"/>
      <c r="AN230" s="213"/>
      <c r="AO230" s="213"/>
      <c r="AP230" s="213"/>
      <c r="AQ230" s="213"/>
      <c r="AR230" s="213"/>
      <c r="AS230" s="213"/>
      <c r="AT230" s="213"/>
      <c r="AU230" s="213"/>
      <c r="AV230" s="213"/>
      <c r="AW230" s="213"/>
      <c r="AX230" s="213"/>
      <c r="AY230" s="213"/>
      <c r="AZ230" s="213"/>
      <c r="BA230" s="213"/>
      <c r="BB230" s="213"/>
    </row>
    <row r="231" ht="12.75" customHeight="1" outlineLevel="1">
      <c r="A231" s="235"/>
      <c r="B231" s="236"/>
      <c r="C231" s="243" t="s">
        <v>1222</v>
      </c>
      <c r="D231" s="241"/>
      <c r="E231" s="24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3"/>
      <c r="Z231" s="213"/>
      <c r="AA231" s="213"/>
      <c r="AB231" s="213"/>
      <c r="AC231" s="213"/>
      <c r="AD231" s="213"/>
      <c r="AE231" s="213"/>
      <c r="AF231" s="213"/>
      <c r="AG231" s="213" t="s">
        <v>228</v>
      </c>
      <c r="AH231" s="213">
        <v>2.0</v>
      </c>
      <c r="AI231" s="213"/>
      <c r="AJ231" s="213"/>
      <c r="AK231" s="213"/>
      <c r="AL231" s="213"/>
      <c r="AM231" s="213"/>
      <c r="AN231" s="213"/>
      <c r="AO231" s="213"/>
      <c r="AP231" s="213"/>
      <c r="AQ231" s="213"/>
      <c r="AR231" s="213"/>
      <c r="AS231" s="213"/>
      <c r="AT231" s="213"/>
      <c r="AU231" s="213"/>
      <c r="AV231" s="213"/>
      <c r="AW231" s="213"/>
      <c r="AX231" s="213"/>
      <c r="AY231" s="213"/>
      <c r="AZ231" s="213"/>
      <c r="BA231" s="213"/>
      <c r="BB231" s="213"/>
    </row>
    <row r="232" ht="12.75" customHeight="1" outlineLevel="1">
      <c r="A232" s="235"/>
      <c r="B232" s="236"/>
      <c r="C232" s="243" t="s">
        <v>1223</v>
      </c>
      <c r="D232" s="241"/>
      <c r="E232" s="242">
        <v>121.68</v>
      </c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3"/>
      <c r="Z232" s="213"/>
      <c r="AA232" s="213"/>
      <c r="AB232" s="213"/>
      <c r="AC232" s="213"/>
      <c r="AD232" s="213"/>
      <c r="AE232" s="213"/>
      <c r="AF232" s="213"/>
      <c r="AG232" s="213" t="s">
        <v>228</v>
      </c>
      <c r="AH232" s="213">
        <v>2.0</v>
      </c>
      <c r="AI232" s="213"/>
      <c r="AJ232" s="213"/>
      <c r="AK232" s="213"/>
      <c r="AL232" s="213"/>
      <c r="AM232" s="213"/>
      <c r="AN232" s="213"/>
      <c r="AO232" s="213"/>
      <c r="AP232" s="213"/>
      <c r="AQ232" s="213"/>
      <c r="AR232" s="213"/>
      <c r="AS232" s="213"/>
      <c r="AT232" s="213"/>
      <c r="AU232" s="213"/>
      <c r="AV232" s="213"/>
      <c r="AW232" s="213"/>
      <c r="AX232" s="213"/>
      <c r="AY232" s="213"/>
      <c r="AZ232" s="213"/>
      <c r="BA232" s="213"/>
      <c r="BB232" s="213"/>
    </row>
    <row r="233" ht="12.75" customHeight="1" outlineLevel="1">
      <c r="A233" s="235"/>
      <c r="B233" s="236"/>
      <c r="C233" s="243" t="s">
        <v>1224</v>
      </c>
      <c r="D233" s="241"/>
      <c r="E233" s="24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3"/>
      <c r="Z233" s="213"/>
      <c r="AA233" s="213"/>
      <c r="AB233" s="213"/>
      <c r="AC233" s="213"/>
      <c r="AD233" s="213"/>
      <c r="AE233" s="213"/>
      <c r="AF233" s="213"/>
      <c r="AG233" s="213" t="s">
        <v>228</v>
      </c>
      <c r="AH233" s="213">
        <v>2.0</v>
      </c>
      <c r="AI233" s="213"/>
      <c r="AJ233" s="213"/>
      <c r="AK233" s="213"/>
      <c r="AL233" s="213"/>
      <c r="AM233" s="213"/>
      <c r="AN233" s="213"/>
      <c r="AO233" s="213"/>
      <c r="AP233" s="213"/>
      <c r="AQ233" s="213"/>
      <c r="AR233" s="213"/>
      <c r="AS233" s="213"/>
      <c r="AT233" s="213"/>
      <c r="AU233" s="213"/>
      <c r="AV233" s="213"/>
      <c r="AW233" s="213"/>
      <c r="AX233" s="213"/>
      <c r="AY233" s="213"/>
      <c r="AZ233" s="213"/>
      <c r="BA233" s="213"/>
      <c r="BB233" s="213"/>
    </row>
    <row r="234" ht="12.75" customHeight="1" outlineLevel="1">
      <c r="A234" s="235"/>
      <c r="B234" s="236"/>
      <c r="C234" s="243" t="s">
        <v>1225</v>
      </c>
      <c r="D234" s="241"/>
      <c r="E234" s="242">
        <v>19.02</v>
      </c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3"/>
      <c r="Z234" s="213"/>
      <c r="AA234" s="213"/>
      <c r="AB234" s="213"/>
      <c r="AC234" s="213"/>
      <c r="AD234" s="213"/>
      <c r="AE234" s="213"/>
      <c r="AF234" s="213"/>
      <c r="AG234" s="213" t="s">
        <v>228</v>
      </c>
      <c r="AH234" s="213">
        <v>2.0</v>
      </c>
      <c r="AI234" s="213"/>
      <c r="AJ234" s="213"/>
      <c r="AK234" s="213"/>
      <c r="AL234" s="213"/>
      <c r="AM234" s="213"/>
      <c r="AN234" s="213"/>
      <c r="AO234" s="213"/>
      <c r="AP234" s="213"/>
      <c r="AQ234" s="213"/>
      <c r="AR234" s="213"/>
      <c r="AS234" s="213"/>
      <c r="AT234" s="213"/>
      <c r="AU234" s="213"/>
      <c r="AV234" s="213"/>
      <c r="AW234" s="213"/>
      <c r="AX234" s="213"/>
      <c r="AY234" s="213"/>
      <c r="AZ234" s="213"/>
      <c r="BA234" s="213"/>
      <c r="BB234" s="213"/>
    </row>
    <row r="235" ht="12.75" customHeight="1" outlineLevel="1">
      <c r="A235" s="235"/>
      <c r="B235" s="236"/>
      <c r="C235" s="243" t="s">
        <v>1226</v>
      </c>
      <c r="D235" s="241"/>
      <c r="E235" s="242">
        <v>3.4</v>
      </c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3"/>
      <c r="Z235" s="213"/>
      <c r="AA235" s="213"/>
      <c r="AB235" s="213"/>
      <c r="AC235" s="213"/>
      <c r="AD235" s="213"/>
      <c r="AE235" s="213"/>
      <c r="AF235" s="213"/>
      <c r="AG235" s="213" t="s">
        <v>228</v>
      </c>
      <c r="AH235" s="213">
        <v>2.0</v>
      </c>
      <c r="AI235" s="213"/>
      <c r="AJ235" s="213"/>
      <c r="AK235" s="213"/>
      <c r="AL235" s="213"/>
      <c r="AM235" s="213"/>
      <c r="AN235" s="213"/>
      <c r="AO235" s="213"/>
      <c r="AP235" s="213"/>
      <c r="AQ235" s="213"/>
      <c r="AR235" s="213"/>
      <c r="AS235" s="213"/>
      <c r="AT235" s="213"/>
      <c r="AU235" s="213"/>
      <c r="AV235" s="213"/>
      <c r="AW235" s="213"/>
      <c r="AX235" s="213"/>
      <c r="AY235" s="213"/>
      <c r="AZ235" s="213"/>
      <c r="BA235" s="213"/>
      <c r="BB235" s="213"/>
    </row>
    <row r="236" ht="12.75" customHeight="1" outlineLevel="1">
      <c r="A236" s="235"/>
      <c r="B236" s="236"/>
      <c r="C236" s="243" t="s">
        <v>1227</v>
      </c>
      <c r="D236" s="241"/>
      <c r="E236" s="242">
        <v>1.8</v>
      </c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3"/>
      <c r="Z236" s="213"/>
      <c r="AA236" s="213"/>
      <c r="AB236" s="213"/>
      <c r="AC236" s="213"/>
      <c r="AD236" s="213"/>
      <c r="AE236" s="213"/>
      <c r="AF236" s="213"/>
      <c r="AG236" s="213" t="s">
        <v>228</v>
      </c>
      <c r="AH236" s="213">
        <v>2.0</v>
      </c>
      <c r="AI236" s="213"/>
      <c r="AJ236" s="213"/>
      <c r="AK236" s="213"/>
      <c r="AL236" s="213"/>
      <c r="AM236" s="213"/>
      <c r="AN236" s="213"/>
      <c r="AO236" s="213"/>
      <c r="AP236" s="213"/>
      <c r="AQ236" s="213"/>
      <c r="AR236" s="213"/>
      <c r="AS236" s="213"/>
      <c r="AT236" s="213"/>
      <c r="AU236" s="213"/>
      <c r="AV236" s="213"/>
      <c r="AW236" s="213"/>
      <c r="AX236" s="213"/>
      <c r="AY236" s="213"/>
      <c r="AZ236" s="213"/>
      <c r="BA236" s="213"/>
      <c r="BB236" s="213"/>
    </row>
    <row r="237" ht="12.75" customHeight="1" outlineLevel="1">
      <c r="A237" s="235"/>
      <c r="B237" s="236"/>
      <c r="C237" s="243" t="s">
        <v>1227</v>
      </c>
      <c r="D237" s="241"/>
      <c r="E237" s="242">
        <v>1.8</v>
      </c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3"/>
      <c r="Z237" s="213"/>
      <c r="AA237" s="213"/>
      <c r="AB237" s="213"/>
      <c r="AC237" s="213"/>
      <c r="AD237" s="213"/>
      <c r="AE237" s="213"/>
      <c r="AF237" s="213"/>
      <c r="AG237" s="213" t="s">
        <v>228</v>
      </c>
      <c r="AH237" s="213">
        <v>2.0</v>
      </c>
      <c r="AI237" s="213"/>
      <c r="AJ237" s="213"/>
      <c r="AK237" s="213"/>
      <c r="AL237" s="213"/>
      <c r="AM237" s="213"/>
      <c r="AN237" s="213"/>
      <c r="AO237" s="213"/>
      <c r="AP237" s="213"/>
      <c r="AQ237" s="213"/>
      <c r="AR237" s="213"/>
      <c r="AS237" s="213"/>
      <c r="AT237" s="213"/>
      <c r="AU237" s="213"/>
      <c r="AV237" s="213"/>
      <c r="AW237" s="213"/>
      <c r="AX237" s="213"/>
      <c r="AY237" s="213"/>
      <c r="AZ237" s="213"/>
      <c r="BA237" s="213"/>
      <c r="BB237" s="213"/>
    </row>
    <row r="238" ht="12.75" customHeight="1" outlineLevel="1">
      <c r="A238" s="235"/>
      <c r="B238" s="236"/>
      <c r="C238" s="240" t="s">
        <v>238</v>
      </c>
      <c r="D238" s="241"/>
      <c r="E238" s="24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3"/>
      <c r="Z238" s="213"/>
      <c r="AA238" s="213"/>
      <c r="AB238" s="213"/>
      <c r="AC238" s="213"/>
      <c r="AD238" s="213"/>
      <c r="AE238" s="213"/>
      <c r="AF238" s="213"/>
      <c r="AG238" s="213" t="s">
        <v>228</v>
      </c>
      <c r="AH238" s="213"/>
      <c r="AI238" s="213"/>
      <c r="AJ238" s="213"/>
      <c r="AK238" s="213"/>
      <c r="AL238" s="213"/>
      <c r="AM238" s="213"/>
      <c r="AN238" s="213"/>
      <c r="AO238" s="213"/>
      <c r="AP238" s="213"/>
      <c r="AQ238" s="213"/>
      <c r="AR238" s="213"/>
      <c r="AS238" s="213"/>
      <c r="AT238" s="213"/>
      <c r="AU238" s="213"/>
      <c r="AV238" s="213"/>
      <c r="AW238" s="213"/>
      <c r="AX238" s="213"/>
      <c r="AY238" s="213"/>
      <c r="AZ238" s="213"/>
      <c r="BA238" s="213"/>
      <c r="BB238" s="213"/>
    </row>
    <row r="239" ht="12.75" customHeight="1" outlineLevel="1">
      <c r="A239" s="235"/>
      <c r="B239" s="236"/>
      <c r="C239" s="237" t="s">
        <v>1228</v>
      </c>
      <c r="D239" s="238"/>
      <c r="E239" s="239">
        <v>878.38</v>
      </c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3"/>
      <c r="Z239" s="213"/>
      <c r="AA239" s="213"/>
      <c r="AB239" s="213"/>
      <c r="AC239" s="213"/>
      <c r="AD239" s="213"/>
      <c r="AE239" s="213"/>
      <c r="AF239" s="213"/>
      <c r="AG239" s="213" t="s">
        <v>228</v>
      </c>
      <c r="AH239" s="213">
        <v>0.0</v>
      </c>
      <c r="AI239" s="213"/>
      <c r="AJ239" s="213"/>
      <c r="AK239" s="213"/>
      <c r="AL239" s="213"/>
      <c r="AM239" s="213"/>
      <c r="AN239" s="213"/>
      <c r="AO239" s="213"/>
      <c r="AP239" s="213"/>
      <c r="AQ239" s="213"/>
      <c r="AR239" s="213"/>
      <c r="AS239" s="213"/>
      <c r="AT239" s="213"/>
      <c r="AU239" s="213"/>
      <c r="AV239" s="213"/>
      <c r="AW239" s="213"/>
      <c r="AX239" s="213"/>
      <c r="AY239" s="213"/>
      <c r="AZ239" s="213"/>
      <c r="BA239" s="213"/>
      <c r="BB239" s="213"/>
    </row>
    <row r="240" ht="12.75" customHeight="1" outlineLevel="1">
      <c r="A240" s="214">
        <v>22.0</v>
      </c>
      <c r="B240" s="215" t="s">
        <v>620</v>
      </c>
      <c r="C240" s="216" t="s">
        <v>621</v>
      </c>
      <c r="D240" s="217" t="s">
        <v>321</v>
      </c>
      <c r="E240" s="218">
        <v>489.3518</v>
      </c>
      <c r="F240" s="219">
        <v>263.89</v>
      </c>
      <c r="G240" s="220">
        <f>ROUND(E240*F240,2)</f>
        <v>129135.05</v>
      </c>
      <c r="H240" s="211"/>
      <c r="I240" s="212">
        <f>ROUND(E240*H240,2)</f>
        <v>0</v>
      </c>
      <c r="J240" s="211"/>
      <c r="K240" s="212">
        <f>ROUND(E240*J240,2)</f>
        <v>0</v>
      </c>
      <c r="L240" s="212">
        <v>21.0</v>
      </c>
      <c r="M240" s="212">
        <f>G240*(1+L240/100)</f>
        <v>156253.4105</v>
      </c>
      <c r="N240" s="212">
        <v>1.0</v>
      </c>
      <c r="O240" s="212">
        <f>ROUND(E240*N240,2)</f>
        <v>489.35</v>
      </c>
      <c r="P240" s="212">
        <v>0.0</v>
      </c>
      <c r="Q240" s="212">
        <f>ROUND(E240*P240,2)</f>
        <v>0</v>
      </c>
      <c r="R240" s="212" t="s">
        <v>322</v>
      </c>
      <c r="S240" s="212" t="s">
        <v>184</v>
      </c>
      <c r="T240" s="212" t="s">
        <v>184</v>
      </c>
      <c r="U240" s="212">
        <v>0.0</v>
      </c>
      <c r="V240" s="212">
        <f>ROUND(E240*U240,2)</f>
        <v>0</v>
      </c>
      <c r="W240" s="212"/>
      <c r="X240" s="212" t="s">
        <v>323</v>
      </c>
      <c r="Y240" s="213"/>
      <c r="Z240" s="213"/>
      <c r="AA240" s="213"/>
      <c r="AB240" s="213"/>
      <c r="AC240" s="213"/>
      <c r="AD240" s="213"/>
      <c r="AE240" s="213"/>
      <c r="AF240" s="213"/>
      <c r="AG240" s="213" t="s">
        <v>324</v>
      </c>
      <c r="AH240" s="213"/>
      <c r="AI240" s="213"/>
      <c r="AJ240" s="213"/>
      <c r="AK240" s="213"/>
      <c r="AL240" s="213"/>
      <c r="AM240" s="213"/>
      <c r="AN240" s="213"/>
      <c r="AO240" s="213"/>
      <c r="AP240" s="213"/>
      <c r="AQ240" s="213"/>
      <c r="AR240" s="213"/>
      <c r="AS240" s="213"/>
      <c r="AT240" s="213"/>
      <c r="AU240" s="213"/>
      <c r="AV240" s="213"/>
      <c r="AW240" s="213"/>
      <c r="AX240" s="213"/>
      <c r="AY240" s="213"/>
      <c r="AZ240" s="213"/>
      <c r="BA240" s="213"/>
      <c r="BB240" s="213"/>
    </row>
    <row r="241" ht="12.75" customHeight="1" outlineLevel="1">
      <c r="A241" s="235"/>
      <c r="B241" s="236"/>
      <c r="C241" s="237" t="s">
        <v>1165</v>
      </c>
      <c r="D241" s="238"/>
      <c r="E241" s="239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3"/>
      <c r="Z241" s="213"/>
      <c r="AA241" s="213"/>
      <c r="AB241" s="213"/>
      <c r="AC241" s="213"/>
      <c r="AD241" s="213"/>
      <c r="AE241" s="213"/>
      <c r="AF241" s="213"/>
      <c r="AG241" s="213" t="s">
        <v>228</v>
      </c>
      <c r="AH241" s="213">
        <v>0.0</v>
      </c>
      <c r="AI241" s="213"/>
      <c r="AJ241" s="213"/>
      <c r="AK241" s="213"/>
      <c r="AL241" s="213"/>
      <c r="AM241" s="213"/>
      <c r="AN241" s="213"/>
      <c r="AO241" s="213"/>
      <c r="AP241" s="213"/>
      <c r="AQ241" s="213"/>
      <c r="AR241" s="213"/>
      <c r="AS241" s="213"/>
      <c r="AT241" s="213"/>
      <c r="AU241" s="213"/>
      <c r="AV241" s="213"/>
      <c r="AW241" s="213"/>
      <c r="AX241" s="213"/>
      <c r="AY241" s="213"/>
      <c r="AZ241" s="213"/>
      <c r="BA241" s="213"/>
      <c r="BB241" s="213"/>
    </row>
    <row r="242" ht="12.75" customHeight="1" outlineLevel="1">
      <c r="A242" s="235"/>
      <c r="B242" s="236"/>
      <c r="C242" s="240" t="s">
        <v>236</v>
      </c>
      <c r="D242" s="241"/>
      <c r="E242" s="24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3"/>
      <c r="Z242" s="213"/>
      <c r="AA242" s="213"/>
      <c r="AB242" s="213"/>
      <c r="AC242" s="213"/>
      <c r="AD242" s="213"/>
      <c r="AE242" s="213"/>
      <c r="AF242" s="213"/>
      <c r="AG242" s="213" t="s">
        <v>228</v>
      </c>
      <c r="AH242" s="213"/>
      <c r="AI242" s="213"/>
      <c r="AJ242" s="213"/>
      <c r="AK242" s="213"/>
      <c r="AL242" s="213"/>
      <c r="AM242" s="213"/>
      <c r="AN242" s="213"/>
      <c r="AO242" s="213"/>
      <c r="AP242" s="213"/>
      <c r="AQ242" s="213"/>
      <c r="AR242" s="213"/>
      <c r="AS242" s="213"/>
      <c r="AT242" s="213"/>
      <c r="AU242" s="213"/>
      <c r="AV242" s="213"/>
      <c r="AW242" s="213"/>
      <c r="AX242" s="213"/>
      <c r="AY242" s="213"/>
      <c r="AZ242" s="213"/>
      <c r="BA242" s="213"/>
      <c r="BB242" s="213"/>
    </row>
    <row r="243" ht="12.75" customHeight="1" outlineLevel="1">
      <c r="A243" s="235"/>
      <c r="B243" s="236"/>
      <c r="C243" s="243" t="s">
        <v>1229</v>
      </c>
      <c r="D243" s="241"/>
      <c r="E243" s="242">
        <v>19.33</v>
      </c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3"/>
      <c r="Z243" s="213"/>
      <c r="AA243" s="213"/>
      <c r="AB243" s="213"/>
      <c r="AC243" s="213"/>
      <c r="AD243" s="213"/>
      <c r="AE243" s="213"/>
      <c r="AF243" s="213"/>
      <c r="AG243" s="213" t="s">
        <v>228</v>
      </c>
      <c r="AH243" s="213">
        <v>2.0</v>
      </c>
      <c r="AI243" s="213"/>
      <c r="AJ243" s="213"/>
      <c r="AK243" s="213"/>
      <c r="AL243" s="213"/>
      <c r="AM243" s="213"/>
      <c r="AN243" s="213"/>
      <c r="AO243" s="213"/>
      <c r="AP243" s="213"/>
      <c r="AQ243" s="213"/>
      <c r="AR243" s="213"/>
      <c r="AS243" s="213"/>
      <c r="AT243" s="213"/>
      <c r="AU243" s="213"/>
      <c r="AV243" s="213"/>
      <c r="AW243" s="213"/>
      <c r="AX243" s="213"/>
      <c r="AY243" s="213"/>
      <c r="AZ243" s="213"/>
      <c r="BA243" s="213"/>
      <c r="BB243" s="213"/>
    </row>
    <row r="244" ht="12.75" customHeight="1" outlineLevel="1">
      <c r="A244" s="235"/>
      <c r="B244" s="236"/>
      <c r="C244" s="240" t="s">
        <v>238</v>
      </c>
      <c r="D244" s="241"/>
      <c r="E244" s="24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3"/>
      <c r="Z244" s="213"/>
      <c r="AA244" s="213"/>
      <c r="AB244" s="213"/>
      <c r="AC244" s="213"/>
      <c r="AD244" s="213"/>
      <c r="AE244" s="213"/>
      <c r="AF244" s="213"/>
      <c r="AG244" s="213" t="s">
        <v>228</v>
      </c>
      <c r="AH244" s="213"/>
      <c r="AI244" s="213"/>
      <c r="AJ244" s="213"/>
      <c r="AK244" s="213"/>
      <c r="AL244" s="213"/>
      <c r="AM244" s="213"/>
      <c r="AN244" s="213"/>
      <c r="AO244" s="213"/>
      <c r="AP244" s="213"/>
      <c r="AQ244" s="213"/>
      <c r="AR244" s="213"/>
      <c r="AS244" s="213"/>
      <c r="AT244" s="213"/>
      <c r="AU244" s="213"/>
      <c r="AV244" s="213"/>
      <c r="AW244" s="213"/>
      <c r="AX244" s="213"/>
      <c r="AY244" s="213"/>
      <c r="AZ244" s="213"/>
      <c r="BA244" s="213"/>
      <c r="BB244" s="213"/>
    </row>
    <row r="245" ht="12.75" customHeight="1" outlineLevel="1">
      <c r="A245" s="235"/>
      <c r="B245" s="236"/>
      <c r="C245" s="237" t="s">
        <v>1230</v>
      </c>
      <c r="D245" s="238"/>
      <c r="E245" s="239">
        <v>36.54</v>
      </c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3"/>
      <c r="Z245" s="213"/>
      <c r="AA245" s="213"/>
      <c r="AB245" s="213"/>
      <c r="AC245" s="213"/>
      <c r="AD245" s="213"/>
      <c r="AE245" s="213"/>
      <c r="AF245" s="213"/>
      <c r="AG245" s="213" t="s">
        <v>228</v>
      </c>
      <c r="AH245" s="213">
        <v>0.0</v>
      </c>
      <c r="AI245" s="213"/>
      <c r="AJ245" s="213"/>
      <c r="AK245" s="213"/>
      <c r="AL245" s="213"/>
      <c r="AM245" s="213"/>
      <c r="AN245" s="213"/>
      <c r="AO245" s="213"/>
      <c r="AP245" s="213"/>
      <c r="AQ245" s="213"/>
      <c r="AR245" s="213"/>
      <c r="AS245" s="213"/>
      <c r="AT245" s="213"/>
      <c r="AU245" s="213"/>
      <c r="AV245" s="213"/>
      <c r="AW245" s="213"/>
      <c r="AX245" s="213"/>
      <c r="AY245" s="213"/>
      <c r="AZ245" s="213"/>
      <c r="BA245" s="213"/>
      <c r="BB245" s="213"/>
    </row>
    <row r="246" ht="12.75" customHeight="1" outlineLevel="1">
      <c r="A246" s="235"/>
      <c r="B246" s="236"/>
      <c r="C246" s="237" t="s">
        <v>1167</v>
      </c>
      <c r="D246" s="238"/>
      <c r="E246" s="239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3"/>
      <c r="Z246" s="213"/>
      <c r="AA246" s="213"/>
      <c r="AB246" s="213"/>
      <c r="AC246" s="213"/>
      <c r="AD246" s="213"/>
      <c r="AE246" s="213"/>
      <c r="AF246" s="213"/>
      <c r="AG246" s="213" t="s">
        <v>228</v>
      </c>
      <c r="AH246" s="213">
        <v>0.0</v>
      </c>
      <c r="AI246" s="213"/>
      <c r="AJ246" s="213"/>
      <c r="AK246" s="213"/>
      <c r="AL246" s="213"/>
      <c r="AM246" s="213"/>
      <c r="AN246" s="213"/>
      <c r="AO246" s="213"/>
      <c r="AP246" s="213"/>
      <c r="AQ246" s="213"/>
      <c r="AR246" s="213"/>
      <c r="AS246" s="213"/>
      <c r="AT246" s="213"/>
      <c r="AU246" s="213"/>
      <c r="AV246" s="213"/>
      <c r="AW246" s="213"/>
      <c r="AX246" s="213"/>
      <c r="AY246" s="213"/>
      <c r="AZ246" s="213"/>
      <c r="BA246" s="213"/>
      <c r="BB246" s="213"/>
    </row>
    <row r="247" ht="12.75" customHeight="1" outlineLevel="1">
      <c r="A247" s="235"/>
      <c r="B247" s="236"/>
      <c r="C247" s="240" t="s">
        <v>236</v>
      </c>
      <c r="D247" s="241"/>
      <c r="E247" s="24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3"/>
      <c r="Z247" s="213"/>
      <c r="AA247" s="213"/>
      <c r="AB247" s="213"/>
      <c r="AC247" s="213"/>
      <c r="AD247" s="213"/>
      <c r="AE247" s="213"/>
      <c r="AF247" s="213"/>
      <c r="AG247" s="213" t="s">
        <v>228</v>
      </c>
      <c r="AH247" s="213"/>
      <c r="AI247" s="213"/>
      <c r="AJ247" s="213"/>
      <c r="AK247" s="213"/>
      <c r="AL247" s="213"/>
      <c r="AM247" s="213"/>
      <c r="AN247" s="213"/>
      <c r="AO247" s="213"/>
      <c r="AP247" s="213"/>
      <c r="AQ247" s="213"/>
      <c r="AR247" s="213"/>
      <c r="AS247" s="213"/>
      <c r="AT247" s="213"/>
      <c r="AU247" s="213"/>
      <c r="AV247" s="213"/>
      <c r="AW247" s="213"/>
      <c r="AX247" s="213"/>
      <c r="AY247" s="213"/>
      <c r="AZ247" s="213"/>
      <c r="BA247" s="213"/>
      <c r="BB247" s="213"/>
    </row>
    <row r="248" ht="12.75" customHeight="1" outlineLevel="1">
      <c r="A248" s="235"/>
      <c r="B248" s="236"/>
      <c r="C248" s="243" t="s">
        <v>1231</v>
      </c>
      <c r="D248" s="241"/>
      <c r="E248" s="242">
        <v>56.74</v>
      </c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3"/>
      <c r="Z248" s="213"/>
      <c r="AA248" s="213"/>
      <c r="AB248" s="213"/>
      <c r="AC248" s="213"/>
      <c r="AD248" s="213"/>
      <c r="AE248" s="213"/>
      <c r="AF248" s="213"/>
      <c r="AG248" s="213" t="s">
        <v>228</v>
      </c>
      <c r="AH248" s="213">
        <v>2.0</v>
      </c>
      <c r="AI248" s="213"/>
      <c r="AJ248" s="213"/>
      <c r="AK248" s="213"/>
      <c r="AL248" s="213"/>
      <c r="AM248" s="213"/>
      <c r="AN248" s="213"/>
      <c r="AO248" s="213"/>
      <c r="AP248" s="213"/>
      <c r="AQ248" s="213"/>
      <c r="AR248" s="213"/>
      <c r="AS248" s="213"/>
      <c r="AT248" s="213"/>
      <c r="AU248" s="213"/>
      <c r="AV248" s="213"/>
      <c r="AW248" s="213"/>
      <c r="AX248" s="213"/>
      <c r="AY248" s="213"/>
      <c r="AZ248" s="213"/>
      <c r="BA248" s="213"/>
      <c r="BB248" s="213"/>
    </row>
    <row r="249" ht="12.75" customHeight="1" outlineLevel="1">
      <c r="A249" s="235"/>
      <c r="B249" s="236"/>
      <c r="C249" s="240" t="s">
        <v>238</v>
      </c>
      <c r="D249" s="241"/>
      <c r="E249" s="24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3"/>
      <c r="Z249" s="213"/>
      <c r="AA249" s="213"/>
      <c r="AB249" s="213"/>
      <c r="AC249" s="213"/>
      <c r="AD249" s="213"/>
      <c r="AE249" s="213"/>
      <c r="AF249" s="213"/>
      <c r="AG249" s="213" t="s">
        <v>228</v>
      </c>
      <c r="AH249" s="213"/>
      <c r="AI249" s="213"/>
      <c r="AJ249" s="213"/>
      <c r="AK249" s="213"/>
      <c r="AL249" s="213"/>
      <c r="AM249" s="213"/>
      <c r="AN249" s="213"/>
      <c r="AO249" s="213"/>
      <c r="AP249" s="213"/>
      <c r="AQ249" s="213"/>
      <c r="AR249" s="213"/>
      <c r="AS249" s="213"/>
      <c r="AT249" s="213"/>
      <c r="AU249" s="213"/>
      <c r="AV249" s="213"/>
      <c r="AW249" s="213"/>
      <c r="AX249" s="213"/>
      <c r="AY249" s="213"/>
      <c r="AZ249" s="213"/>
      <c r="BA249" s="213"/>
      <c r="BB249" s="213"/>
    </row>
    <row r="250" ht="12.75" customHeight="1" outlineLevel="1">
      <c r="A250" s="235"/>
      <c r="B250" s="236"/>
      <c r="C250" s="237" t="s">
        <v>1232</v>
      </c>
      <c r="D250" s="238"/>
      <c r="E250" s="239">
        <v>107.23</v>
      </c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3"/>
      <c r="Z250" s="213"/>
      <c r="AA250" s="213"/>
      <c r="AB250" s="213"/>
      <c r="AC250" s="213"/>
      <c r="AD250" s="213"/>
      <c r="AE250" s="213"/>
      <c r="AF250" s="213"/>
      <c r="AG250" s="213" t="s">
        <v>228</v>
      </c>
      <c r="AH250" s="213">
        <v>0.0</v>
      </c>
      <c r="AI250" s="213"/>
      <c r="AJ250" s="213"/>
      <c r="AK250" s="213"/>
      <c r="AL250" s="213"/>
      <c r="AM250" s="213"/>
      <c r="AN250" s="213"/>
      <c r="AO250" s="213"/>
      <c r="AP250" s="213"/>
      <c r="AQ250" s="213"/>
      <c r="AR250" s="213"/>
      <c r="AS250" s="213"/>
      <c r="AT250" s="213"/>
      <c r="AU250" s="213"/>
      <c r="AV250" s="213"/>
      <c r="AW250" s="213"/>
      <c r="AX250" s="213"/>
      <c r="AY250" s="213"/>
      <c r="AZ250" s="213"/>
      <c r="BA250" s="213"/>
      <c r="BB250" s="213"/>
    </row>
    <row r="251" ht="12.75" customHeight="1" outlineLevel="1">
      <c r="A251" s="235"/>
      <c r="B251" s="236"/>
      <c r="C251" s="237" t="s">
        <v>1169</v>
      </c>
      <c r="D251" s="238"/>
      <c r="E251" s="239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3"/>
      <c r="Z251" s="213"/>
      <c r="AA251" s="213"/>
      <c r="AB251" s="213"/>
      <c r="AC251" s="213"/>
      <c r="AD251" s="213"/>
      <c r="AE251" s="213"/>
      <c r="AF251" s="213"/>
      <c r="AG251" s="213" t="s">
        <v>228</v>
      </c>
      <c r="AH251" s="213">
        <v>0.0</v>
      </c>
      <c r="AI251" s="213"/>
      <c r="AJ251" s="213"/>
      <c r="AK251" s="213"/>
      <c r="AL251" s="213"/>
      <c r="AM251" s="213"/>
      <c r="AN251" s="213"/>
      <c r="AO251" s="213"/>
      <c r="AP251" s="213"/>
      <c r="AQ251" s="213"/>
      <c r="AR251" s="213"/>
      <c r="AS251" s="213"/>
      <c r="AT251" s="213"/>
      <c r="AU251" s="213"/>
      <c r="AV251" s="213"/>
      <c r="AW251" s="213"/>
      <c r="AX251" s="213"/>
      <c r="AY251" s="213"/>
      <c r="AZ251" s="213"/>
      <c r="BA251" s="213"/>
      <c r="BB251" s="213"/>
    </row>
    <row r="252" ht="12.75" customHeight="1" outlineLevel="1">
      <c r="A252" s="235"/>
      <c r="B252" s="236"/>
      <c r="C252" s="240" t="s">
        <v>236</v>
      </c>
      <c r="D252" s="241"/>
      <c r="E252" s="24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3"/>
      <c r="Z252" s="213"/>
      <c r="AA252" s="213"/>
      <c r="AB252" s="213"/>
      <c r="AC252" s="213"/>
      <c r="AD252" s="213"/>
      <c r="AE252" s="213"/>
      <c r="AF252" s="213"/>
      <c r="AG252" s="213" t="s">
        <v>228</v>
      </c>
      <c r="AH252" s="213"/>
      <c r="AI252" s="213"/>
      <c r="AJ252" s="213"/>
      <c r="AK252" s="213"/>
      <c r="AL252" s="213"/>
      <c r="AM252" s="213"/>
      <c r="AN252" s="213"/>
      <c r="AO252" s="213"/>
      <c r="AP252" s="213"/>
      <c r="AQ252" s="213"/>
      <c r="AR252" s="213"/>
      <c r="AS252" s="213"/>
      <c r="AT252" s="213"/>
      <c r="AU252" s="213"/>
      <c r="AV252" s="213"/>
      <c r="AW252" s="213"/>
      <c r="AX252" s="213"/>
      <c r="AY252" s="213"/>
      <c r="AZ252" s="213"/>
      <c r="BA252" s="213"/>
      <c r="BB252" s="213"/>
    </row>
    <row r="253" ht="12.75" customHeight="1" outlineLevel="1">
      <c r="A253" s="235"/>
      <c r="B253" s="236"/>
      <c r="C253" s="243" t="s">
        <v>1233</v>
      </c>
      <c r="D253" s="241"/>
      <c r="E253" s="242">
        <v>55.27</v>
      </c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3"/>
      <c r="Z253" s="213"/>
      <c r="AA253" s="213"/>
      <c r="AB253" s="213"/>
      <c r="AC253" s="213"/>
      <c r="AD253" s="213"/>
      <c r="AE253" s="213"/>
      <c r="AF253" s="213"/>
      <c r="AG253" s="213" t="s">
        <v>228</v>
      </c>
      <c r="AH253" s="213">
        <v>2.0</v>
      </c>
      <c r="AI253" s="213"/>
      <c r="AJ253" s="213"/>
      <c r="AK253" s="213"/>
      <c r="AL253" s="213"/>
      <c r="AM253" s="213"/>
      <c r="AN253" s="213"/>
      <c r="AO253" s="213"/>
      <c r="AP253" s="213"/>
      <c r="AQ253" s="213"/>
      <c r="AR253" s="213"/>
      <c r="AS253" s="213"/>
      <c r="AT253" s="213"/>
      <c r="AU253" s="213"/>
      <c r="AV253" s="213"/>
      <c r="AW253" s="213"/>
      <c r="AX253" s="213"/>
      <c r="AY253" s="213"/>
      <c r="AZ253" s="213"/>
      <c r="BA253" s="213"/>
      <c r="BB253" s="213"/>
    </row>
    <row r="254" ht="12.75" customHeight="1" outlineLevel="1">
      <c r="A254" s="235"/>
      <c r="B254" s="236"/>
      <c r="C254" s="240" t="s">
        <v>238</v>
      </c>
      <c r="D254" s="241"/>
      <c r="E254" s="24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3"/>
      <c r="Z254" s="213"/>
      <c r="AA254" s="213"/>
      <c r="AB254" s="213"/>
      <c r="AC254" s="213"/>
      <c r="AD254" s="213"/>
      <c r="AE254" s="213"/>
      <c r="AF254" s="213"/>
      <c r="AG254" s="213" t="s">
        <v>228</v>
      </c>
      <c r="AH254" s="213"/>
      <c r="AI254" s="213"/>
      <c r="AJ254" s="213"/>
      <c r="AK254" s="213"/>
      <c r="AL254" s="213"/>
      <c r="AM254" s="213"/>
      <c r="AN254" s="213"/>
      <c r="AO254" s="213"/>
      <c r="AP254" s="213"/>
      <c r="AQ254" s="213"/>
      <c r="AR254" s="213"/>
      <c r="AS254" s="213"/>
      <c r="AT254" s="213"/>
      <c r="AU254" s="213"/>
      <c r="AV254" s="213"/>
      <c r="AW254" s="213"/>
      <c r="AX254" s="213"/>
      <c r="AY254" s="213"/>
      <c r="AZ254" s="213"/>
      <c r="BA254" s="213"/>
      <c r="BB254" s="213"/>
    </row>
    <row r="255" ht="12.75" customHeight="1" outlineLevel="1">
      <c r="A255" s="235"/>
      <c r="B255" s="236"/>
      <c r="C255" s="237" t="s">
        <v>1234</v>
      </c>
      <c r="D255" s="238"/>
      <c r="E255" s="239">
        <v>104.47</v>
      </c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3"/>
      <c r="Z255" s="213"/>
      <c r="AA255" s="213"/>
      <c r="AB255" s="213"/>
      <c r="AC255" s="213"/>
      <c r="AD255" s="213"/>
      <c r="AE255" s="213"/>
      <c r="AF255" s="213"/>
      <c r="AG255" s="213" t="s">
        <v>228</v>
      </c>
      <c r="AH255" s="213">
        <v>0.0</v>
      </c>
      <c r="AI255" s="213"/>
      <c r="AJ255" s="213"/>
      <c r="AK255" s="213"/>
      <c r="AL255" s="213"/>
      <c r="AM255" s="213"/>
      <c r="AN255" s="213"/>
      <c r="AO255" s="213"/>
      <c r="AP255" s="213"/>
      <c r="AQ255" s="213"/>
      <c r="AR255" s="213"/>
      <c r="AS255" s="213"/>
      <c r="AT255" s="213"/>
      <c r="AU255" s="213"/>
      <c r="AV255" s="213"/>
      <c r="AW255" s="213"/>
      <c r="AX255" s="213"/>
      <c r="AY255" s="213"/>
      <c r="AZ255" s="213"/>
      <c r="BA255" s="213"/>
      <c r="BB255" s="213"/>
    </row>
    <row r="256" ht="12.75" customHeight="1" outlineLevel="1">
      <c r="A256" s="235"/>
      <c r="B256" s="236"/>
      <c r="C256" s="237" t="s">
        <v>1171</v>
      </c>
      <c r="D256" s="238"/>
      <c r="E256" s="239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3"/>
      <c r="Z256" s="213"/>
      <c r="AA256" s="213"/>
      <c r="AB256" s="213"/>
      <c r="AC256" s="213"/>
      <c r="AD256" s="213"/>
      <c r="AE256" s="213"/>
      <c r="AF256" s="213"/>
      <c r="AG256" s="213" t="s">
        <v>228</v>
      </c>
      <c r="AH256" s="213">
        <v>0.0</v>
      </c>
      <c r="AI256" s="213"/>
      <c r="AJ256" s="213"/>
      <c r="AK256" s="213"/>
      <c r="AL256" s="213"/>
      <c r="AM256" s="213"/>
      <c r="AN256" s="213"/>
      <c r="AO256" s="213"/>
      <c r="AP256" s="213"/>
      <c r="AQ256" s="213"/>
      <c r="AR256" s="213"/>
      <c r="AS256" s="213"/>
      <c r="AT256" s="213"/>
      <c r="AU256" s="213"/>
      <c r="AV256" s="213"/>
      <c r="AW256" s="213"/>
      <c r="AX256" s="213"/>
      <c r="AY256" s="213"/>
      <c r="AZ256" s="213"/>
      <c r="BA256" s="213"/>
      <c r="BB256" s="213"/>
    </row>
    <row r="257" ht="12.75" customHeight="1" outlineLevel="1">
      <c r="A257" s="235"/>
      <c r="B257" s="236"/>
      <c r="C257" s="240" t="s">
        <v>236</v>
      </c>
      <c r="D257" s="241"/>
      <c r="E257" s="24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3"/>
      <c r="Z257" s="213"/>
      <c r="AA257" s="213"/>
      <c r="AB257" s="213"/>
      <c r="AC257" s="213"/>
      <c r="AD257" s="213"/>
      <c r="AE257" s="213"/>
      <c r="AF257" s="213"/>
      <c r="AG257" s="213" t="s">
        <v>228</v>
      </c>
      <c r="AH257" s="213"/>
      <c r="AI257" s="213"/>
      <c r="AJ257" s="213"/>
      <c r="AK257" s="213"/>
      <c r="AL257" s="213"/>
      <c r="AM257" s="213"/>
      <c r="AN257" s="213"/>
      <c r="AO257" s="213"/>
      <c r="AP257" s="213"/>
      <c r="AQ257" s="213"/>
      <c r="AR257" s="213"/>
      <c r="AS257" s="213"/>
      <c r="AT257" s="213"/>
      <c r="AU257" s="213"/>
      <c r="AV257" s="213"/>
      <c r="AW257" s="213"/>
      <c r="AX257" s="213"/>
      <c r="AY257" s="213"/>
      <c r="AZ257" s="213"/>
      <c r="BA257" s="213"/>
      <c r="BB257" s="213"/>
    </row>
    <row r="258" ht="12.75" customHeight="1" outlineLevel="1">
      <c r="A258" s="235"/>
      <c r="B258" s="236"/>
      <c r="C258" s="243" t="s">
        <v>1235</v>
      </c>
      <c r="D258" s="241"/>
      <c r="E258" s="242">
        <v>18.72</v>
      </c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3"/>
      <c r="Z258" s="213"/>
      <c r="AA258" s="213"/>
      <c r="AB258" s="213"/>
      <c r="AC258" s="213"/>
      <c r="AD258" s="213"/>
      <c r="AE258" s="213"/>
      <c r="AF258" s="213"/>
      <c r="AG258" s="213" t="s">
        <v>228</v>
      </c>
      <c r="AH258" s="213">
        <v>2.0</v>
      </c>
      <c r="AI258" s="213"/>
      <c r="AJ258" s="213"/>
      <c r="AK258" s="213"/>
      <c r="AL258" s="213"/>
      <c r="AM258" s="213"/>
      <c r="AN258" s="213"/>
      <c r="AO258" s="213"/>
      <c r="AP258" s="213"/>
      <c r="AQ258" s="213"/>
      <c r="AR258" s="213"/>
      <c r="AS258" s="213"/>
      <c r="AT258" s="213"/>
      <c r="AU258" s="213"/>
      <c r="AV258" s="213"/>
      <c r="AW258" s="213"/>
      <c r="AX258" s="213"/>
      <c r="AY258" s="213"/>
      <c r="AZ258" s="213"/>
      <c r="BA258" s="213"/>
      <c r="BB258" s="213"/>
    </row>
    <row r="259" ht="12.75" customHeight="1" outlineLevel="1">
      <c r="A259" s="235"/>
      <c r="B259" s="236"/>
      <c r="C259" s="240" t="s">
        <v>238</v>
      </c>
      <c r="D259" s="241"/>
      <c r="E259" s="24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3"/>
      <c r="Z259" s="213"/>
      <c r="AA259" s="213"/>
      <c r="AB259" s="213"/>
      <c r="AC259" s="213"/>
      <c r="AD259" s="213"/>
      <c r="AE259" s="213"/>
      <c r="AF259" s="213"/>
      <c r="AG259" s="213" t="s">
        <v>228</v>
      </c>
      <c r="AH259" s="213"/>
      <c r="AI259" s="213"/>
      <c r="AJ259" s="213"/>
      <c r="AK259" s="213"/>
      <c r="AL259" s="213"/>
      <c r="AM259" s="213"/>
      <c r="AN259" s="213"/>
      <c r="AO259" s="213"/>
      <c r="AP259" s="213"/>
      <c r="AQ259" s="213"/>
      <c r="AR259" s="213"/>
      <c r="AS259" s="213"/>
      <c r="AT259" s="213"/>
      <c r="AU259" s="213"/>
      <c r="AV259" s="213"/>
      <c r="AW259" s="213"/>
      <c r="AX259" s="213"/>
      <c r="AY259" s="213"/>
      <c r="AZ259" s="213"/>
      <c r="BA259" s="213"/>
      <c r="BB259" s="213"/>
    </row>
    <row r="260" ht="12.75" customHeight="1" outlineLevel="1">
      <c r="A260" s="235"/>
      <c r="B260" s="236"/>
      <c r="C260" s="237" t="s">
        <v>1236</v>
      </c>
      <c r="D260" s="238"/>
      <c r="E260" s="239">
        <v>35.38</v>
      </c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3"/>
      <c r="Z260" s="213"/>
      <c r="AA260" s="213"/>
      <c r="AB260" s="213"/>
      <c r="AC260" s="213"/>
      <c r="AD260" s="213"/>
      <c r="AE260" s="213"/>
      <c r="AF260" s="213"/>
      <c r="AG260" s="213" t="s">
        <v>228</v>
      </c>
      <c r="AH260" s="213">
        <v>0.0</v>
      </c>
      <c r="AI260" s="213"/>
      <c r="AJ260" s="213"/>
      <c r="AK260" s="213"/>
      <c r="AL260" s="213"/>
      <c r="AM260" s="213"/>
      <c r="AN260" s="213"/>
      <c r="AO260" s="213"/>
      <c r="AP260" s="213"/>
      <c r="AQ260" s="213"/>
      <c r="AR260" s="213"/>
      <c r="AS260" s="213"/>
      <c r="AT260" s="213"/>
      <c r="AU260" s="213"/>
      <c r="AV260" s="213"/>
      <c r="AW260" s="213"/>
      <c r="AX260" s="213"/>
      <c r="AY260" s="213"/>
      <c r="AZ260" s="213"/>
      <c r="BA260" s="213"/>
      <c r="BB260" s="213"/>
    </row>
    <row r="261" ht="12.75" customHeight="1" outlineLevel="1">
      <c r="A261" s="235"/>
      <c r="B261" s="236"/>
      <c r="C261" s="237" t="s">
        <v>1206</v>
      </c>
      <c r="D261" s="238"/>
      <c r="E261" s="239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3"/>
      <c r="Z261" s="213"/>
      <c r="AA261" s="213"/>
      <c r="AB261" s="213"/>
      <c r="AC261" s="213"/>
      <c r="AD261" s="213"/>
      <c r="AE261" s="213"/>
      <c r="AF261" s="213"/>
      <c r="AG261" s="213" t="s">
        <v>228</v>
      </c>
      <c r="AH261" s="213">
        <v>0.0</v>
      </c>
      <c r="AI261" s="213"/>
      <c r="AJ261" s="213"/>
      <c r="AK261" s="213"/>
      <c r="AL261" s="213"/>
      <c r="AM261" s="213"/>
      <c r="AN261" s="213"/>
      <c r="AO261" s="213"/>
      <c r="AP261" s="213"/>
      <c r="AQ261" s="213"/>
      <c r="AR261" s="213"/>
      <c r="AS261" s="213"/>
      <c r="AT261" s="213"/>
      <c r="AU261" s="213"/>
      <c r="AV261" s="213"/>
      <c r="AW261" s="213"/>
      <c r="AX261" s="213"/>
      <c r="AY261" s="213"/>
      <c r="AZ261" s="213"/>
      <c r="BA261" s="213"/>
      <c r="BB261" s="213"/>
    </row>
    <row r="262" ht="12.75" customHeight="1" outlineLevel="1">
      <c r="A262" s="235"/>
      <c r="B262" s="236"/>
      <c r="C262" s="240" t="s">
        <v>236</v>
      </c>
      <c r="D262" s="241"/>
      <c r="E262" s="24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3"/>
      <c r="Z262" s="213"/>
      <c r="AA262" s="213"/>
      <c r="AB262" s="213"/>
      <c r="AC262" s="213"/>
      <c r="AD262" s="213"/>
      <c r="AE262" s="213"/>
      <c r="AF262" s="213"/>
      <c r="AG262" s="213" t="s">
        <v>228</v>
      </c>
      <c r="AH262" s="213"/>
      <c r="AI262" s="213"/>
      <c r="AJ262" s="213"/>
      <c r="AK262" s="213"/>
      <c r="AL262" s="213"/>
      <c r="AM262" s="213"/>
      <c r="AN262" s="213"/>
      <c r="AO262" s="213"/>
      <c r="AP262" s="213"/>
      <c r="AQ262" s="213"/>
      <c r="AR262" s="213"/>
      <c r="AS262" s="213"/>
      <c r="AT262" s="213"/>
      <c r="AU262" s="213"/>
      <c r="AV262" s="213"/>
      <c r="AW262" s="213"/>
      <c r="AX262" s="213"/>
      <c r="AY262" s="213"/>
      <c r="AZ262" s="213"/>
      <c r="BA262" s="213"/>
      <c r="BB262" s="213"/>
    </row>
    <row r="263" ht="12.75" customHeight="1" outlineLevel="1">
      <c r="A263" s="235"/>
      <c r="B263" s="236"/>
      <c r="C263" s="243" t="s">
        <v>1138</v>
      </c>
      <c r="D263" s="241"/>
      <c r="E263" s="242">
        <v>65.17</v>
      </c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3"/>
      <c r="Z263" s="213"/>
      <c r="AA263" s="213"/>
      <c r="AB263" s="213"/>
      <c r="AC263" s="213"/>
      <c r="AD263" s="213"/>
      <c r="AE263" s="213"/>
      <c r="AF263" s="213"/>
      <c r="AG263" s="213" t="s">
        <v>228</v>
      </c>
      <c r="AH263" s="213">
        <v>2.0</v>
      </c>
      <c r="AI263" s="213"/>
      <c r="AJ263" s="213"/>
      <c r="AK263" s="213"/>
      <c r="AL263" s="213"/>
      <c r="AM263" s="213"/>
      <c r="AN263" s="213"/>
      <c r="AO263" s="213"/>
      <c r="AP263" s="213"/>
      <c r="AQ263" s="213"/>
      <c r="AR263" s="213"/>
      <c r="AS263" s="213"/>
      <c r="AT263" s="213"/>
      <c r="AU263" s="213"/>
      <c r="AV263" s="213"/>
      <c r="AW263" s="213"/>
      <c r="AX263" s="213"/>
      <c r="AY263" s="213"/>
      <c r="AZ263" s="213"/>
      <c r="BA263" s="213"/>
      <c r="BB263" s="213"/>
    </row>
    <row r="264" ht="12.75" customHeight="1" outlineLevel="1">
      <c r="A264" s="235"/>
      <c r="B264" s="236"/>
      <c r="C264" s="243" t="s">
        <v>1237</v>
      </c>
      <c r="D264" s="241"/>
      <c r="E264" s="242">
        <v>-7.72</v>
      </c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3"/>
      <c r="Z264" s="213"/>
      <c r="AA264" s="213"/>
      <c r="AB264" s="213"/>
      <c r="AC264" s="213"/>
      <c r="AD264" s="213"/>
      <c r="AE264" s="213"/>
      <c r="AF264" s="213"/>
      <c r="AG264" s="213" t="s">
        <v>228</v>
      </c>
      <c r="AH264" s="213">
        <v>2.0</v>
      </c>
      <c r="AI264" s="213"/>
      <c r="AJ264" s="213"/>
      <c r="AK264" s="213"/>
      <c r="AL264" s="213"/>
      <c r="AM264" s="213"/>
      <c r="AN264" s="213"/>
      <c r="AO264" s="213"/>
      <c r="AP264" s="213"/>
      <c r="AQ264" s="213"/>
      <c r="AR264" s="213"/>
      <c r="AS264" s="213"/>
      <c r="AT264" s="213"/>
      <c r="AU264" s="213"/>
      <c r="AV264" s="213"/>
      <c r="AW264" s="213"/>
      <c r="AX264" s="213"/>
      <c r="AY264" s="213"/>
      <c r="AZ264" s="213"/>
      <c r="BA264" s="213"/>
      <c r="BB264" s="213"/>
    </row>
    <row r="265" ht="12.75" customHeight="1" outlineLevel="1">
      <c r="A265" s="235"/>
      <c r="B265" s="236"/>
      <c r="C265" s="240" t="s">
        <v>238</v>
      </c>
      <c r="D265" s="241"/>
      <c r="E265" s="24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3"/>
      <c r="Z265" s="213"/>
      <c r="AA265" s="213"/>
      <c r="AB265" s="213"/>
      <c r="AC265" s="213"/>
      <c r="AD265" s="213"/>
      <c r="AE265" s="213"/>
      <c r="AF265" s="213"/>
      <c r="AG265" s="213" t="s">
        <v>228</v>
      </c>
      <c r="AH265" s="213"/>
      <c r="AI265" s="213"/>
      <c r="AJ265" s="213"/>
      <c r="AK265" s="213"/>
      <c r="AL265" s="213"/>
      <c r="AM265" s="213"/>
      <c r="AN265" s="213"/>
      <c r="AO265" s="213"/>
      <c r="AP265" s="213"/>
      <c r="AQ265" s="213"/>
      <c r="AR265" s="213"/>
      <c r="AS265" s="213"/>
      <c r="AT265" s="213"/>
      <c r="AU265" s="213"/>
      <c r="AV265" s="213"/>
      <c r="AW265" s="213"/>
      <c r="AX265" s="213"/>
      <c r="AY265" s="213"/>
      <c r="AZ265" s="213"/>
      <c r="BA265" s="213"/>
      <c r="BB265" s="213"/>
    </row>
    <row r="266" ht="12.75" customHeight="1" outlineLevel="1">
      <c r="A266" s="235"/>
      <c r="B266" s="236"/>
      <c r="C266" s="237" t="s">
        <v>1238</v>
      </c>
      <c r="D266" s="238"/>
      <c r="E266" s="239">
        <v>108.57</v>
      </c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3"/>
      <c r="Z266" s="213"/>
      <c r="AA266" s="213"/>
      <c r="AB266" s="213"/>
      <c r="AC266" s="213"/>
      <c r="AD266" s="213"/>
      <c r="AE266" s="213"/>
      <c r="AF266" s="213"/>
      <c r="AG266" s="213" t="s">
        <v>228</v>
      </c>
      <c r="AH266" s="213">
        <v>0.0</v>
      </c>
      <c r="AI266" s="213"/>
      <c r="AJ266" s="213"/>
      <c r="AK266" s="213"/>
      <c r="AL266" s="213"/>
      <c r="AM266" s="213"/>
      <c r="AN266" s="213"/>
      <c r="AO266" s="213"/>
      <c r="AP266" s="213"/>
      <c r="AQ266" s="213"/>
      <c r="AR266" s="213"/>
      <c r="AS266" s="213"/>
      <c r="AT266" s="213"/>
      <c r="AU266" s="213"/>
      <c r="AV266" s="213"/>
      <c r="AW266" s="213"/>
      <c r="AX266" s="213"/>
      <c r="AY266" s="213"/>
      <c r="AZ266" s="213"/>
      <c r="BA266" s="213"/>
      <c r="BB266" s="213"/>
    </row>
    <row r="267" ht="12.75" customHeight="1" outlineLevel="1">
      <c r="A267" s="235"/>
      <c r="B267" s="236"/>
      <c r="C267" s="237" t="s">
        <v>1208</v>
      </c>
      <c r="D267" s="238"/>
      <c r="E267" s="239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3"/>
      <c r="Z267" s="213"/>
      <c r="AA267" s="213"/>
      <c r="AB267" s="213"/>
      <c r="AC267" s="213"/>
      <c r="AD267" s="213"/>
      <c r="AE267" s="213"/>
      <c r="AF267" s="213"/>
      <c r="AG267" s="213" t="s">
        <v>228</v>
      </c>
      <c r="AH267" s="213">
        <v>0.0</v>
      </c>
      <c r="AI267" s="213"/>
      <c r="AJ267" s="213"/>
      <c r="AK267" s="213"/>
      <c r="AL267" s="213"/>
      <c r="AM267" s="213"/>
      <c r="AN267" s="213"/>
      <c r="AO267" s="213"/>
      <c r="AP267" s="213"/>
      <c r="AQ267" s="213"/>
      <c r="AR267" s="213"/>
      <c r="AS267" s="213"/>
      <c r="AT267" s="213"/>
      <c r="AU267" s="213"/>
      <c r="AV267" s="213"/>
      <c r="AW267" s="213"/>
      <c r="AX267" s="213"/>
      <c r="AY267" s="213"/>
      <c r="AZ267" s="213"/>
      <c r="BA267" s="213"/>
      <c r="BB267" s="213"/>
    </row>
    <row r="268" ht="12.75" customHeight="1" outlineLevel="1">
      <c r="A268" s="235"/>
      <c r="B268" s="236"/>
      <c r="C268" s="240" t="s">
        <v>236</v>
      </c>
      <c r="D268" s="241"/>
      <c r="E268" s="24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3"/>
      <c r="Z268" s="213"/>
      <c r="AA268" s="213"/>
      <c r="AB268" s="213"/>
      <c r="AC268" s="213"/>
      <c r="AD268" s="213"/>
      <c r="AE268" s="213"/>
      <c r="AF268" s="213"/>
      <c r="AG268" s="213" t="s">
        <v>228</v>
      </c>
      <c r="AH268" s="213"/>
      <c r="AI268" s="213"/>
      <c r="AJ268" s="213"/>
      <c r="AK268" s="213"/>
      <c r="AL268" s="213"/>
      <c r="AM268" s="213"/>
      <c r="AN268" s="213"/>
      <c r="AO268" s="213"/>
      <c r="AP268" s="213"/>
      <c r="AQ268" s="213"/>
      <c r="AR268" s="213"/>
      <c r="AS268" s="213"/>
      <c r="AT268" s="213"/>
      <c r="AU268" s="213"/>
      <c r="AV268" s="213"/>
      <c r="AW268" s="213"/>
      <c r="AX268" s="213"/>
      <c r="AY268" s="213"/>
      <c r="AZ268" s="213"/>
      <c r="BA268" s="213"/>
      <c r="BB268" s="213"/>
    </row>
    <row r="269" ht="12.75" customHeight="1" outlineLevel="1">
      <c r="A269" s="235"/>
      <c r="B269" s="236"/>
      <c r="C269" s="243" t="s">
        <v>1140</v>
      </c>
      <c r="D269" s="241"/>
      <c r="E269" s="242">
        <v>74.36</v>
      </c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3"/>
      <c r="Z269" s="213"/>
      <c r="AA269" s="213"/>
      <c r="AB269" s="213"/>
      <c r="AC269" s="213"/>
      <c r="AD269" s="213"/>
      <c r="AE269" s="213"/>
      <c r="AF269" s="213"/>
      <c r="AG269" s="213" t="s">
        <v>228</v>
      </c>
      <c r="AH269" s="213">
        <v>2.0</v>
      </c>
      <c r="AI269" s="213"/>
      <c r="AJ269" s="213"/>
      <c r="AK269" s="213"/>
      <c r="AL269" s="213"/>
      <c r="AM269" s="213"/>
      <c r="AN269" s="213"/>
      <c r="AO269" s="213"/>
      <c r="AP269" s="213"/>
      <c r="AQ269" s="213"/>
      <c r="AR269" s="213"/>
      <c r="AS269" s="213"/>
      <c r="AT269" s="213"/>
      <c r="AU269" s="213"/>
      <c r="AV269" s="213"/>
      <c r="AW269" s="213"/>
      <c r="AX269" s="213"/>
      <c r="AY269" s="213"/>
      <c r="AZ269" s="213"/>
      <c r="BA269" s="213"/>
      <c r="BB269" s="213"/>
    </row>
    <row r="270" ht="12.75" customHeight="1" outlineLevel="1">
      <c r="A270" s="235"/>
      <c r="B270" s="236"/>
      <c r="C270" s="243" t="s">
        <v>1239</v>
      </c>
      <c r="D270" s="241"/>
      <c r="E270" s="242">
        <v>-22.95</v>
      </c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3"/>
      <c r="Z270" s="213"/>
      <c r="AA270" s="213"/>
      <c r="AB270" s="213"/>
      <c r="AC270" s="213"/>
      <c r="AD270" s="213"/>
      <c r="AE270" s="213"/>
      <c r="AF270" s="213"/>
      <c r="AG270" s="213" t="s">
        <v>228</v>
      </c>
      <c r="AH270" s="213">
        <v>2.0</v>
      </c>
      <c r="AI270" s="213"/>
      <c r="AJ270" s="213"/>
      <c r="AK270" s="213"/>
      <c r="AL270" s="213"/>
      <c r="AM270" s="213"/>
      <c r="AN270" s="213"/>
      <c r="AO270" s="213"/>
      <c r="AP270" s="213"/>
      <c r="AQ270" s="213"/>
      <c r="AR270" s="213"/>
      <c r="AS270" s="213"/>
      <c r="AT270" s="213"/>
      <c r="AU270" s="213"/>
      <c r="AV270" s="213"/>
      <c r="AW270" s="213"/>
      <c r="AX270" s="213"/>
      <c r="AY270" s="213"/>
      <c r="AZ270" s="213"/>
      <c r="BA270" s="213"/>
      <c r="BB270" s="213"/>
    </row>
    <row r="271" ht="12.75" customHeight="1" outlineLevel="1">
      <c r="A271" s="235"/>
      <c r="B271" s="236"/>
      <c r="C271" s="240" t="s">
        <v>238</v>
      </c>
      <c r="D271" s="241"/>
      <c r="E271" s="24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3"/>
      <c r="Z271" s="213"/>
      <c r="AA271" s="213"/>
      <c r="AB271" s="213"/>
      <c r="AC271" s="213"/>
      <c r="AD271" s="213"/>
      <c r="AE271" s="213"/>
      <c r="AF271" s="213"/>
      <c r="AG271" s="213" t="s">
        <v>228</v>
      </c>
      <c r="AH271" s="213"/>
      <c r="AI271" s="213"/>
      <c r="AJ271" s="213"/>
      <c r="AK271" s="213"/>
      <c r="AL271" s="213"/>
      <c r="AM271" s="213"/>
      <c r="AN271" s="213"/>
      <c r="AO271" s="213"/>
      <c r="AP271" s="213"/>
      <c r="AQ271" s="213"/>
      <c r="AR271" s="213"/>
      <c r="AS271" s="213"/>
      <c r="AT271" s="213"/>
      <c r="AU271" s="213"/>
      <c r="AV271" s="213"/>
      <c r="AW271" s="213"/>
      <c r="AX271" s="213"/>
      <c r="AY271" s="213"/>
      <c r="AZ271" s="213"/>
      <c r="BA271" s="213"/>
      <c r="BB271" s="213"/>
    </row>
    <row r="272" ht="12.75" customHeight="1" outlineLevel="1">
      <c r="A272" s="235"/>
      <c r="B272" s="236"/>
      <c r="C272" s="237" t="s">
        <v>1240</v>
      </c>
      <c r="D272" s="238"/>
      <c r="E272" s="239">
        <v>97.16</v>
      </c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3"/>
      <c r="Z272" s="213"/>
      <c r="AA272" s="213"/>
      <c r="AB272" s="213"/>
      <c r="AC272" s="213"/>
      <c r="AD272" s="213"/>
      <c r="AE272" s="213"/>
      <c r="AF272" s="213"/>
      <c r="AG272" s="213" t="s">
        <v>228</v>
      </c>
      <c r="AH272" s="213">
        <v>0.0</v>
      </c>
      <c r="AI272" s="213"/>
      <c r="AJ272" s="213"/>
      <c r="AK272" s="213"/>
      <c r="AL272" s="213"/>
      <c r="AM272" s="213"/>
      <c r="AN272" s="213"/>
      <c r="AO272" s="213"/>
      <c r="AP272" s="213"/>
      <c r="AQ272" s="213"/>
      <c r="AR272" s="213"/>
      <c r="AS272" s="213"/>
      <c r="AT272" s="213"/>
      <c r="AU272" s="213"/>
      <c r="AV272" s="213"/>
      <c r="AW272" s="213"/>
      <c r="AX272" s="213"/>
      <c r="AY272" s="213"/>
      <c r="AZ272" s="213"/>
      <c r="BA272" s="213"/>
      <c r="BB272" s="213"/>
    </row>
    <row r="273" ht="12.75" customHeight="1">
      <c r="A273" s="196" t="s">
        <v>173</v>
      </c>
      <c r="B273" s="197" t="s">
        <v>98</v>
      </c>
      <c r="C273" s="198" t="s">
        <v>99</v>
      </c>
      <c r="D273" s="199"/>
      <c r="E273" s="200"/>
      <c r="F273" s="201"/>
      <c r="G273" s="202">
        <f>SUMIF(AG274:AG285,"&lt;&gt;NOR",G274:G285)</f>
        <v>13984.11</v>
      </c>
      <c r="H273" s="203"/>
      <c r="I273" s="203">
        <f>SUM(I274:I285)</f>
        <v>0</v>
      </c>
      <c r="J273" s="203"/>
      <c r="K273" s="203">
        <f>SUM(K274:K285)</f>
        <v>0</v>
      </c>
      <c r="L273" s="203"/>
      <c r="M273" s="203">
        <f>SUM(M274:M285)</f>
        <v>16920.7731</v>
      </c>
      <c r="N273" s="203"/>
      <c r="O273" s="203">
        <f>SUM(O274:O285)</f>
        <v>20.46</v>
      </c>
      <c r="P273" s="203"/>
      <c r="Q273" s="203">
        <f>SUM(Q274:Q285)</f>
        <v>0</v>
      </c>
      <c r="R273" s="203"/>
      <c r="S273" s="203"/>
      <c r="T273" s="203"/>
      <c r="U273" s="203"/>
      <c r="V273" s="203">
        <f>SUM(V274:V285)</f>
        <v>12.46</v>
      </c>
      <c r="W273" s="203"/>
      <c r="X273" s="203"/>
      <c r="AG273" s="184" t="s">
        <v>174</v>
      </c>
    </row>
    <row r="274" ht="12.75" customHeight="1" outlineLevel="1">
      <c r="A274" s="214">
        <v>23.0</v>
      </c>
      <c r="B274" s="215" t="s">
        <v>507</v>
      </c>
      <c r="C274" s="216" t="s">
        <v>508</v>
      </c>
      <c r="D274" s="217" t="s">
        <v>234</v>
      </c>
      <c r="E274" s="218">
        <v>10.3692</v>
      </c>
      <c r="F274" s="219">
        <v>1215.4</v>
      </c>
      <c r="G274" s="220">
        <f>ROUND(E274*F274,2)</f>
        <v>12602.73</v>
      </c>
      <c r="H274" s="211"/>
      <c r="I274" s="212">
        <f>ROUND(E274*H274,2)</f>
        <v>0</v>
      </c>
      <c r="J274" s="211"/>
      <c r="K274" s="212">
        <f>ROUND(E274*J274,2)</f>
        <v>0</v>
      </c>
      <c r="L274" s="212">
        <v>21.0</v>
      </c>
      <c r="M274" s="212">
        <f>G274*(1+L274/100)</f>
        <v>15249.3033</v>
      </c>
      <c r="N274" s="212">
        <v>1.78164</v>
      </c>
      <c r="O274" s="212">
        <f>ROUND(E274*N274,2)</f>
        <v>18.47</v>
      </c>
      <c r="P274" s="212">
        <v>0.0</v>
      </c>
      <c r="Q274" s="212">
        <f>ROUND(E274*P274,2)</f>
        <v>0</v>
      </c>
      <c r="R274" s="212"/>
      <c r="S274" s="212" t="s">
        <v>184</v>
      </c>
      <c r="T274" s="212" t="s">
        <v>184</v>
      </c>
      <c r="U274" s="212">
        <v>1.085</v>
      </c>
      <c r="V274" s="212">
        <f>ROUND(E274*U274,2)</f>
        <v>11.25</v>
      </c>
      <c r="W274" s="212"/>
      <c r="X274" s="212" t="s">
        <v>225</v>
      </c>
      <c r="Y274" s="213"/>
      <c r="Z274" s="213"/>
      <c r="AA274" s="213"/>
      <c r="AB274" s="213"/>
      <c r="AC274" s="213"/>
      <c r="AD274" s="213"/>
      <c r="AE274" s="213"/>
      <c r="AF274" s="213"/>
      <c r="AG274" s="213" t="s">
        <v>226</v>
      </c>
      <c r="AH274" s="213"/>
      <c r="AI274" s="213"/>
      <c r="AJ274" s="213"/>
      <c r="AK274" s="213"/>
      <c r="AL274" s="213"/>
      <c r="AM274" s="213"/>
      <c r="AN274" s="213"/>
      <c r="AO274" s="213"/>
      <c r="AP274" s="213"/>
      <c r="AQ274" s="213"/>
      <c r="AR274" s="213"/>
      <c r="AS274" s="213"/>
      <c r="AT274" s="213"/>
      <c r="AU274" s="213"/>
      <c r="AV274" s="213"/>
      <c r="AW274" s="213"/>
      <c r="AX274" s="213"/>
      <c r="AY274" s="213"/>
      <c r="AZ274" s="213"/>
      <c r="BA274" s="213"/>
      <c r="BB274" s="213"/>
    </row>
    <row r="275" ht="12.75" customHeight="1" outlineLevel="1">
      <c r="A275" s="235"/>
      <c r="B275" s="236"/>
      <c r="C275" s="237" t="s">
        <v>509</v>
      </c>
      <c r="D275" s="238"/>
      <c r="E275" s="239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3"/>
      <c r="Z275" s="213"/>
      <c r="AA275" s="213"/>
      <c r="AB275" s="213"/>
      <c r="AC275" s="213"/>
      <c r="AD275" s="213"/>
      <c r="AE275" s="213"/>
      <c r="AF275" s="213"/>
      <c r="AG275" s="213" t="s">
        <v>228</v>
      </c>
      <c r="AH275" s="213">
        <v>0.0</v>
      </c>
      <c r="AI275" s="213"/>
      <c r="AJ275" s="213"/>
      <c r="AK275" s="213"/>
      <c r="AL275" s="213"/>
      <c r="AM275" s="213"/>
      <c r="AN275" s="213"/>
      <c r="AO275" s="213"/>
      <c r="AP275" s="213"/>
      <c r="AQ275" s="213"/>
      <c r="AR275" s="213"/>
      <c r="AS275" s="213"/>
      <c r="AT275" s="213"/>
      <c r="AU275" s="213"/>
      <c r="AV275" s="213"/>
      <c r="AW275" s="213"/>
      <c r="AX275" s="213"/>
      <c r="AY275" s="213"/>
      <c r="AZ275" s="213"/>
      <c r="BA275" s="213"/>
      <c r="BB275" s="213"/>
    </row>
    <row r="276" ht="12.75" customHeight="1" outlineLevel="1">
      <c r="A276" s="235"/>
      <c r="B276" s="236"/>
      <c r="C276" s="237" t="s">
        <v>1241</v>
      </c>
      <c r="D276" s="238"/>
      <c r="E276" s="239">
        <v>2.02</v>
      </c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3"/>
      <c r="Z276" s="213"/>
      <c r="AA276" s="213"/>
      <c r="AB276" s="213"/>
      <c r="AC276" s="213"/>
      <c r="AD276" s="213"/>
      <c r="AE276" s="213"/>
      <c r="AF276" s="213"/>
      <c r="AG276" s="213" t="s">
        <v>228</v>
      </c>
      <c r="AH276" s="213">
        <v>0.0</v>
      </c>
      <c r="AI276" s="213"/>
      <c r="AJ276" s="213"/>
      <c r="AK276" s="213"/>
      <c r="AL276" s="213"/>
      <c r="AM276" s="213"/>
      <c r="AN276" s="213"/>
      <c r="AO276" s="213"/>
      <c r="AP276" s="213"/>
      <c r="AQ276" s="213"/>
      <c r="AR276" s="213"/>
      <c r="AS276" s="213"/>
      <c r="AT276" s="213"/>
      <c r="AU276" s="213"/>
      <c r="AV276" s="213"/>
      <c r="AW276" s="213"/>
      <c r="AX276" s="213"/>
      <c r="AY276" s="213"/>
      <c r="AZ276" s="213"/>
      <c r="BA276" s="213"/>
      <c r="BB276" s="213"/>
    </row>
    <row r="277" ht="12.75" customHeight="1" outlineLevel="1">
      <c r="A277" s="235"/>
      <c r="B277" s="236"/>
      <c r="C277" s="237" t="s">
        <v>1242</v>
      </c>
      <c r="D277" s="238"/>
      <c r="E277" s="239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3"/>
      <c r="Z277" s="213"/>
      <c r="AA277" s="213"/>
      <c r="AB277" s="213"/>
      <c r="AC277" s="213"/>
      <c r="AD277" s="213"/>
      <c r="AE277" s="213"/>
      <c r="AF277" s="213"/>
      <c r="AG277" s="213" t="s">
        <v>228</v>
      </c>
      <c r="AH277" s="213">
        <v>0.0</v>
      </c>
      <c r="AI277" s="213"/>
      <c r="AJ277" s="213"/>
      <c r="AK277" s="213"/>
      <c r="AL277" s="213"/>
      <c r="AM277" s="213"/>
      <c r="AN277" s="213"/>
      <c r="AO277" s="213"/>
      <c r="AP277" s="213"/>
      <c r="AQ277" s="213"/>
      <c r="AR277" s="213"/>
      <c r="AS277" s="213"/>
      <c r="AT277" s="213"/>
      <c r="AU277" s="213"/>
      <c r="AV277" s="213"/>
      <c r="AW277" s="213"/>
      <c r="AX277" s="213"/>
      <c r="AY277" s="213"/>
      <c r="AZ277" s="213"/>
      <c r="BA277" s="213"/>
      <c r="BB277" s="213"/>
    </row>
    <row r="278" ht="12.75" customHeight="1" outlineLevel="1">
      <c r="A278" s="235"/>
      <c r="B278" s="236"/>
      <c r="C278" s="237" t="s">
        <v>1243</v>
      </c>
      <c r="D278" s="238"/>
      <c r="E278" s="239">
        <v>2.34</v>
      </c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3"/>
      <c r="Z278" s="213"/>
      <c r="AA278" s="213"/>
      <c r="AB278" s="213"/>
      <c r="AC278" s="213"/>
      <c r="AD278" s="213"/>
      <c r="AE278" s="213"/>
      <c r="AF278" s="213"/>
      <c r="AG278" s="213" t="s">
        <v>228</v>
      </c>
      <c r="AH278" s="213">
        <v>0.0</v>
      </c>
      <c r="AI278" s="213"/>
      <c r="AJ278" s="213"/>
      <c r="AK278" s="213"/>
      <c r="AL278" s="213"/>
      <c r="AM278" s="213"/>
      <c r="AN278" s="213"/>
      <c r="AO278" s="213"/>
      <c r="AP278" s="213"/>
      <c r="AQ278" s="213"/>
      <c r="AR278" s="213"/>
      <c r="AS278" s="213"/>
      <c r="AT278" s="213"/>
      <c r="AU278" s="213"/>
      <c r="AV278" s="213"/>
      <c r="AW278" s="213"/>
      <c r="AX278" s="213"/>
      <c r="AY278" s="213"/>
      <c r="AZ278" s="213"/>
      <c r="BA278" s="213"/>
      <c r="BB278" s="213"/>
    </row>
    <row r="279" ht="12.75" customHeight="1" outlineLevel="1">
      <c r="A279" s="235"/>
      <c r="B279" s="236"/>
      <c r="C279" s="237" t="s">
        <v>1244</v>
      </c>
      <c r="D279" s="238"/>
      <c r="E279" s="239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3"/>
      <c r="Z279" s="213"/>
      <c r="AA279" s="213"/>
      <c r="AB279" s="213"/>
      <c r="AC279" s="213"/>
      <c r="AD279" s="213"/>
      <c r="AE279" s="213"/>
      <c r="AF279" s="213"/>
      <c r="AG279" s="213" t="s">
        <v>228</v>
      </c>
      <c r="AH279" s="213">
        <v>0.0</v>
      </c>
      <c r="AI279" s="213"/>
      <c r="AJ279" s="213"/>
      <c r="AK279" s="213"/>
      <c r="AL279" s="213"/>
      <c r="AM279" s="213"/>
      <c r="AN279" s="213"/>
      <c r="AO279" s="213"/>
      <c r="AP279" s="213"/>
      <c r="AQ279" s="213"/>
      <c r="AR279" s="213"/>
      <c r="AS279" s="213"/>
      <c r="AT279" s="213"/>
      <c r="AU279" s="213"/>
      <c r="AV279" s="213"/>
      <c r="AW279" s="213"/>
      <c r="AX279" s="213"/>
      <c r="AY279" s="213"/>
      <c r="AZ279" s="213"/>
      <c r="BA279" s="213"/>
      <c r="BB279" s="213"/>
    </row>
    <row r="280" ht="12.75" customHeight="1" outlineLevel="1">
      <c r="A280" s="235"/>
      <c r="B280" s="236"/>
      <c r="C280" s="237" t="s">
        <v>1245</v>
      </c>
      <c r="D280" s="238"/>
      <c r="E280" s="239">
        <v>4.65</v>
      </c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3"/>
      <c r="Z280" s="213"/>
      <c r="AA280" s="213"/>
      <c r="AB280" s="213"/>
      <c r="AC280" s="213"/>
      <c r="AD280" s="213"/>
      <c r="AE280" s="213"/>
      <c r="AF280" s="213"/>
      <c r="AG280" s="213" t="s">
        <v>228</v>
      </c>
      <c r="AH280" s="213">
        <v>0.0</v>
      </c>
      <c r="AI280" s="213"/>
      <c r="AJ280" s="213"/>
      <c r="AK280" s="213"/>
      <c r="AL280" s="213"/>
      <c r="AM280" s="213"/>
      <c r="AN280" s="213"/>
      <c r="AO280" s="213"/>
      <c r="AP280" s="213"/>
      <c r="AQ280" s="213"/>
      <c r="AR280" s="213"/>
      <c r="AS280" s="213"/>
      <c r="AT280" s="213"/>
      <c r="AU280" s="213"/>
      <c r="AV280" s="213"/>
      <c r="AW280" s="213"/>
      <c r="AX280" s="213"/>
      <c r="AY280" s="213"/>
      <c r="AZ280" s="213"/>
      <c r="BA280" s="213"/>
      <c r="BB280" s="213"/>
    </row>
    <row r="281" ht="12.75" customHeight="1" outlineLevel="1">
      <c r="A281" s="235"/>
      <c r="B281" s="236"/>
      <c r="C281" s="237" t="s">
        <v>1246</v>
      </c>
      <c r="D281" s="238"/>
      <c r="E281" s="239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3"/>
      <c r="Z281" s="213"/>
      <c r="AA281" s="213"/>
      <c r="AB281" s="213"/>
      <c r="AC281" s="213"/>
      <c r="AD281" s="213"/>
      <c r="AE281" s="213"/>
      <c r="AF281" s="213"/>
      <c r="AG281" s="213" t="s">
        <v>228</v>
      </c>
      <c r="AH281" s="213">
        <v>0.0</v>
      </c>
      <c r="AI281" s="213"/>
      <c r="AJ281" s="213"/>
      <c r="AK281" s="213"/>
      <c r="AL281" s="213"/>
      <c r="AM281" s="213"/>
      <c r="AN281" s="213"/>
      <c r="AO281" s="213"/>
      <c r="AP281" s="213"/>
      <c r="AQ281" s="213"/>
      <c r="AR281" s="213"/>
      <c r="AS281" s="213"/>
      <c r="AT281" s="213"/>
      <c r="AU281" s="213"/>
      <c r="AV281" s="213"/>
      <c r="AW281" s="213"/>
      <c r="AX281" s="213"/>
      <c r="AY281" s="213"/>
      <c r="AZ281" s="213"/>
      <c r="BA281" s="213"/>
      <c r="BB281" s="213"/>
    </row>
    <row r="282" ht="12.75" customHeight="1" outlineLevel="1">
      <c r="A282" s="235"/>
      <c r="B282" s="236"/>
      <c r="C282" s="237" t="s">
        <v>1247</v>
      </c>
      <c r="D282" s="238"/>
      <c r="E282" s="239">
        <v>1.35</v>
      </c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3"/>
      <c r="Z282" s="213"/>
      <c r="AA282" s="213"/>
      <c r="AB282" s="213"/>
      <c r="AC282" s="213"/>
      <c r="AD282" s="213"/>
      <c r="AE282" s="213"/>
      <c r="AF282" s="213"/>
      <c r="AG282" s="213" t="s">
        <v>228</v>
      </c>
      <c r="AH282" s="213">
        <v>0.0</v>
      </c>
      <c r="AI282" s="213"/>
      <c r="AJ282" s="213"/>
      <c r="AK282" s="213"/>
      <c r="AL282" s="213"/>
      <c r="AM282" s="213"/>
      <c r="AN282" s="213"/>
      <c r="AO282" s="213"/>
      <c r="AP282" s="213"/>
      <c r="AQ282" s="213"/>
      <c r="AR282" s="213"/>
      <c r="AS282" s="213"/>
      <c r="AT282" s="213"/>
      <c r="AU282" s="213"/>
      <c r="AV282" s="213"/>
      <c r="AW282" s="213"/>
      <c r="AX282" s="213"/>
      <c r="AY282" s="213"/>
      <c r="AZ282" s="213"/>
      <c r="BA282" s="213"/>
      <c r="BB282" s="213"/>
    </row>
    <row r="283" ht="12.75" customHeight="1" outlineLevel="1">
      <c r="A283" s="214">
        <v>24.0</v>
      </c>
      <c r="B283" s="215" t="s">
        <v>1248</v>
      </c>
      <c r="C283" s="216" t="s">
        <v>1249</v>
      </c>
      <c r="D283" s="217" t="s">
        <v>234</v>
      </c>
      <c r="E283" s="218">
        <v>1.116</v>
      </c>
      <c r="F283" s="219">
        <v>1237.8</v>
      </c>
      <c r="G283" s="220">
        <f>ROUND(E283*F283,2)</f>
        <v>1381.38</v>
      </c>
      <c r="H283" s="211"/>
      <c r="I283" s="212">
        <f>ROUND(E283*H283,2)</f>
        <v>0</v>
      </c>
      <c r="J283" s="211"/>
      <c r="K283" s="212">
        <f>ROUND(E283*J283,2)</f>
        <v>0</v>
      </c>
      <c r="L283" s="212">
        <v>21.0</v>
      </c>
      <c r="M283" s="212">
        <f>G283*(1+L283/100)</f>
        <v>1671.4698</v>
      </c>
      <c r="N283" s="212">
        <v>1.78164</v>
      </c>
      <c r="O283" s="212">
        <f>ROUND(E283*N283,2)</f>
        <v>1.99</v>
      </c>
      <c r="P283" s="212">
        <v>0.0</v>
      </c>
      <c r="Q283" s="212">
        <f>ROUND(E283*P283,2)</f>
        <v>0</v>
      </c>
      <c r="R283" s="212"/>
      <c r="S283" s="212" t="s">
        <v>184</v>
      </c>
      <c r="T283" s="212" t="s">
        <v>184</v>
      </c>
      <c r="U283" s="212">
        <v>1.085</v>
      </c>
      <c r="V283" s="212">
        <f>ROUND(E283*U283,2)</f>
        <v>1.21</v>
      </c>
      <c r="W283" s="212"/>
      <c r="X283" s="212" t="s">
        <v>225</v>
      </c>
      <c r="Y283" s="213"/>
      <c r="Z283" s="213"/>
      <c r="AA283" s="213"/>
      <c r="AB283" s="213"/>
      <c r="AC283" s="213"/>
      <c r="AD283" s="213"/>
      <c r="AE283" s="213"/>
      <c r="AF283" s="213"/>
      <c r="AG283" s="213" t="s">
        <v>226</v>
      </c>
      <c r="AH283" s="213"/>
      <c r="AI283" s="213"/>
      <c r="AJ283" s="213"/>
      <c r="AK283" s="213"/>
      <c r="AL283" s="213"/>
      <c r="AM283" s="213"/>
      <c r="AN283" s="213"/>
      <c r="AO283" s="213"/>
      <c r="AP283" s="213"/>
      <c r="AQ283" s="213"/>
      <c r="AR283" s="213"/>
      <c r="AS283" s="213"/>
      <c r="AT283" s="213"/>
      <c r="AU283" s="213"/>
      <c r="AV283" s="213"/>
      <c r="AW283" s="213"/>
      <c r="AX283" s="213"/>
      <c r="AY283" s="213"/>
      <c r="AZ283" s="213"/>
      <c r="BA283" s="213"/>
      <c r="BB283" s="213"/>
    </row>
    <row r="284" ht="12.75" customHeight="1" outlineLevel="1">
      <c r="A284" s="235"/>
      <c r="B284" s="236"/>
      <c r="C284" s="237" t="s">
        <v>1250</v>
      </c>
      <c r="D284" s="238"/>
      <c r="E284" s="239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3"/>
      <c r="Z284" s="213"/>
      <c r="AA284" s="213"/>
      <c r="AB284" s="213"/>
      <c r="AC284" s="213"/>
      <c r="AD284" s="213"/>
      <c r="AE284" s="213"/>
      <c r="AF284" s="213"/>
      <c r="AG284" s="213" t="s">
        <v>228</v>
      </c>
      <c r="AH284" s="213">
        <v>0.0</v>
      </c>
      <c r="AI284" s="213"/>
      <c r="AJ284" s="213"/>
      <c r="AK284" s="213"/>
      <c r="AL284" s="213"/>
      <c r="AM284" s="213"/>
      <c r="AN284" s="213"/>
      <c r="AO284" s="213"/>
      <c r="AP284" s="213"/>
      <c r="AQ284" s="213"/>
      <c r="AR284" s="213"/>
      <c r="AS284" s="213"/>
      <c r="AT284" s="213"/>
      <c r="AU284" s="213"/>
      <c r="AV284" s="213"/>
      <c r="AW284" s="213"/>
      <c r="AX284" s="213"/>
      <c r="AY284" s="213"/>
      <c r="AZ284" s="213"/>
      <c r="BA284" s="213"/>
      <c r="BB284" s="213"/>
    </row>
    <row r="285" ht="12.75" customHeight="1" outlineLevel="1">
      <c r="A285" s="235"/>
      <c r="B285" s="236"/>
      <c r="C285" s="237" t="s">
        <v>1251</v>
      </c>
      <c r="D285" s="238"/>
      <c r="E285" s="239">
        <v>1.12</v>
      </c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3"/>
      <c r="Z285" s="213"/>
      <c r="AA285" s="213"/>
      <c r="AB285" s="213"/>
      <c r="AC285" s="213"/>
      <c r="AD285" s="213"/>
      <c r="AE285" s="213"/>
      <c r="AF285" s="213"/>
      <c r="AG285" s="213" t="s">
        <v>228</v>
      </c>
      <c r="AH285" s="213">
        <v>0.0</v>
      </c>
      <c r="AI285" s="213"/>
      <c r="AJ285" s="213"/>
      <c r="AK285" s="213"/>
      <c r="AL285" s="213"/>
      <c r="AM285" s="213"/>
      <c r="AN285" s="213"/>
      <c r="AO285" s="213"/>
      <c r="AP285" s="213"/>
      <c r="AQ285" s="213"/>
      <c r="AR285" s="213"/>
      <c r="AS285" s="213"/>
      <c r="AT285" s="213"/>
      <c r="AU285" s="213"/>
      <c r="AV285" s="213"/>
      <c r="AW285" s="213"/>
      <c r="AX285" s="213"/>
      <c r="AY285" s="213"/>
      <c r="AZ285" s="213"/>
      <c r="BA285" s="213"/>
      <c r="BB285" s="213"/>
    </row>
    <row r="286" ht="12.75" customHeight="1">
      <c r="A286" s="196" t="s">
        <v>173</v>
      </c>
      <c r="B286" s="197" t="s">
        <v>100</v>
      </c>
      <c r="C286" s="198" t="s">
        <v>101</v>
      </c>
      <c r="D286" s="199"/>
      <c r="E286" s="200"/>
      <c r="F286" s="201"/>
      <c r="G286" s="202">
        <f>SUMIF(AG287:AG295,"&lt;&gt;NOR",G287:G295)</f>
        <v>25277.76</v>
      </c>
      <c r="H286" s="203"/>
      <c r="I286" s="203">
        <f>SUM(I287:I295)</f>
        <v>0</v>
      </c>
      <c r="J286" s="203"/>
      <c r="K286" s="203">
        <f>SUM(K287:K295)</f>
        <v>0</v>
      </c>
      <c r="L286" s="203"/>
      <c r="M286" s="203">
        <f>SUM(M287:M295)</f>
        <v>30586.0896</v>
      </c>
      <c r="N286" s="203"/>
      <c r="O286" s="203">
        <f>SUM(O287:O295)</f>
        <v>28.32</v>
      </c>
      <c r="P286" s="203"/>
      <c r="Q286" s="203">
        <f>SUM(Q287:Q295)</f>
        <v>0</v>
      </c>
      <c r="R286" s="203"/>
      <c r="S286" s="203"/>
      <c r="T286" s="203"/>
      <c r="U286" s="203"/>
      <c r="V286" s="203">
        <f>SUM(V287:V295)</f>
        <v>42.39</v>
      </c>
      <c r="W286" s="203"/>
      <c r="X286" s="203"/>
      <c r="AG286" s="184" t="s">
        <v>174</v>
      </c>
    </row>
    <row r="287" ht="12.75" customHeight="1" outlineLevel="1">
      <c r="A287" s="214">
        <v>25.0</v>
      </c>
      <c r="B287" s="215" t="s">
        <v>347</v>
      </c>
      <c r="C287" s="216" t="s">
        <v>348</v>
      </c>
      <c r="D287" s="217" t="s">
        <v>234</v>
      </c>
      <c r="E287" s="218">
        <v>25.0104</v>
      </c>
      <c r="F287" s="219">
        <v>1010.69</v>
      </c>
      <c r="G287" s="220">
        <f>ROUND(E287*F287,2)</f>
        <v>25277.76</v>
      </c>
      <c r="H287" s="211"/>
      <c r="I287" s="212">
        <f>ROUND(E287*H287,2)</f>
        <v>0</v>
      </c>
      <c r="J287" s="211"/>
      <c r="K287" s="212">
        <f>ROUND(E287*J287,2)</f>
        <v>0</v>
      </c>
      <c r="L287" s="212">
        <v>21.0</v>
      </c>
      <c r="M287" s="212">
        <f>G287*(1+L287/100)</f>
        <v>30586.0896</v>
      </c>
      <c r="N287" s="212">
        <v>1.1322</v>
      </c>
      <c r="O287" s="212">
        <f>ROUND(E287*N287,2)</f>
        <v>28.32</v>
      </c>
      <c r="P287" s="212">
        <v>0.0</v>
      </c>
      <c r="Q287" s="212">
        <f>ROUND(E287*P287,2)</f>
        <v>0</v>
      </c>
      <c r="R287" s="212"/>
      <c r="S287" s="212" t="s">
        <v>184</v>
      </c>
      <c r="T287" s="212" t="s">
        <v>184</v>
      </c>
      <c r="U287" s="212">
        <v>1.695</v>
      </c>
      <c r="V287" s="212">
        <f>ROUND(E287*U287,2)</f>
        <v>42.39</v>
      </c>
      <c r="W287" s="212"/>
      <c r="X287" s="212" t="s">
        <v>225</v>
      </c>
      <c r="Y287" s="213"/>
      <c r="Z287" s="213"/>
      <c r="AA287" s="213"/>
      <c r="AB287" s="213"/>
      <c r="AC287" s="213"/>
      <c r="AD287" s="213"/>
      <c r="AE287" s="213"/>
      <c r="AF287" s="213"/>
      <c r="AG287" s="213" t="s">
        <v>226</v>
      </c>
      <c r="AH287" s="213"/>
      <c r="AI287" s="213"/>
      <c r="AJ287" s="213"/>
      <c r="AK287" s="213"/>
      <c r="AL287" s="213"/>
      <c r="AM287" s="213"/>
      <c r="AN287" s="213"/>
      <c r="AO287" s="213"/>
      <c r="AP287" s="213"/>
      <c r="AQ287" s="213"/>
      <c r="AR287" s="213"/>
      <c r="AS287" s="213"/>
      <c r="AT287" s="213"/>
      <c r="AU287" s="213"/>
      <c r="AV287" s="213"/>
      <c r="AW287" s="213"/>
      <c r="AX287" s="213"/>
      <c r="AY287" s="213"/>
      <c r="AZ287" s="213"/>
      <c r="BA287" s="213"/>
      <c r="BB287" s="213"/>
    </row>
    <row r="288" ht="12.75" customHeight="1" outlineLevel="1">
      <c r="A288" s="235"/>
      <c r="B288" s="236"/>
      <c r="C288" s="237" t="s">
        <v>1165</v>
      </c>
      <c r="D288" s="238"/>
      <c r="E288" s="239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3"/>
      <c r="Z288" s="213"/>
      <c r="AA288" s="213"/>
      <c r="AB288" s="213"/>
      <c r="AC288" s="213"/>
      <c r="AD288" s="213"/>
      <c r="AE288" s="213"/>
      <c r="AF288" s="213"/>
      <c r="AG288" s="213" t="s">
        <v>228</v>
      </c>
      <c r="AH288" s="213">
        <v>0.0</v>
      </c>
      <c r="AI288" s="213"/>
      <c r="AJ288" s="213"/>
      <c r="AK288" s="213"/>
      <c r="AL288" s="213"/>
      <c r="AM288" s="213"/>
      <c r="AN288" s="213"/>
      <c r="AO288" s="213"/>
      <c r="AP288" s="213"/>
      <c r="AQ288" s="213"/>
      <c r="AR288" s="213"/>
      <c r="AS288" s="213"/>
      <c r="AT288" s="213"/>
      <c r="AU288" s="213"/>
      <c r="AV288" s="213"/>
      <c r="AW288" s="213"/>
      <c r="AX288" s="213"/>
      <c r="AY288" s="213"/>
      <c r="AZ288" s="213"/>
      <c r="BA288" s="213"/>
      <c r="BB288" s="213"/>
    </row>
    <row r="289" ht="12.75" customHeight="1" outlineLevel="1">
      <c r="A289" s="235"/>
      <c r="B289" s="236"/>
      <c r="C289" s="237" t="s">
        <v>1252</v>
      </c>
      <c r="D289" s="238"/>
      <c r="E289" s="239">
        <v>3.22</v>
      </c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3"/>
      <c r="Z289" s="213"/>
      <c r="AA289" s="213"/>
      <c r="AB289" s="213"/>
      <c r="AC289" s="213"/>
      <c r="AD289" s="213"/>
      <c r="AE289" s="213"/>
      <c r="AF289" s="213"/>
      <c r="AG289" s="213" t="s">
        <v>228</v>
      </c>
      <c r="AH289" s="213">
        <v>0.0</v>
      </c>
      <c r="AI289" s="213"/>
      <c r="AJ289" s="213"/>
      <c r="AK289" s="213"/>
      <c r="AL289" s="213"/>
      <c r="AM289" s="213"/>
      <c r="AN289" s="213"/>
      <c r="AO289" s="213"/>
      <c r="AP289" s="213"/>
      <c r="AQ289" s="213"/>
      <c r="AR289" s="213"/>
      <c r="AS289" s="213"/>
      <c r="AT289" s="213"/>
      <c r="AU289" s="213"/>
      <c r="AV289" s="213"/>
      <c r="AW289" s="213"/>
      <c r="AX289" s="213"/>
      <c r="AY289" s="213"/>
      <c r="AZ289" s="213"/>
      <c r="BA289" s="213"/>
      <c r="BB289" s="213"/>
    </row>
    <row r="290" ht="12.75" customHeight="1" outlineLevel="1">
      <c r="A290" s="235"/>
      <c r="B290" s="236"/>
      <c r="C290" s="237" t="s">
        <v>1167</v>
      </c>
      <c r="D290" s="238"/>
      <c r="E290" s="239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3"/>
      <c r="Z290" s="213"/>
      <c r="AA290" s="213"/>
      <c r="AB290" s="213"/>
      <c r="AC290" s="213"/>
      <c r="AD290" s="213"/>
      <c r="AE290" s="213"/>
      <c r="AF290" s="213"/>
      <c r="AG290" s="213" t="s">
        <v>228</v>
      </c>
      <c r="AH290" s="213">
        <v>0.0</v>
      </c>
      <c r="AI290" s="213"/>
      <c r="AJ290" s="213"/>
      <c r="AK290" s="213"/>
      <c r="AL290" s="213"/>
      <c r="AM290" s="213"/>
      <c r="AN290" s="213"/>
      <c r="AO290" s="213"/>
      <c r="AP290" s="213"/>
      <c r="AQ290" s="213"/>
      <c r="AR290" s="213"/>
      <c r="AS290" s="213"/>
      <c r="AT290" s="213"/>
      <c r="AU290" s="213"/>
      <c r="AV290" s="213"/>
      <c r="AW290" s="213"/>
      <c r="AX290" s="213"/>
      <c r="AY290" s="213"/>
      <c r="AZ290" s="213"/>
      <c r="BA290" s="213"/>
      <c r="BB290" s="213"/>
    </row>
    <row r="291" ht="12.75" customHeight="1" outlineLevel="1">
      <c r="A291" s="235"/>
      <c r="B291" s="236"/>
      <c r="C291" s="237" t="s">
        <v>1253</v>
      </c>
      <c r="D291" s="238"/>
      <c r="E291" s="239">
        <v>9.46</v>
      </c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3"/>
      <c r="Z291" s="213"/>
      <c r="AA291" s="213"/>
      <c r="AB291" s="213"/>
      <c r="AC291" s="213"/>
      <c r="AD291" s="213"/>
      <c r="AE291" s="213"/>
      <c r="AF291" s="213"/>
      <c r="AG291" s="213" t="s">
        <v>228</v>
      </c>
      <c r="AH291" s="213">
        <v>0.0</v>
      </c>
      <c r="AI291" s="213"/>
      <c r="AJ291" s="213"/>
      <c r="AK291" s="213"/>
      <c r="AL291" s="213"/>
      <c r="AM291" s="213"/>
      <c r="AN291" s="213"/>
      <c r="AO291" s="213"/>
      <c r="AP291" s="213"/>
      <c r="AQ291" s="213"/>
      <c r="AR291" s="213"/>
      <c r="AS291" s="213"/>
      <c r="AT291" s="213"/>
      <c r="AU291" s="213"/>
      <c r="AV291" s="213"/>
      <c r="AW291" s="213"/>
      <c r="AX291" s="213"/>
      <c r="AY291" s="213"/>
      <c r="AZ291" s="213"/>
      <c r="BA291" s="213"/>
      <c r="BB291" s="213"/>
    </row>
    <row r="292" ht="12.75" customHeight="1" outlineLevel="1">
      <c r="A292" s="235"/>
      <c r="B292" s="236"/>
      <c r="C292" s="237" t="s">
        <v>1169</v>
      </c>
      <c r="D292" s="238"/>
      <c r="E292" s="239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3"/>
      <c r="Z292" s="213"/>
      <c r="AA292" s="213"/>
      <c r="AB292" s="213"/>
      <c r="AC292" s="213"/>
      <c r="AD292" s="213"/>
      <c r="AE292" s="213"/>
      <c r="AF292" s="213"/>
      <c r="AG292" s="213" t="s">
        <v>228</v>
      </c>
      <c r="AH292" s="213">
        <v>0.0</v>
      </c>
      <c r="AI292" s="213"/>
      <c r="AJ292" s="213"/>
      <c r="AK292" s="213"/>
      <c r="AL292" s="213"/>
      <c r="AM292" s="213"/>
      <c r="AN292" s="213"/>
      <c r="AO292" s="213"/>
      <c r="AP292" s="213"/>
      <c r="AQ292" s="213"/>
      <c r="AR292" s="213"/>
      <c r="AS292" s="213"/>
      <c r="AT292" s="213"/>
      <c r="AU292" s="213"/>
      <c r="AV292" s="213"/>
      <c r="AW292" s="213"/>
      <c r="AX292" s="213"/>
      <c r="AY292" s="213"/>
      <c r="AZ292" s="213"/>
      <c r="BA292" s="213"/>
      <c r="BB292" s="213"/>
    </row>
    <row r="293" ht="12.75" customHeight="1" outlineLevel="1">
      <c r="A293" s="235"/>
      <c r="B293" s="236"/>
      <c r="C293" s="237" t="s">
        <v>1254</v>
      </c>
      <c r="D293" s="238"/>
      <c r="E293" s="239">
        <v>9.21</v>
      </c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3"/>
      <c r="Z293" s="213"/>
      <c r="AA293" s="213"/>
      <c r="AB293" s="213"/>
      <c r="AC293" s="213"/>
      <c r="AD293" s="213"/>
      <c r="AE293" s="213"/>
      <c r="AF293" s="213"/>
      <c r="AG293" s="213" t="s">
        <v>228</v>
      </c>
      <c r="AH293" s="213">
        <v>0.0</v>
      </c>
      <c r="AI293" s="213"/>
      <c r="AJ293" s="213"/>
      <c r="AK293" s="213"/>
      <c r="AL293" s="213"/>
      <c r="AM293" s="213"/>
      <c r="AN293" s="213"/>
      <c r="AO293" s="213"/>
      <c r="AP293" s="213"/>
      <c r="AQ293" s="213"/>
      <c r="AR293" s="213"/>
      <c r="AS293" s="213"/>
      <c r="AT293" s="213"/>
      <c r="AU293" s="213"/>
      <c r="AV293" s="213"/>
      <c r="AW293" s="213"/>
      <c r="AX293" s="213"/>
      <c r="AY293" s="213"/>
      <c r="AZ293" s="213"/>
      <c r="BA293" s="213"/>
      <c r="BB293" s="213"/>
    </row>
    <row r="294" ht="12.75" customHeight="1" outlineLevel="1">
      <c r="A294" s="235"/>
      <c r="B294" s="236"/>
      <c r="C294" s="237" t="s">
        <v>1171</v>
      </c>
      <c r="D294" s="238"/>
      <c r="E294" s="239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3"/>
      <c r="Z294" s="213"/>
      <c r="AA294" s="213"/>
      <c r="AB294" s="213"/>
      <c r="AC294" s="213"/>
      <c r="AD294" s="213"/>
      <c r="AE294" s="213"/>
      <c r="AF294" s="213"/>
      <c r="AG294" s="213" t="s">
        <v>228</v>
      </c>
      <c r="AH294" s="213">
        <v>0.0</v>
      </c>
      <c r="AI294" s="213"/>
      <c r="AJ294" s="213"/>
      <c r="AK294" s="213"/>
      <c r="AL294" s="213"/>
      <c r="AM294" s="213"/>
      <c r="AN294" s="213"/>
      <c r="AO294" s="213"/>
      <c r="AP294" s="213"/>
      <c r="AQ294" s="213"/>
      <c r="AR294" s="213"/>
      <c r="AS294" s="213"/>
      <c r="AT294" s="213"/>
      <c r="AU294" s="213"/>
      <c r="AV294" s="213"/>
      <c r="AW294" s="213"/>
      <c r="AX294" s="213"/>
      <c r="AY294" s="213"/>
      <c r="AZ294" s="213"/>
      <c r="BA294" s="213"/>
      <c r="BB294" s="213"/>
    </row>
    <row r="295" ht="12.75" customHeight="1" outlineLevel="1">
      <c r="A295" s="235"/>
      <c r="B295" s="236"/>
      <c r="C295" s="237" t="s">
        <v>1255</v>
      </c>
      <c r="D295" s="238"/>
      <c r="E295" s="239">
        <v>3.12</v>
      </c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3"/>
      <c r="Z295" s="213"/>
      <c r="AA295" s="213"/>
      <c r="AB295" s="213"/>
      <c r="AC295" s="213"/>
      <c r="AD295" s="213"/>
      <c r="AE295" s="213"/>
      <c r="AF295" s="213"/>
      <c r="AG295" s="213" t="s">
        <v>228</v>
      </c>
      <c r="AH295" s="213">
        <v>0.0</v>
      </c>
      <c r="AI295" s="213"/>
      <c r="AJ295" s="213"/>
      <c r="AK295" s="213"/>
      <c r="AL295" s="213"/>
      <c r="AM295" s="213"/>
      <c r="AN295" s="213"/>
      <c r="AO295" s="213"/>
      <c r="AP295" s="213"/>
      <c r="AQ295" s="213"/>
      <c r="AR295" s="213"/>
      <c r="AS295" s="213"/>
      <c r="AT295" s="213"/>
      <c r="AU295" s="213"/>
      <c r="AV295" s="213"/>
      <c r="AW295" s="213"/>
      <c r="AX295" s="213"/>
      <c r="AY295" s="213"/>
      <c r="AZ295" s="213"/>
      <c r="BA295" s="213"/>
      <c r="BB295" s="213"/>
    </row>
    <row r="296" ht="12.75" customHeight="1">
      <c r="A296" s="196" t="s">
        <v>173</v>
      </c>
      <c r="B296" s="197" t="s">
        <v>102</v>
      </c>
      <c r="C296" s="198" t="s">
        <v>103</v>
      </c>
      <c r="D296" s="199"/>
      <c r="E296" s="200"/>
      <c r="F296" s="201"/>
      <c r="G296" s="202">
        <f>SUMIF(AG297:AG305,"&lt;&gt;NOR",G297:G305)</f>
        <v>14381.59</v>
      </c>
      <c r="H296" s="203"/>
      <c r="I296" s="203">
        <f>SUM(I297:I305)</f>
        <v>0</v>
      </c>
      <c r="J296" s="203"/>
      <c r="K296" s="203">
        <f>SUM(K297:K305)</f>
        <v>0</v>
      </c>
      <c r="L296" s="203"/>
      <c r="M296" s="203">
        <f>SUM(M297:M305)</f>
        <v>17401.7239</v>
      </c>
      <c r="N296" s="203"/>
      <c r="O296" s="203">
        <f>SUM(O297:O305)</f>
        <v>4.31</v>
      </c>
      <c r="P296" s="203"/>
      <c r="Q296" s="203">
        <f>SUM(Q297:Q305)</f>
        <v>0</v>
      </c>
      <c r="R296" s="203"/>
      <c r="S296" s="203"/>
      <c r="T296" s="203"/>
      <c r="U296" s="203"/>
      <c r="V296" s="203">
        <f>SUM(V297:V305)</f>
        <v>6.41</v>
      </c>
      <c r="W296" s="203"/>
      <c r="X296" s="203"/>
      <c r="AG296" s="184" t="s">
        <v>174</v>
      </c>
    </row>
    <row r="297" ht="12.75" customHeight="1" outlineLevel="1">
      <c r="A297" s="214">
        <v>26.0</v>
      </c>
      <c r="B297" s="215" t="s">
        <v>523</v>
      </c>
      <c r="C297" s="216" t="s">
        <v>524</v>
      </c>
      <c r="D297" s="217" t="s">
        <v>224</v>
      </c>
      <c r="E297" s="218">
        <v>8.28</v>
      </c>
      <c r="F297" s="219">
        <v>735.83</v>
      </c>
      <c r="G297" s="220">
        <f>ROUND(E297*F297,2)</f>
        <v>6092.67</v>
      </c>
      <c r="H297" s="211"/>
      <c r="I297" s="212">
        <f>ROUND(E297*H297,2)</f>
        <v>0</v>
      </c>
      <c r="J297" s="211"/>
      <c r="K297" s="212">
        <f>ROUND(E297*J297,2)</f>
        <v>0</v>
      </c>
      <c r="L297" s="212">
        <v>21.0</v>
      </c>
      <c r="M297" s="212">
        <f>G297*(1+L297/100)</f>
        <v>7372.1307</v>
      </c>
      <c r="N297" s="212">
        <v>0.30132</v>
      </c>
      <c r="O297" s="212">
        <f>ROUND(E297*N297,2)</f>
        <v>2.49</v>
      </c>
      <c r="P297" s="212">
        <v>0.0</v>
      </c>
      <c r="Q297" s="212">
        <f>ROUND(E297*P297,2)</f>
        <v>0</v>
      </c>
      <c r="R297" s="212"/>
      <c r="S297" s="212" t="s">
        <v>184</v>
      </c>
      <c r="T297" s="212" t="s">
        <v>184</v>
      </c>
      <c r="U297" s="212">
        <v>0.774</v>
      </c>
      <c r="V297" s="212">
        <f>ROUND(E297*U297,2)</f>
        <v>6.41</v>
      </c>
      <c r="W297" s="212"/>
      <c r="X297" s="212" t="s">
        <v>225</v>
      </c>
      <c r="Y297" s="213"/>
      <c r="Z297" s="213"/>
      <c r="AA297" s="213"/>
      <c r="AB297" s="213"/>
      <c r="AC297" s="213"/>
      <c r="AD297" s="213"/>
      <c r="AE297" s="213"/>
      <c r="AF297" s="213"/>
      <c r="AG297" s="213" t="s">
        <v>226</v>
      </c>
      <c r="AH297" s="213"/>
      <c r="AI297" s="213"/>
      <c r="AJ297" s="213"/>
      <c r="AK297" s="213"/>
      <c r="AL297" s="213"/>
      <c r="AM297" s="213"/>
      <c r="AN297" s="213"/>
      <c r="AO297" s="213"/>
      <c r="AP297" s="213"/>
      <c r="AQ297" s="213"/>
      <c r="AR297" s="213"/>
      <c r="AS297" s="213"/>
      <c r="AT297" s="213"/>
      <c r="AU297" s="213"/>
      <c r="AV297" s="213"/>
      <c r="AW297" s="213"/>
      <c r="AX297" s="213"/>
      <c r="AY297" s="213"/>
      <c r="AZ297" s="213"/>
      <c r="BA297" s="213"/>
      <c r="BB297" s="213"/>
    </row>
    <row r="298" ht="12.75" customHeight="1" outlineLevel="1">
      <c r="A298" s="235"/>
      <c r="B298" s="236"/>
      <c r="C298" s="237" t="s">
        <v>525</v>
      </c>
      <c r="D298" s="238"/>
      <c r="E298" s="239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3"/>
      <c r="Z298" s="213"/>
      <c r="AA298" s="213"/>
      <c r="AB298" s="213"/>
      <c r="AC298" s="213"/>
      <c r="AD298" s="213"/>
      <c r="AE298" s="213"/>
      <c r="AF298" s="213"/>
      <c r="AG298" s="213" t="s">
        <v>228</v>
      </c>
      <c r="AH298" s="213">
        <v>0.0</v>
      </c>
      <c r="AI298" s="213"/>
      <c r="AJ298" s="213"/>
      <c r="AK298" s="213"/>
      <c r="AL298" s="213"/>
      <c r="AM298" s="213"/>
      <c r="AN298" s="213"/>
      <c r="AO298" s="213"/>
      <c r="AP298" s="213"/>
      <c r="AQ298" s="213"/>
      <c r="AR298" s="213"/>
      <c r="AS298" s="213"/>
      <c r="AT298" s="213"/>
      <c r="AU298" s="213"/>
      <c r="AV298" s="213"/>
      <c r="AW298" s="213"/>
      <c r="AX298" s="213"/>
      <c r="AY298" s="213"/>
      <c r="AZ298" s="213"/>
      <c r="BA298" s="213"/>
      <c r="BB298" s="213"/>
    </row>
    <row r="299" ht="12.75" customHeight="1" outlineLevel="1">
      <c r="A299" s="235"/>
      <c r="B299" s="236"/>
      <c r="C299" s="237" t="s">
        <v>1256</v>
      </c>
      <c r="D299" s="238"/>
      <c r="E299" s="239">
        <v>8.28</v>
      </c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3"/>
      <c r="Z299" s="213"/>
      <c r="AA299" s="213"/>
      <c r="AB299" s="213"/>
      <c r="AC299" s="213"/>
      <c r="AD299" s="213"/>
      <c r="AE299" s="213"/>
      <c r="AF299" s="213"/>
      <c r="AG299" s="213" t="s">
        <v>228</v>
      </c>
      <c r="AH299" s="213">
        <v>0.0</v>
      </c>
      <c r="AI299" s="213"/>
      <c r="AJ299" s="213"/>
      <c r="AK299" s="213"/>
      <c r="AL299" s="213"/>
      <c r="AM299" s="213"/>
      <c r="AN299" s="213"/>
      <c r="AO299" s="213"/>
      <c r="AP299" s="213"/>
      <c r="AQ299" s="213"/>
      <c r="AR299" s="213"/>
      <c r="AS299" s="213"/>
      <c r="AT299" s="213"/>
      <c r="AU299" s="213"/>
      <c r="AV299" s="213"/>
      <c r="AW299" s="213"/>
      <c r="AX299" s="213"/>
      <c r="AY299" s="213"/>
      <c r="AZ299" s="213"/>
      <c r="BA299" s="213"/>
      <c r="BB299" s="213"/>
    </row>
    <row r="300" ht="12.75" customHeight="1" outlineLevel="1">
      <c r="A300" s="214">
        <v>27.0</v>
      </c>
      <c r="B300" s="215" t="s">
        <v>527</v>
      </c>
      <c r="C300" s="216" t="s">
        <v>528</v>
      </c>
      <c r="D300" s="217" t="s">
        <v>224</v>
      </c>
      <c r="E300" s="218">
        <v>9.108</v>
      </c>
      <c r="F300" s="219">
        <v>910.07</v>
      </c>
      <c r="G300" s="220">
        <f>ROUND(E300*F300,2)</f>
        <v>8288.92</v>
      </c>
      <c r="H300" s="211"/>
      <c r="I300" s="212">
        <f>ROUND(E300*H300,2)</f>
        <v>0</v>
      </c>
      <c r="J300" s="211"/>
      <c r="K300" s="212">
        <f>ROUND(E300*J300,2)</f>
        <v>0</v>
      </c>
      <c r="L300" s="212">
        <v>21.0</v>
      </c>
      <c r="M300" s="212">
        <f>G300*(1+L300/100)</f>
        <v>10029.5932</v>
      </c>
      <c r="N300" s="212">
        <v>0.2</v>
      </c>
      <c r="O300" s="212">
        <f>ROUND(E300*N300,2)</f>
        <v>1.82</v>
      </c>
      <c r="P300" s="212">
        <v>0.0</v>
      </c>
      <c r="Q300" s="212">
        <f>ROUND(E300*P300,2)</f>
        <v>0</v>
      </c>
      <c r="R300" s="212" t="s">
        <v>322</v>
      </c>
      <c r="S300" s="212" t="s">
        <v>184</v>
      </c>
      <c r="T300" s="212" t="s">
        <v>184</v>
      </c>
      <c r="U300" s="212">
        <v>0.0</v>
      </c>
      <c r="V300" s="212">
        <f>ROUND(E300*U300,2)</f>
        <v>0</v>
      </c>
      <c r="W300" s="212"/>
      <c r="X300" s="212" t="s">
        <v>323</v>
      </c>
      <c r="Y300" s="213"/>
      <c r="Z300" s="213"/>
      <c r="AA300" s="213"/>
      <c r="AB300" s="213"/>
      <c r="AC300" s="213"/>
      <c r="AD300" s="213"/>
      <c r="AE300" s="213"/>
      <c r="AF300" s="213"/>
      <c r="AG300" s="213" t="s">
        <v>324</v>
      </c>
      <c r="AH300" s="213"/>
      <c r="AI300" s="213"/>
      <c r="AJ300" s="213"/>
      <c r="AK300" s="213"/>
      <c r="AL300" s="213"/>
      <c r="AM300" s="213"/>
      <c r="AN300" s="213"/>
      <c r="AO300" s="213"/>
      <c r="AP300" s="213"/>
      <c r="AQ300" s="213"/>
      <c r="AR300" s="213"/>
      <c r="AS300" s="213"/>
      <c r="AT300" s="213"/>
      <c r="AU300" s="213"/>
      <c r="AV300" s="213"/>
      <c r="AW300" s="213"/>
      <c r="AX300" s="213"/>
      <c r="AY300" s="213"/>
      <c r="AZ300" s="213"/>
      <c r="BA300" s="213"/>
      <c r="BB300" s="213"/>
    </row>
    <row r="301" ht="12.75" customHeight="1" outlineLevel="1">
      <c r="A301" s="235"/>
      <c r="B301" s="236"/>
      <c r="C301" s="237" t="s">
        <v>525</v>
      </c>
      <c r="D301" s="238"/>
      <c r="E301" s="239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3"/>
      <c r="Z301" s="213"/>
      <c r="AA301" s="213"/>
      <c r="AB301" s="213"/>
      <c r="AC301" s="213"/>
      <c r="AD301" s="213"/>
      <c r="AE301" s="213"/>
      <c r="AF301" s="213"/>
      <c r="AG301" s="213" t="s">
        <v>228</v>
      </c>
      <c r="AH301" s="213">
        <v>0.0</v>
      </c>
      <c r="AI301" s="213"/>
      <c r="AJ301" s="213"/>
      <c r="AK301" s="213"/>
      <c r="AL301" s="213"/>
      <c r="AM301" s="213"/>
      <c r="AN301" s="213"/>
      <c r="AO301" s="213"/>
      <c r="AP301" s="213"/>
      <c r="AQ301" s="213"/>
      <c r="AR301" s="213"/>
      <c r="AS301" s="213"/>
      <c r="AT301" s="213"/>
      <c r="AU301" s="213"/>
      <c r="AV301" s="213"/>
      <c r="AW301" s="213"/>
      <c r="AX301" s="213"/>
      <c r="AY301" s="213"/>
      <c r="AZ301" s="213"/>
      <c r="BA301" s="213"/>
      <c r="BB301" s="213"/>
    </row>
    <row r="302" ht="12.75" customHeight="1" outlineLevel="1">
      <c r="A302" s="235"/>
      <c r="B302" s="236"/>
      <c r="C302" s="240" t="s">
        <v>236</v>
      </c>
      <c r="D302" s="241"/>
      <c r="E302" s="24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3"/>
      <c r="Z302" s="213"/>
      <c r="AA302" s="213"/>
      <c r="AB302" s="213"/>
      <c r="AC302" s="213"/>
      <c r="AD302" s="213"/>
      <c r="AE302" s="213"/>
      <c r="AF302" s="213"/>
      <c r="AG302" s="213" t="s">
        <v>228</v>
      </c>
      <c r="AH302" s="213"/>
      <c r="AI302" s="213"/>
      <c r="AJ302" s="213"/>
      <c r="AK302" s="213"/>
      <c r="AL302" s="213"/>
      <c r="AM302" s="213"/>
      <c r="AN302" s="213"/>
      <c r="AO302" s="213"/>
      <c r="AP302" s="213"/>
      <c r="AQ302" s="213"/>
      <c r="AR302" s="213"/>
      <c r="AS302" s="213"/>
      <c r="AT302" s="213"/>
      <c r="AU302" s="213"/>
      <c r="AV302" s="213"/>
      <c r="AW302" s="213"/>
      <c r="AX302" s="213"/>
      <c r="AY302" s="213"/>
      <c r="AZ302" s="213"/>
      <c r="BA302" s="213"/>
      <c r="BB302" s="213"/>
    </row>
    <row r="303" ht="12.75" customHeight="1" outlineLevel="1">
      <c r="A303" s="235"/>
      <c r="B303" s="236"/>
      <c r="C303" s="243" t="s">
        <v>529</v>
      </c>
      <c r="D303" s="241"/>
      <c r="E303" s="242">
        <v>1.38</v>
      </c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3"/>
      <c r="Z303" s="213"/>
      <c r="AA303" s="213"/>
      <c r="AB303" s="213"/>
      <c r="AC303" s="213"/>
      <c r="AD303" s="213"/>
      <c r="AE303" s="213"/>
      <c r="AF303" s="213"/>
      <c r="AG303" s="213" t="s">
        <v>228</v>
      </c>
      <c r="AH303" s="213">
        <v>2.0</v>
      </c>
      <c r="AI303" s="213"/>
      <c r="AJ303" s="213"/>
      <c r="AK303" s="213"/>
      <c r="AL303" s="213"/>
      <c r="AM303" s="213"/>
      <c r="AN303" s="213"/>
      <c r="AO303" s="213"/>
      <c r="AP303" s="213"/>
      <c r="AQ303" s="213"/>
      <c r="AR303" s="213"/>
      <c r="AS303" s="213"/>
      <c r="AT303" s="213"/>
      <c r="AU303" s="213"/>
      <c r="AV303" s="213"/>
      <c r="AW303" s="213"/>
      <c r="AX303" s="213"/>
      <c r="AY303" s="213"/>
      <c r="AZ303" s="213"/>
      <c r="BA303" s="213"/>
      <c r="BB303" s="213"/>
    </row>
    <row r="304" ht="12.75" customHeight="1" outlineLevel="1">
      <c r="A304" s="235"/>
      <c r="B304" s="236"/>
      <c r="C304" s="240" t="s">
        <v>238</v>
      </c>
      <c r="D304" s="241"/>
      <c r="E304" s="24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3"/>
      <c r="Z304" s="213"/>
      <c r="AA304" s="213"/>
      <c r="AB304" s="213"/>
      <c r="AC304" s="213"/>
      <c r="AD304" s="213"/>
      <c r="AE304" s="213"/>
      <c r="AF304" s="213"/>
      <c r="AG304" s="213" t="s">
        <v>228</v>
      </c>
      <c r="AH304" s="213"/>
      <c r="AI304" s="213"/>
      <c r="AJ304" s="213"/>
      <c r="AK304" s="213"/>
      <c r="AL304" s="213"/>
      <c r="AM304" s="213"/>
      <c r="AN304" s="213"/>
      <c r="AO304" s="213"/>
      <c r="AP304" s="213"/>
      <c r="AQ304" s="213"/>
      <c r="AR304" s="213"/>
      <c r="AS304" s="213"/>
      <c r="AT304" s="213"/>
      <c r="AU304" s="213"/>
      <c r="AV304" s="213"/>
      <c r="AW304" s="213"/>
      <c r="AX304" s="213"/>
      <c r="AY304" s="213"/>
      <c r="AZ304" s="213"/>
      <c r="BA304" s="213"/>
      <c r="BB304" s="213"/>
    </row>
    <row r="305" ht="12.75" customHeight="1" outlineLevel="1">
      <c r="A305" s="235"/>
      <c r="B305" s="236"/>
      <c r="C305" s="237" t="s">
        <v>1257</v>
      </c>
      <c r="D305" s="238"/>
      <c r="E305" s="239">
        <v>9.11</v>
      </c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3"/>
      <c r="Z305" s="213"/>
      <c r="AA305" s="213"/>
      <c r="AB305" s="213"/>
      <c r="AC305" s="213"/>
      <c r="AD305" s="213"/>
      <c r="AE305" s="213"/>
      <c r="AF305" s="213"/>
      <c r="AG305" s="213" t="s">
        <v>228</v>
      </c>
      <c r="AH305" s="213">
        <v>0.0</v>
      </c>
      <c r="AI305" s="213"/>
      <c r="AJ305" s="213"/>
      <c r="AK305" s="213"/>
      <c r="AL305" s="213"/>
      <c r="AM305" s="213"/>
      <c r="AN305" s="213"/>
      <c r="AO305" s="213"/>
      <c r="AP305" s="213"/>
      <c r="AQ305" s="213"/>
      <c r="AR305" s="213"/>
      <c r="AS305" s="213"/>
      <c r="AT305" s="213"/>
      <c r="AU305" s="213"/>
      <c r="AV305" s="213"/>
      <c r="AW305" s="213"/>
      <c r="AX305" s="213"/>
      <c r="AY305" s="213"/>
      <c r="AZ305" s="213"/>
      <c r="BA305" s="213"/>
      <c r="BB305" s="213"/>
    </row>
    <row r="306" ht="12.75" customHeight="1">
      <c r="A306" s="196" t="s">
        <v>173</v>
      </c>
      <c r="B306" s="197" t="s">
        <v>104</v>
      </c>
      <c r="C306" s="198" t="s">
        <v>105</v>
      </c>
      <c r="D306" s="199"/>
      <c r="E306" s="200"/>
      <c r="F306" s="201"/>
      <c r="G306" s="202">
        <f>SUMIF(AG307:AG366,"&lt;&gt;NOR",G307:G366)</f>
        <v>65351.55</v>
      </c>
      <c r="H306" s="203"/>
      <c r="I306" s="203">
        <f>SUM(I307:I366)</f>
        <v>0</v>
      </c>
      <c r="J306" s="203"/>
      <c r="K306" s="203">
        <f>SUM(K307:K366)</f>
        <v>0</v>
      </c>
      <c r="L306" s="203"/>
      <c r="M306" s="203">
        <f>SUM(M307:M366)</f>
        <v>79075.3755</v>
      </c>
      <c r="N306" s="203"/>
      <c r="O306" s="203">
        <f>SUM(O307:O366)</f>
        <v>25.62</v>
      </c>
      <c r="P306" s="203"/>
      <c r="Q306" s="203">
        <f>SUM(Q307:Q366)</f>
        <v>0</v>
      </c>
      <c r="R306" s="203"/>
      <c r="S306" s="203"/>
      <c r="T306" s="203"/>
      <c r="U306" s="203"/>
      <c r="V306" s="203">
        <f>SUM(V307:V366)</f>
        <v>44.28</v>
      </c>
      <c r="W306" s="203"/>
      <c r="X306" s="203"/>
      <c r="AG306" s="184" t="s">
        <v>174</v>
      </c>
    </row>
    <row r="307" ht="12.75" customHeight="1" outlineLevel="1">
      <c r="A307" s="214">
        <v>28.0</v>
      </c>
      <c r="B307" s="215" t="s">
        <v>531</v>
      </c>
      <c r="C307" s="216" t="s">
        <v>532</v>
      </c>
      <c r="D307" s="217" t="s">
        <v>234</v>
      </c>
      <c r="E307" s="218">
        <v>1.176</v>
      </c>
      <c r="F307" s="219">
        <v>4130.0</v>
      </c>
      <c r="G307" s="220">
        <f>ROUND(E307*F307,2)</f>
        <v>4856.88</v>
      </c>
      <c r="H307" s="211"/>
      <c r="I307" s="212">
        <f>ROUND(E307*H307,2)</f>
        <v>0</v>
      </c>
      <c r="J307" s="211"/>
      <c r="K307" s="212">
        <f>ROUND(E307*J307,2)</f>
        <v>0</v>
      </c>
      <c r="L307" s="212">
        <v>21.0</v>
      </c>
      <c r="M307" s="212">
        <f>G307*(1+L307/100)</f>
        <v>5876.8248</v>
      </c>
      <c r="N307" s="212">
        <v>2.525</v>
      </c>
      <c r="O307" s="212">
        <f>ROUND(E307*N307,2)</f>
        <v>2.97</v>
      </c>
      <c r="P307" s="212">
        <v>0.0</v>
      </c>
      <c r="Q307" s="212">
        <f>ROUND(E307*P307,2)</f>
        <v>0</v>
      </c>
      <c r="R307" s="212"/>
      <c r="S307" s="212" t="s">
        <v>184</v>
      </c>
      <c r="T307" s="212" t="s">
        <v>184</v>
      </c>
      <c r="U307" s="212">
        <v>2.58</v>
      </c>
      <c r="V307" s="212">
        <f>ROUND(E307*U307,2)</f>
        <v>3.03</v>
      </c>
      <c r="W307" s="212"/>
      <c r="X307" s="212" t="s">
        <v>225</v>
      </c>
      <c r="Y307" s="213"/>
      <c r="Z307" s="213"/>
      <c r="AA307" s="213"/>
      <c r="AB307" s="213"/>
      <c r="AC307" s="213"/>
      <c r="AD307" s="213"/>
      <c r="AE307" s="213"/>
      <c r="AF307" s="213"/>
      <c r="AG307" s="213" t="s">
        <v>226</v>
      </c>
      <c r="AH307" s="213"/>
      <c r="AI307" s="213"/>
      <c r="AJ307" s="213"/>
      <c r="AK307" s="213"/>
      <c r="AL307" s="213"/>
      <c r="AM307" s="213"/>
      <c r="AN307" s="213"/>
      <c r="AO307" s="213"/>
      <c r="AP307" s="213"/>
      <c r="AQ307" s="213"/>
      <c r="AR307" s="213"/>
      <c r="AS307" s="213"/>
      <c r="AT307" s="213"/>
      <c r="AU307" s="213"/>
      <c r="AV307" s="213"/>
      <c r="AW307" s="213"/>
      <c r="AX307" s="213"/>
      <c r="AY307" s="213"/>
      <c r="AZ307" s="213"/>
      <c r="BA307" s="213"/>
      <c r="BB307" s="213"/>
    </row>
    <row r="308" ht="12.75" customHeight="1" outlineLevel="1">
      <c r="A308" s="235"/>
      <c r="B308" s="236"/>
      <c r="C308" s="237" t="s">
        <v>533</v>
      </c>
      <c r="D308" s="238"/>
      <c r="E308" s="239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3"/>
      <c r="Z308" s="213"/>
      <c r="AA308" s="213"/>
      <c r="AB308" s="213"/>
      <c r="AC308" s="213"/>
      <c r="AD308" s="213"/>
      <c r="AE308" s="213"/>
      <c r="AF308" s="213"/>
      <c r="AG308" s="213" t="s">
        <v>228</v>
      </c>
      <c r="AH308" s="213">
        <v>0.0</v>
      </c>
      <c r="AI308" s="213"/>
      <c r="AJ308" s="213"/>
      <c r="AK308" s="213"/>
      <c r="AL308" s="213"/>
      <c r="AM308" s="213"/>
      <c r="AN308" s="213"/>
      <c r="AO308" s="213"/>
      <c r="AP308" s="213"/>
      <c r="AQ308" s="213"/>
      <c r="AR308" s="213"/>
      <c r="AS308" s="213"/>
      <c r="AT308" s="213"/>
      <c r="AU308" s="213"/>
      <c r="AV308" s="213"/>
      <c r="AW308" s="213"/>
      <c r="AX308" s="213"/>
      <c r="AY308" s="213"/>
      <c r="AZ308" s="213"/>
      <c r="BA308" s="213"/>
      <c r="BB308" s="213"/>
    </row>
    <row r="309" ht="12.75" customHeight="1" outlineLevel="1">
      <c r="A309" s="235"/>
      <c r="B309" s="236"/>
      <c r="C309" s="237" t="s">
        <v>1258</v>
      </c>
      <c r="D309" s="238"/>
      <c r="E309" s="239">
        <v>1.18</v>
      </c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3"/>
      <c r="Z309" s="213"/>
      <c r="AA309" s="213"/>
      <c r="AB309" s="213"/>
      <c r="AC309" s="213"/>
      <c r="AD309" s="213"/>
      <c r="AE309" s="213"/>
      <c r="AF309" s="213"/>
      <c r="AG309" s="213" t="s">
        <v>228</v>
      </c>
      <c r="AH309" s="213">
        <v>0.0</v>
      </c>
      <c r="AI309" s="213"/>
      <c r="AJ309" s="213"/>
      <c r="AK309" s="213"/>
      <c r="AL309" s="213"/>
      <c r="AM309" s="213"/>
      <c r="AN309" s="213"/>
      <c r="AO309" s="213"/>
      <c r="AP309" s="213"/>
      <c r="AQ309" s="213"/>
      <c r="AR309" s="213"/>
      <c r="AS309" s="213"/>
      <c r="AT309" s="213"/>
      <c r="AU309" s="213"/>
      <c r="AV309" s="213"/>
      <c r="AW309" s="213"/>
      <c r="AX309" s="213"/>
      <c r="AY309" s="213"/>
      <c r="AZ309" s="213"/>
      <c r="BA309" s="213"/>
      <c r="BB309" s="213"/>
    </row>
    <row r="310" ht="12.75" customHeight="1" outlineLevel="1">
      <c r="A310" s="214">
        <v>29.0</v>
      </c>
      <c r="B310" s="215" t="s">
        <v>536</v>
      </c>
      <c r="C310" s="216" t="s">
        <v>537</v>
      </c>
      <c r="D310" s="217" t="s">
        <v>234</v>
      </c>
      <c r="E310" s="218">
        <v>1.887</v>
      </c>
      <c r="F310" s="219">
        <v>5180.0</v>
      </c>
      <c r="G310" s="220">
        <f>ROUND(E310*F310,2)</f>
        <v>9774.66</v>
      </c>
      <c r="H310" s="211"/>
      <c r="I310" s="212">
        <f>ROUND(E310*H310,2)</f>
        <v>0</v>
      </c>
      <c r="J310" s="211"/>
      <c r="K310" s="212">
        <f>ROUND(E310*J310,2)</f>
        <v>0</v>
      </c>
      <c r="L310" s="212">
        <v>21.0</v>
      </c>
      <c r="M310" s="212">
        <f>G310*(1+L310/100)</f>
        <v>11827.3386</v>
      </c>
      <c r="N310" s="212">
        <v>2.525</v>
      </c>
      <c r="O310" s="212">
        <f>ROUND(E310*N310,2)</f>
        <v>4.76</v>
      </c>
      <c r="P310" s="212">
        <v>0.0</v>
      </c>
      <c r="Q310" s="212">
        <f>ROUND(E310*P310,2)</f>
        <v>0</v>
      </c>
      <c r="R310" s="212"/>
      <c r="S310" s="212" t="s">
        <v>184</v>
      </c>
      <c r="T310" s="212" t="s">
        <v>184</v>
      </c>
      <c r="U310" s="212">
        <v>2.58</v>
      </c>
      <c r="V310" s="212">
        <f>ROUND(E310*U310,2)</f>
        <v>4.87</v>
      </c>
      <c r="W310" s="212"/>
      <c r="X310" s="212" t="s">
        <v>225</v>
      </c>
      <c r="Y310" s="213"/>
      <c r="Z310" s="213"/>
      <c r="AA310" s="213"/>
      <c r="AB310" s="213"/>
      <c r="AC310" s="213"/>
      <c r="AD310" s="213"/>
      <c r="AE310" s="213"/>
      <c r="AF310" s="213"/>
      <c r="AG310" s="213" t="s">
        <v>226</v>
      </c>
      <c r="AH310" s="213"/>
      <c r="AI310" s="213"/>
      <c r="AJ310" s="213"/>
      <c r="AK310" s="213"/>
      <c r="AL310" s="213"/>
      <c r="AM310" s="213"/>
      <c r="AN310" s="213"/>
      <c r="AO310" s="213"/>
      <c r="AP310" s="213"/>
      <c r="AQ310" s="213"/>
      <c r="AR310" s="213"/>
      <c r="AS310" s="213"/>
      <c r="AT310" s="213"/>
      <c r="AU310" s="213"/>
      <c r="AV310" s="213"/>
      <c r="AW310" s="213"/>
      <c r="AX310" s="213"/>
      <c r="AY310" s="213"/>
      <c r="AZ310" s="213"/>
      <c r="BA310" s="213"/>
      <c r="BB310" s="213"/>
    </row>
    <row r="311" ht="12.75" customHeight="1" outlineLevel="1">
      <c r="A311" s="235"/>
      <c r="B311" s="236"/>
      <c r="C311" s="237" t="s">
        <v>538</v>
      </c>
      <c r="D311" s="238"/>
      <c r="E311" s="239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3"/>
      <c r="Z311" s="213"/>
      <c r="AA311" s="213"/>
      <c r="AB311" s="213"/>
      <c r="AC311" s="213"/>
      <c r="AD311" s="213"/>
      <c r="AE311" s="213"/>
      <c r="AF311" s="213"/>
      <c r="AG311" s="213" t="s">
        <v>228</v>
      </c>
      <c r="AH311" s="213">
        <v>0.0</v>
      </c>
      <c r="AI311" s="213"/>
      <c r="AJ311" s="213"/>
      <c r="AK311" s="213"/>
      <c r="AL311" s="213"/>
      <c r="AM311" s="213"/>
      <c r="AN311" s="213"/>
      <c r="AO311" s="213"/>
      <c r="AP311" s="213"/>
      <c r="AQ311" s="213"/>
      <c r="AR311" s="213"/>
      <c r="AS311" s="213"/>
      <c r="AT311" s="213"/>
      <c r="AU311" s="213"/>
      <c r="AV311" s="213"/>
      <c r="AW311" s="213"/>
      <c r="AX311" s="213"/>
      <c r="AY311" s="213"/>
      <c r="AZ311" s="213"/>
      <c r="BA311" s="213"/>
      <c r="BB311" s="213"/>
    </row>
    <row r="312" ht="12.75" customHeight="1" outlineLevel="1">
      <c r="A312" s="235"/>
      <c r="B312" s="236"/>
      <c r="C312" s="240" t="s">
        <v>236</v>
      </c>
      <c r="D312" s="241"/>
      <c r="E312" s="24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3"/>
      <c r="Z312" s="213"/>
      <c r="AA312" s="213"/>
      <c r="AB312" s="213"/>
      <c r="AC312" s="213"/>
      <c r="AD312" s="213"/>
      <c r="AE312" s="213"/>
      <c r="AF312" s="213"/>
      <c r="AG312" s="213" t="s">
        <v>228</v>
      </c>
      <c r="AH312" s="213"/>
      <c r="AI312" s="213"/>
      <c r="AJ312" s="213"/>
      <c r="AK312" s="213"/>
      <c r="AL312" s="213"/>
      <c r="AM312" s="213"/>
      <c r="AN312" s="213"/>
      <c r="AO312" s="213"/>
      <c r="AP312" s="213"/>
      <c r="AQ312" s="213"/>
      <c r="AR312" s="213"/>
      <c r="AS312" s="213"/>
      <c r="AT312" s="213"/>
      <c r="AU312" s="213"/>
      <c r="AV312" s="213"/>
      <c r="AW312" s="213"/>
      <c r="AX312" s="213"/>
      <c r="AY312" s="213"/>
      <c r="AZ312" s="213"/>
      <c r="BA312" s="213"/>
      <c r="BB312" s="213"/>
    </row>
    <row r="313" ht="12.75" customHeight="1" outlineLevel="1">
      <c r="A313" s="235"/>
      <c r="B313" s="236"/>
      <c r="C313" s="243" t="s">
        <v>1064</v>
      </c>
      <c r="D313" s="241"/>
      <c r="E313" s="242">
        <v>0.14</v>
      </c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3"/>
      <c r="Z313" s="213"/>
      <c r="AA313" s="213"/>
      <c r="AB313" s="213"/>
      <c r="AC313" s="213"/>
      <c r="AD313" s="213"/>
      <c r="AE313" s="213"/>
      <c r="AF313" s="213"/>
      <c r="AG313" s="213" t="s">
        <v>228</v>
      </c>
      <c r="AH313" s="213">
        <v>2.0</v>
      </c>
      <c r="AI313" s="213"/>
      <c r="AJ313" s="213"/>
      <c r="AK313" s="213"/>
      <c r="AL313" s="213"/>
      <c r="AM313" s="213"/>
      <c r="AN313" s="213"/>
      <c r="AO313" s="213"/>
      <c r="AP313" s="213"/>
      <c r="AQ313" s="213"/>
      <c r="AR313" s="213"/>
      <c r="AS313" s="213"/>
      <c r="AT313" s="213"/>
      <c r="AU313" s="213"/>
      <c r="AV313" s="213"/>
      <c r="AW313" s="213"/>
      <c r="AX313" s="213"/>
      <c r="AY313" s="213"/>
      <c r="AZ313" s="213"/>
      <c r="BA313" s="213"/>
      <c r="BB313" s="213"/>
    </row>
    <row r="314" ht="12.75" customHeight="1" outlineLevel="1">
      <c r="A314" s="235"/>
      <c r="B314" s="236"/>
      <c r="C314" s="240" t="s">
        <v>238</v>
      </c>
      <c r="D314" s="241"/>
      <c r="E314" s="24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3"/>
      <c r="Z314" s="213"/>
      <c r="AA314" s="213"/>
      <c r="AB314" s="213"/>
      <c r="AC314" s="213"/>
      <c r="AD314" s="213"/>
      <c r="AE314" s="213"/>
      <c r="AF314" s="213"/>
      <c r="AG314" s="213" t="s">
        <v>228</v>
      </c>
      <c r="AH314" s="213"/>
      <c r="AI314" s="213"/>
      <c r="AJ314" s="213"/>
      <c r="AK314" s="213"/>
      <c r="AL314" s="213"/>
      <c r="AM314" s="213"/>
      <c r="AN314" s="213"/>
      <c r="AO314" s="213"/>
      <c r="AP314" s="213"/>
      <c r="AQ314" s="213"/>
      <c r="AR314" s="213"/>
      <c r="AS314" s="213"/>
      <c r="AT314" s="213"/>
      <c r="AU314" s="213"/>
      <c r="AV314" s="213"/>
      <c r="AW314" s="213"/>
      <c r="AX314" s="213"/>
      <c r="AY314" s="213"/>
      <c r="AZ314" s="213"/>
      <c r="BA314" s="213"/>
      <c r="BB314" s="213"/>
    </row>
    <row r="315" ht="12.75" customHeight="1" outlineLevel="1">
      <c r="A315" s="235"/>
      <c r="B315" s="236"/>
      <c r="C315" s="237" t="s">
        <v>1259</v>
      </c>
      <c r="D315" s="238"/>
      <c r="E315" s="239">
        <v>0.83</v>
      </c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3"/>
      <c r="Z315" s="213"/>
      <c r="AA315" s="213"/>
      <c r="AB315" s="213"/>
      <c r="AC315" s="213"/>
      <c r="AD315" s="213"/>
      <c r="AE315" s="213"/>
      <c r="AF315" s="213"/>
      <c r="AG315" s="213" t="s">
        <v>228</v>
      </c>
      <c r="AH315" s="213">
        <v>0.0</v>
      </c>
      <c r="AI315" s="213"/>
      <c r="AJ315" s="213"/>
      <c r="AK315" s="213"/>
      <c r="AL315" s="213"/>
      <c r="AM315" s="213"/>
      <c r="AN315" s="213"/>
      <c r="AO315" s="213"/>
      <c r="AP315" s="213"/>
      <c r="AQ315" s="213"/>
      <c r="AR315" s="213"/>
      <c r="AS315" s="213"/>
      <c r="AT315" s="213"/>
      <c r="AU315" s="213"/>
      <c r="AV315" s="213"/>
      <c r="AW315" s="213"/>
      <c r="AX315" s="213"/>
      <c r="AY315" s="213"/>
      <c r="AZ315" s="213"/>
      <c r="BA315" s="213"/>
      <c r="BB315" s="213"/>
    </row>
    <row r="316" ht="12.75" customHeight="1" outlineLevel="1">
      <c r="A316" s="235"/>
      <c r="B316" s="236"/>
      <c r="C316" s="237" t="s">
        <v>1260</v>
      </c>
      <c r="D316" s="238"/>
      <c r="E316" s="239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3"/>
      <c r="Z316" s="213"/>
      <c r="AA316" s="213"/>
      <c r="AB316" s="213"/>
      <c r="AC316" s="213"/>
      <c r="AD316" s="213"/>
      <c r="AE316" s="213"/>
      <c r="AF316" s="213"/>
      <c r="AG316" s="213" t="s">
        <v>228</v>
      </c>
      <c r="AH316" s="213">
        <v>0.0</v>
      </c>
      <c r="AI316" s="213"/>
      <c r="AJ316" s="213"/>
      <c r="AK316" s="213"/>
      <c r="AL316" s="213"/>
      <c r="AM316" s="213"/>
      <c r="AN316" s="213"/>
      <c r="AO316" s="213"/>
      <c r="AP316" s="213"/>
      <c r="AQ316" s="213"/>
      <c r="AR316" s="213"/>
      <c r="AS316" s="213"/>
      <c r="AT316" s="213"/>
      <c r="AU316" s="213"/>
      <c r="AV316" s="213"/>
      <c r="AW316" s="213"/>
      <c r="AX316" s="213"/>
      <c r="AY316" s="213"/>
      <c r="AZ316" s="213"/>
      <c r="BA316" s="213"/>
      <c r="BB316" s="213"/>
    </row>
    <row r="317" ht="12.75" customHeight="1" outlineLevel="1">
      <c r="A317" s="235"/>
      <c r="B317" s="236"/>
      <c r="C317" s="237" t="s">
        <v>1261</v>
      </c>
      <c r="D317" s="238"/>
      <c r="E317" s="239">
        <v>1.06</v>
      </c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3"/>
      <c r="Z317" s="213"/>
      <c r="AA317" s="213"/>
      <c r="AB317" s="213"/>
      <c r="AC317" s="213"/>
      <c r="AD317" s="213"/>
      <c r="AE317" s="213"/>
      <c r="AF317" s="213"/>
      <c r="AG317" s="213" t="s">
        <v>228</v>
      </c>
      <c r="AH317" s="213">
        <v>0.0</v>
      </c>
      <c r="AI317" s="213"/>
      <c r="AJ317" s="213"/>
      <c r="AK317" s="213"/>
      <c r="AL317" s="213"/>
      <c r="AM317" s="213"/>
      <c r="AN317" s="213"/>
      <c r="AO317" s="213"/>
      <c r="AP317" s="213"/>
      <c r="AQ317" s="213"/>
      <c r="AR317" s="213"/>
      <c r="AS317" s="213"/>
      <c r="AT317" s="213"/>
      <c r="AU317" s="213"/>
      <c r="AV317" s="213"/>
      <c r="AW317" s="213"/>
      <c r="AX317" s="213"/>
      <c r="AY317" s="213"/>
      <c r="AZ317" s="213"/>
      <c r="BA317" s="213"/>
      <c r="BB317" s="213"/>
    </row>
    <row r="318" ht="12.75" customHeight="1" outlineLevel="1">
      <c r="A318" s="214">
        <v>30.0</v>
      </c>
      <c r="B318" s="215" t="s">
        <v>1262</v>
      </c>
      <c r="C318" s="216" t="s">
        <v>1263</v>
      </c>
      <c r="D318" s="217" t="s">
        <v>234</v>
      </c>
      <c r="E318" s="218">
        <v>6.93</v>
      </c>
      <c r="F318" s="219">
        <v>4434.15</v>
      </c>
      <c r="G318" s="220">
        <f>ROUND(E318*F318,2)</f>
        <v>30728.66</v>
      </c>
      <c r="H318" s="211"/>
      <c r="I318" s="212">
        <f>ROUND(E318*H318,2)</f>
        <v>0</v>
      </c>
      <c r="J318" s="211"/>
      <c r="K318" s="212">
        <f>ROUND(E318*J318,2)</f>
        <v>0</v>
      </c>
      <c r="L318" s="212">
        <v>21.0</v>
      </c>
      <c r="M318" s="212">
        <f>G318*(1+L318/100)</f>
        <v>37181.6786</v>
      </c>
      <c r="N318" s="212">
        <v>2.525</v>
      </c>
      <c r="O318" s="212">
        <f>ROUND(E318*N318,2)</f>
        <v>17.5</v>
      </c>
      <c r="P318" s="212">
        <v>0.0</v>
      </c>
      <c r="Q318" s="212">
        <f>ROUND(E318*P318,2)</f>
        <v>0</v>
      </c>
      <c r="R318" s="212"/>
      <c r="S318" s="212" t="s">
        <v>184</v>
      </c>
      <c r="T318" s="212" t="s">
        <v>184</v>
      </c>
      <c r="U318" s="212">
        <v>2.317</v>
      </c>
      <c r="V318" s="212">
        <f>ROUND(E318*U318,2)</f>
        <v>16.06</v>
      </c>
      <c r="W318" s="212"/>
      <c r="X318" s="212" t="s">
        <v>225</v>
      </c>
      <c r="Y318" s="213"/>
      <c r="Z318" s="213"/>
      <c r="AA318" s="213"/>
      <c r="AB318" s="213"/>
      <c r="AC318" s="213"/>
      <c r="AD318" s="213"/>
      <c r="AE318" s="213"/>
      <c r="AF318" s="213"/>
      <c r="AG318" s="213" t="s">
        <v>226</v>
      </c>
      <c r="AH318" s="213"/>
      <c r="AI318" s="213"/>
      <c r="AJ318" s="213"/>
      <c r="AK318" s="213"/>
      <c r="AL318" s="213"/>
      <c r="AM318" s="213"/>
      <c r="AN318" s="213"/>
      <c r="AO318" s="213"/>
      <c r="AP318" s="213"/>
      <c r="AQ318" s="213"/>
      <c r="AR318" s="213"/>
      <c r="AS318" s="213"/>
      <c r="AT318" s="213"/>
      <c r="AU318" s="213"/>
      <c r="AV318" s="213"/>
      <c r="AW318" s="213"/>
      <c r="AX318" s="213"/>
      <c r="AY318" s="213"/>
      <c r="AZ318" s="213"/>
      <c r="BA318" s="213"/>
      <c r="BB318" s="213"/>
    </row>
    <row r="319" ht="12.75" customHeight="1" outlineLevel="1">
      <c r="A319" s="235"/>
      <c r="B319" s="236"/>
      <c r="C319" s="237" t="s">
        <v>1264</v>
      </c>
      <c r="D319" s="238"/>
      <c r="E319" s="239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3"/>
      <c r="Z319" s="213"/>
      <c r="AA319" s="213"/>
      <c r="AB319" s="213"/>
      <c r="AC319" s="213"/>
      <c r="AD319" s="213"/>
      <c r="AE319" s="213"/>
      <c r="AF319" s="213"/>
      <c r="AG319" s="213" t="s">
        <v>228</v>
      </c>
      <c r="AH319" s="213">
        <v>0.0</v>
      </c>
      <c r="AI319" s="213"/>
      <c r="AJ319" s="213"/>
      <c r="AK319" s="213"/>
      <c r="AL319" s="213"/>
      <c r="AM319" s="213"/>
      <c r="AN319" s="213"/>
      <c r="AO319" s="213"/>
      <c r="AP319" s="213"/>
      <c r="AQ319" s="213"/>
      <c r="AR319" s="213"/>
      <c r="AS319" s="213"/>
      <c r="AT319" s="213"/>
      <c r="AU319" s="213"/>
      <c r="AV319" s="213"/>
      <c r="AW319" s="213"/>
      <c r="AX319" s="213"/>
      <c r="AY319" s="213"/>
      <c r="AZ319" s="213"/>
      <c r="BA319" s="213"/>
      <c r="BB319" s="213"/>
    </row>
    <row r="320" ht="12.75" customHeight="1" outlineLevel="1">
      <c r="A320" s="235"/>
      <c r="B320" s="236"/>
      <c r="C320" s="237" t="s">
        <v>1265</v>
      </c>
      <c r="D320" s="238"/>
      <c r="E320" s="239">
        <v>5.58</v>
      </c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3"/>
      <c r="Z320" s="213"/>
      <c r="AA320" s="213"/>
      <c r="AB320" s="213"/>
      <c r="AC320" s="213"/>
      <c r="AD320" s="213"/>
      <c r="AE320" s="213"/>
      <c r="AF320" s="213"/>
      <c r="AG320" s="213" t="s">
        <v>228</v>
      </c>
      <c r="AH320" s="213">
        <v>0.0</v>
      </c>
      <c r="AI320" s="213"/>
      <c r="AJ320" s="213"/>
      <c r="AK320" s="213"/>
      <c r="AL320" s="213"/>
      <c r="AM320" s="213"/>
      <c r="AN320" s="213"/>
      <c r="AO320" s="213"/>
      <c r="AP320" s="213"/>
      <c r="AQ320" s="213"/>
      <c r="AR320" s="213"/>
      <c r="AS320" s="213"/>
      <c r="AT320" s="213"/>
      <c r="AU320" s="213"/>
      <c r="AV320" s="213"/>
      <c r="AW320" s="213"/>
      <c r="AX320" s="213"/>
      <c r="AY320" s="213"/>
      <c r="AZ320" s="213"/>
      <c r="BA320" s="213"/>
      <c r="BB320" s="213"/>
    </row>
    <row r="321" ht="12.75" customHeight="1" outlineLevel="1">
      <c r="A321" s="235"/>
      <c r="B321" s="236"/>
      <c r="C321" s="237" t="s">
        <v>1266</v>
      </c>
      <c r="D321" s="238"/>
      <c r="E321" s="239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3"/>
      <c r="Z321" s="213"/>
      <c r="AA321" s="213"/>
      <c r="AB321" s="213"/>
      <c r="AC321" s="213"/>
      <c r="AD321" s="213"/>
      <c r="AE321" s="213"/>
      <c r="AF321" s="213"/>
      <c r="AG321" s="213" t="s">
        <v>228</v>
      </c>
      <c r="AH321" s="213">
        <v>0.0</v>
      </c>
      <c r="AI321" s="213"/>
      <c r="AJ321" s="213"/>
      <c r="AK321" s="213"/>
      <c r="AL321" s="213"/>
      <c r="AM321" s="213"/>
      <c r="AN321" s="213"/>
      <c r="AO321" s="213"/>
      <c r="AP321" s="213"/>
      <c r="AQ321" s="213"/>
      <c r="AR321" s="213"/>
      <c r="AS321" s="213"/>
      <c r="AT321" s="213"/>
      <c r="AU321" s="213"/>
      <c r="AV321" s="213"/>
      <c r="AW321" s="213"/>
      <c r="AX321" s="213"/>
      <c r="AY321" s="213"/>
      <c r="AZ321" s="213"/>
      <c r="BA321" s="213"/>
      <c r="BB321" s="213"/>
    </row>
    <row r="322" ht="12.75" customHeight="1" outlineLevel="1">
      <c r="A322" s="235"/>
      <c r="B322" s="236"/>
      <c r="C322" s="237" t="s">
        <v>1247</v>
      </c>
      <c r="D322" s="238"/>
      <c r="E322" s="239">
        <v>1.35</v>
      </c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3"/>
      <c r="Z322" s="213"/>
      <c r="AA322" s="213"/>
      <c r="AB322" s="213"/>
      <c r="AC322" s="213"/>
      <c r="AD322" s="213"/>
      <c r="AE322" s="213"/>
      <c r="AF322" s="213"/>
      <c r="AG322" s="213" t="s">
        <v>228</v>
      </c>
      <c r="AH322" s="213">
        <v>0.0</v>
      </c>
      <c r="AI322" s="213"/>
      <c r="AJ322" s="213"/>
      <c r="AK322" s="213"/>
      <c r="AL322" s="213"/>
      <c r="AM322" s="213"/>
      <c r="AN322" s="213"/>
      <c r="AO322" s="213"/>
      <c r="AP322" s="213"/>
      <c r="AQ322" s="213"/>
      <c r="AR322" s="213"/>
      <c r="AS322" s="213"/>
      <c r="AT322" s="213"/>
      <c r="AU322" s="213"/>
      <c r="AV322" s="213"/>
      <c r="AW322" s="213"/>
      <c r="AX322" s="213"/>
      <c r="AY322" s="213"/>
      <c r="AZ322" s="213"/>
      <c r="BA322" s="213"/>
      <c r="BB322" s="213"/>
    </row>
    <row r="323" ht="12.75" customHeight="1" outlineLevel="1">
      <c r="A323" s="214">
        <v>31.0</v>
      </c>
      <c r="B323" s="215" t="s">
        <v>540</v>
      </c>
      <c r="C323" s="216" t="s">
        <v>541</v>
      </c>
      <c r="D323" s="217" t="s">
        <v>234</v>
      </c>
      <c r="E323" s="218">
        <v>2.235</v>
      </c>
      <c r="F323" s="219">
        <v>5.0</v>
      </c>
      <c r="G323" s="220">
        <f>ROUND(E323*F323,2)</f>
        <v>11.18</v>
      </c>
      <c r="H323" s="211"/>
      <c r="I323" s="212">
        <f>ROUND(E323*H323,2)</f>
        <v>0</v>
      </c>
      <c r="J323" s="211"/>
      <c r="K323" s="212">
        <f>ROUND(E323*J323,2)</f>
        <v>0</v>
      </c>
      <c r="L323" s="212">
        <v>21.0</v>
      </c>
      <c r="M323" s="212">
        <f>G323*(1+L323/100)</f>
        <v>13.5278</v>
      </c>
      <c r="N323" s="212">
        <v>0.0</v>
      </c>
      <c r="O323" s="212">
        <f>ROUND(E323*N323,2)</f>
        <v>0</v>
      </c>
      <c r="P323" s="212">
        <v>0.0</v>
      </c>
      <c r="Q323" s="212">
        <f>ROUND(E323*P323,2)</f>
        <v>0</v>
      </c>
      <c r="R323" s="212"/>
      <c r="S323" s="212" t="s">
        <v>184</v>
      </c>
      <c r="T323" s="212" t="s">
        <v>184</v>
      </c>
      <c r="U323" s="212">
        <v>1.35</v>
      </c>
      <c r="V323" s="212">
        <f>ROUND(E323*U323,2)</f>
        <v>3.02</v>
      </c>
      <c r="W323" s="212"/>
      <c r="X323" s="212" t="s">
        <v>225</v>
      </c>
      <c r="Y323" s="213"/>
      <c r="Z323" s="213"/>
      <c r="AA323" s="213"/>
      <c r="AB323" s="213"/>
      <c r="AC323" s="213"/>
      <c r="AD323" s="213"/>
      <c r="AE323" s="213"/>
      <c r="AF323" s="213"/>
      <c r="AG323" s="213" t="s">
        <v>226</v>
      </c>
      <c r="AH323" s="213"/>
      <c r="AI323" s="213"/>
      <c r="AJ323" s="213"/>
      <c r="AK323" s="213"/>
      <c r="AL323" s="213"/>
      <c r="AM323" s="213"/>
      <c r="AN323" s="213"/>
      <c r="AO323" s="213"/>
      <c r="AP323" s="213"/>
      <c r="AQ323" s="213"/>
      <c r="AR323" s="213"/>
      <c r="AS323" s="213"/>
      <c r="AT323" s="213"/>
      <c r="AU323" s="213"/>
      <c r="AV323" s="213"/>
      <c r="AW323" s="213"/>
      <c r="AX323" s="213"/>
      <c r="AY323" s="213"/>
      <c r="AZ323" s="213"/>
      <c r="BA323" s="213"/>
      <c r="BB323" s="213"/>
    </row>
    <row r="324" ht="12.75" customHeight="1" outlineLevel="1">
      <c r="A324" s="235"/>
      <c r="B324" s="236"/>
      <c r="C324" s="237" t="s">
        <v>533</v>
      </c>
      <c r="D324" s="238"/>
      <c r="E324" s="239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3"/>
      <c r="Z324" s="213"/>
      <c r="AA324" s="213"/>
      <c r="AB324" s="213"/>
      <c r="AC324" s="213"/>
      <c r="AD324" s="213"/>
      <c r="AE324" s="213"/>
      <c r="AF324" s="213"/>
      <c r="AG324" s="213" t="s">
        <v>228</v>
      </c>
      <c r="AH324" s="213">
        <v>0.0</v>
      </c>
      <c r="AI324" s="213"/>
      <c r="AJ324" s="213"/>
      <c r="AK324" s="213"/>
      <c r="AL324" s="213"/>
      <c r="AM324" s="213"/>
      <c r="AN324" s="213"/>
      <c r="AO324" s="213"/>
      <c r="AP324" s="213"/>
      <c r="AQ324" s="213"/>
      <c r="AR324" s="213"/>
      <c r="AS324" s="213"/>
      <c r="AT324" s="213"/>
      <c r="AU324" s="213"/>
      <c r="AV324" s="213"/>
      <c r="AW324" s="213"/>
      <c r="AX324" s="213"/>
      <c r="AY324" s="213"/>
      <c r="AZ324" s="213"/>
      <c r="BA324" s="213"/>
      <c r="BB324" s="213"/>
    </row>
    <row r="325" ht="12.75" customHeight="1" outlineLevel="1">
      <c r="A325" s="235"/>
      <c r="B325" s="236"/>
      <c r="C325" s="237" t="s">
        <v>1258</v>
      </c>
      <c r="D325" s="238"/>
      <c r="E325" s="239">
        <v>1.18</v>
      </c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3"/>
      <c r="Z325" s="213"/>
      <c r="AA325" s="213"/>
      <c r="AB325" s="213"/>
      <c r="AC325" s="213"/>
      <c r="AD325" s="213"/>
      <c r="AE325" s="213"/>
      <c r="AF325" s="213"/>
      <c r="AG325" s="213" t="s">
        <v>228</v>
      </c>
      <c r="AH325" s="213">
        <v>0.0</v>
      </c>
      <c r="AI325" s="213"/>
      <c r="AJ325" s="213"/>
      <c r="AK325" s="213"/>
      <c r="AL325" s="213"/>
      <c r="AM325" s="213"/>
      <c r="AN325" s="213"/>
      <c r="AO325" s="213"/>
      <c r="AP325" s="213"/>
      <c r="AQ325" s="213"/>
      <c r="AR325" s="213"/>
      <c r="AS325" s="213"/>
      <c r="AT325" s="213"/>
      <c r="AU325" s="213"/>
      <c r="AV325" s="213"/>
      <c r="AW325" s="213"/>
      <c r="AX325" s="213"/>
      <c r="AY325" s="213"/>
      <c r="AZ325" s="213"/>
      <c r="BA325" s="213"/>
      <c r="BB325" s="213"/>
    </row>
    <row r="326" ht="12.75" customHeight="1" outlineLevel="1">
      <c r="A326" s="235"/>
      <c r="B326" s="236"/>
      <c r="C326" s="237" t="s">
        <v>1260</v>
      </c>
      <c r="D326" s="238"/>
      <c r="E326" s="239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3"/>
      <c r="Z326" s="213"/>
      <c r="AA326" s="213"/>
      <c r="AB326" s="213"/>
      <c r="AC326" s="213"/>
      <c r="AD326" s="213"/>
      <c r="AE326" s="213"/>
      <c r="AF326" s="213"/>
      <c r="AG326" s="213" t="s">
        <v>228</v>
      </c>
      <c r="AH326" s="213">
        <v>0.0</v>
      </c>
      <c r="AI326" s="213"/>
      <c r="AJ326" s="213"/>
      <c r="AK326" s="213"/>
      <c r="AL326" s="213"/>
      <c r="AM326" s="213"/>
      <c r="AN326" s="213"/>
      <c r="AO326" s="213"/>
      <c r="AP326" s="213"/>
      <c r="AQ326" s="213"/>
      <c r="AR326" s="213"/>
      <c r="AS326" s="213"/>
      <c r="AT326" s="213"/>
      <c r="AU326" s="213"/>
      <c r="AV326" s="213"/>
      <c r="AW326" s="213"/>
      <c r="AX326" s="213"/>
      <c r="AY326" s="213"/>
      <c r="AZ326" s="213"/>
      <c r="BA326" s="213"/>
      <c r="BB326" s="213"/>
    </row>
    <row r="327" ht="12.75" customHeight="1" outlineLevel="1">
      <c r="A327" s="235"/>
      <c r="B327" s="236"/>
      <c r="C327" s="237" t="s">
        <v>1261</v>
      </c>
      <c r="D327" s="238"/>
      <c r="E327" s="239">
        <v>1.06</v>
      </c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3"/>
      <c r="Z327" s="213"/>
      <c r="AA327" s="213"/>
      <c r="AB327" s="213"/>
      <c r="AC327" s="213"/>
      <c r="AD327" s="213"/>
      <c r="AE327" s="213"/>
      <c r="AF327" s="213"/>
      <c r="AG327" s="213" t="s">
        <v>228</v>
      </c>
      <c r="AH327" s="213">
        <v>0.0</v>
      </c>
      <c r="AI327" s="213"/>
      <c r="AJ327" s="213"/>
      <c r="AK327" s="213"/>
      <c r="AL327" s="213"/>
      <c r="AM327" s="213"/>
      <c r="AN327" s="213"/>
      <c r="AO327" s="213"/>
      <c r="AP327" s="213"/>
      <c r="AQ327" s="213"/>
      <c r="AR327" s="213"/>
      <c r="AS327" s="213"/>
      <c r="AT327" s="213"/>
      <c r="AU327" s="213"/>
      <c r="AV327" s="213"/>
      <c r="AW327" s="213"/>
      <c r="AX327" s="213"/>
      <c r="AY327" s="213"/>
      <c r="AZ327" s="213"/>
      <c r="BA327" s="213"/>
      <c r="BB327" s="213"/>
    </row>
    <row r="328" ht="12.75" customHeight="1" outlineLevel="1">
      <c r="A328" s="214">
        <v>32.0</v>
      </c>
      <c r="B328" s="215" t="s">
        <v>1267</v>
      </c>
      <c r="C328" s="216" t="s">
        <v>1268</v>
      </c>
      <c r="D328" s="217" t="s">
        <v>234</v>
      </c>
      <c r="E328" s="218">
        <v>6.93</v>
      </c>
      <c r="F328" s="219">
        <v>284.6</v>
      </c>
      <c r="G328" s="220">
        <f>ROUND(E328*F328,2)</f>
        <v>1972.28</v>
      </c>
      <c r="H328" s="211"/>
      <c r="I328" s="212">
        <f>ROUND(E328*H328,2)</f>
        <v>0</v>
      </c>
      <c r="J328" s="211"/>
      <c r="K328" s="212">
        <f>ROUND(E328*J328,2)</f>
        <v>0</v>
      </c>
      <c r="L328" s="212">
        <v>21.0</v>
      </c>
      <c r="M328" s="212">
        <f>G328*(1+L328/100)</f>
        <v>2386.4588</v>
      </c>
      <c r="N328" s="212">
        <v>0.0</v>
      </c>
      <c r="O328" s="212">
        <f>ROUND(E328*N328,2)</f>
        <v>0</v>
      </c>
      <c r="P328" s="212">
        <v>0.0</v>
      </c>
      <c r="Q328" s="212">
        <f>ROUND(E328*P328,2)</f>
        <v>0</v>
      </c>
      <c r="R328" s="212"/>
      <c r="S328" s="212" t="s">
        <v>184</v>
      </c>
      <c r="T328" s="212" t="s">
        <v>184</v>
      </c>
      <c r="U328" s="212">
        <v>0.675</v>
      </c>
      <c r="V328" s="212">
        <f>ROUND(E328*U328,2)</f>
        <v>4.68</v>
      </c>
      <c r="W328" s="212"/>
      <c r="X328" s="212" t="s">
        <v>225</v>
      </c>
      <c r="Y328" s="213"/>
      <c r="Z328" s="213"/>
      <c r="AA328" s="213"/>
      <c r="AB328" s="213"/>
      <c r="AC328" s="213"/>
      <c r="AD328" s="213"/>
      <c r="AE328" s="213"/>
      <c r="AF328" s="213"/>
      <c r="AG328" s="213" t="s">
        <v>226</v>
      </c>
      <c r="AH328" s="213"/>
      <c r="AI328" s="213"/>
      <c r="AJ328" s="213"/>
      <c r="AK328" s="213"/>
      <c r="AL328" s="213"/>
      <c r="AM328" s="213"/>
      <c r="AN328" s="213"/>
      <c r="AO328" s="213"/>
      <c r="AP328" s="213"/>
      <c r="AQ328" s="213"/>
      <c r="AR328" s="213"/>
      <c r="AS328" s="213"/>
      <c r="AT328" s="213"/>
      <c r="AU328" s="213"/>
      <c r="AV328" s="213"/>
      <c r="AW328" s="213"/>
      <c r="AX328" s="213"/>
      <c r="AY328" s="213"/>
      <c r="AZ328" s="213"/>
      <c r="BA328" s="213"/>
      <c r="BB328" s="213"/>
    </row>
    <row r="329" ht="12.75" customHeight="1" outlineLevel="1">
      <c r="A329" s="235"/>
      <c r="B329" s="236"/>
      <c r="C329" s="237" t="s">
        <v>1264</v>
      </c>
      <c r="D329" s="238"/>
      <c r="E329" s="239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3"/>
      <c r="Z329" s="213"/>
      <c r="AA329" s="213"/>
      <c r="AB329" s="213"/>
      <c r="AC329" s="213"/>
      <c r="AD329" s="213"/>
      <c r="AE329" s="213"/>
      <c r="AF329" s="213"/>
      <c r="AG329" s="213" t="s">
        <v>228</v>
      </c>
      <c r="AH329" s="213">
        <v>0.0</v>
      </c>
      <c r="AI329" s="213"/>
      <c r="AJ329" s="213"/>
      <c r="AK329" s="213"/>
      <c r="AL329" s="213"/>
      <c r="AM329" s="213"/>
      <c r="AN329" s="213"/>
      <c r="AO329" s="213"/>
      <c r="AP329" s="213"/>
      <c r="AQ329" s="213"/>
      <c r="AR329" s="213"/>
      <c r="AS329" s="213"/>
      <c r="AT329" s="213"/>
      <c r="AU329" s="213"/>
      <c r="AV329" s="213"/>
      <c r="AW329" s="213"/>
      <c r="AX329" s="213"/>
      <c r="AY329" s="213"/>
      <c r="AZ329" s="213"/>
      <c r="BA329" s="213"/>
      <c r="BB329" s="213"/>
    </row>
    <row r="330" ht="12.75" customHeight="1" outlineLevel="1">
      <c r="A330" s="235"/>
      <c r="B330" s="236"/>
      <c r="C330" s="237" t="s">
        <v>1265</v>
      </c>
      <c r="D330" s="238"/>
      <c r="E330" s="239">
        <v>5.58</v>
      </c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3"/>
      <c r="Z330" s="213"/>
      <c r="AA330" s="213"/>
      <c r="AB330" s="213"/>
      <c r="AC330" s="213"/>
      <c r="AD330" s="213"/>
      <c r="AE330" s="213"/>
      <c r="AF330" s="213"/>
      <c r="AG330" s="213" t="s">
        <v>228</v>
      </c>
      <c r="AH330" s="213">
        <v>0.0</v>
      </c>
      <c r="AI330" s="213"/>
      <c r="AJ330" s="213"/>
      <c r="AK330" s="213"/>
      <c r="AL330" s="213"/>
      <c r="AM330" s="213"/>
      <c r="AN330" s="213"/>
      <c r="AO330" s="213"/>
      <c r="AP330" s="213"/>
      <c r="AQ330" s="213"/>
      <c r="AR330" s="213"/>
      <c r="AS330" s="213"/>
      <c r="AT330" s="213"/>
      <c r="AU330" s="213"/>
      <c r="AV330" s="213"/>
      <c r="AW330" s="213"/>
      <c r="AX330" s="213"/>
      <c r="AY330" s="213"/>
      <c r="AZ330" s="213"/>
      <c r="BA330" s="213"/>
      <c r="BB330" s="213"/>
    </row>
    <row r="331" ht="12.75" customHeight="1" outlineLevel="1">
      <c r="A331" s="235"/>
      <c r="B331" s="236"/>
      <c r="C331" s="237" t="s">
        <v>1266</v>
      </c>
      <c r="D331" s="238"/>
      <c r="E331" s="239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3"/>
      <c r="Z331" s="213"/>
      <c r="AA331" s="213"/>
      <c r="AB331" s="213"/>
      <c r="AC331" s="213"/>
      <c r="AD331" s="213"/>
      <c r="AE331" s="213"/>
      <c r="AF331" s="213"/>
      <c r="AG331" s="213" t="s">
        <v>228</v>
      </c>
      <c r="AH331" s="213">
        <v>0.0</v>
      </c>
      <c r="AI331" s="213"/>
      <c r="AJ331" s="213"/>
      <c r="AK331" s="213"/>
      <c r="AL331" s="213"/>
      <c r="AM331" s="213"/>
      <c r="AN331" s="213"/>
      <c r="AO331" s="213"/>
      <c r="AP331" s="213"/>
      <c r="AQ331" s="213"/>
      <c r="AR331" s="213"/>
      <c r="AS331" s="213"/>
      <c r="AT331" s="213"/>
      <c r="AU331" s="213"/>
      <c r="AV331" s="213"/>
      <c r="AW331" s="213"/>
      <c r="AX331" s="213"/>
      <c r="AY331" s="213"/>
      <c r="AZ331" s="213"/>
      <c r="BA331" s="213"/>
      <c r="BB331" s="213"/>
    </row>
    <row r="332" ht="12.75" customHeight="1" outlineLevel="1">
      <c r="A332" s="235"/>
      <c r="B332" s="236"/>
      <c r="C332" s="237" t="s">
        <v>1247</v>
      </c>
      <c r="D332" s="238"/>
      <c r="E332" s="239">
        <v>1.35</v>
      </c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3"/>
      <c r="Z332" s="213"/>
      <c r="AA332" s="213"/>
      <c r="AB332" s="213"/>
      <c r="AC332" s="213"/>
      <c r="AD332" s="213"/>
      <c r="AE332" s="213"/>
      <c r="AF332" s="213"/>
      <c r="AG332" s="213" t="s">
        <v>228</v>
      </c>
      <c r="AH332" s="213">
        <v>0.0</v>
      </c>
      <c r="AI332" s="213"/>
      <c r="AJ332" s="213"/>
      <c r="AK332" s="213"/>
      <c r="AL332" s="213"/>
      <c r="AM332" s="213"/>
      <c r="AN332" s="213"/>
      <c r="AO332" s="213"/>
      <c r="AP332" s="213"/>
      <c r="AQ332" s="213"/>
      <c r="AR332" s="213"/>
      <c r="AS332" s="213"/>
      <c r="AT332" s="213"/>
      <c r="AU332" s="213"/>
      <c r="AV332" s="213"/>
      <c r="AW332" s="213"/>
      <c r="AX332" s="213"/>
      <c r="AY332" s="213"/>
      <c r="AZ332" s="213"/>
      <c r="BA332" s="213"/>
      <c r="BB332" s="213"/>
    </row>
    <row r="333" ht="12.75" customHeight="1" outlineLevel="1">
      <c r="A333" s="214">
        <v>33.0</v>
      </c>
      <c r="B333" s="215" t="s">
        <v>1269</v>
      </c>
      <c r="C333" s="216" t="s">
        <v>1270</v>
      </c>
      <c r="D333" s="217" t="s">
        <v>234</v>
      </c>
      <c r="E333" s="218">
        <v>6.93</v>
      </c>
      <c r="F333" s="219">
        <v>5.0</v>
      </c>
      <c r="G333" s="220">
        <f>ROUND(E333*F333,2)</f>
        <v>34.65</v>
      </c>
      <c r="H333" s="211"/>
      <c r="I333" s="212">
        <f>ROUND(E333*H333,2)</f>
        <v>0</v>
      </c>
      <c r="J333" s="211"/>
      <c r="K333" s="212">
        <f>ROUND(E333*J333,2)</f>
        <v>0</v>
      </c>
      <c r="L333" s="212">
        <v>21.0</v>
      </c>
      <c r="M333" s="212">
        <f>G333*(1+L333/100)</f>
        <v>41.9265</v>
      </c>
      <c r="N333" s="212">
        <v>0.0</v>
      </c>
      <c r="O333" s="212">
        <f>ROUND(E333*N333,2)</f>
        <v>0</v>
      </c>
      <c r="P333" s="212">
        <v>0.0</v>
      </c>
      <c r="Q333" s="212">
        <f>ROUND(E333*P333,2)</f>
        <v>0</v>
      </c>
      <c r="R333" s="212"/>
      <c r="S333" s="212" t="s">
        <v>184</v>
      </c>
      <c r="T333" s="212" t="s">
        <v>184</v>
      </c>
      <c r="U333" s="212">
        <v>0.205</v>
      </c>
      <c r="V333" s="212">
        <f>ROUND(E333*U333,2)</f>
        <v>1.42</v>
      </c>
      <c r="W333" s="212"/>
      <c r="X333" s="212" t="s">
        <v>225</v>
      </c>
      <c r="Y333" s="213"/>
      <c r="Z333" s="213"/>
      <c r="AA333" s="213"/>
      <c r="AB333" s="213"/>
      <c r="AC333" s="213"/>
      <c r="AD333" s="213"/>
      <c r="AE333" s="213"/>
      <c r="AF333" s="213"/>
      <c r="AG333" s="213" t="s">
        <v>226</v>
      </c>
      <c r="AH333" s="213"/>
      <c r="AI333" s="213"/>
      <c r="AJ333" s="213"/>
      <c r="AK333" s="213"/>
      <c r="AL333" s="213"/>
      <c r="AM333" s="213"/>
      <c r="AN333" s="213"/>
      <c r="AO333" s="213"/>
      <c r="AP333" s="213"/>
      <c r="AQ333" s="213"/>
      <c r="AR333" s="213"/>
      <c r="AS333" s="213"/>
      <c r="AT333" s="213"/>
      <c r="AU333" s="213"/>
      <c r="AV333" s="213"/>
      <c r="AW333" s="213"/>
      <c r="AX333" s="213"/>
      <c r="AY333" s="213"/>
      <c r="AZ333" s="213"/>
      <c r="BA333" s="213"/>
      <c r="BB333" s="213"/>
    </row>
    <row r="334" ht="12.75" customHeight="1" outlineLevel="1">
      <c r="A334" s="235"/>
      <c r="B334" s="236"/>
      <c r="C334" s="237" t="s">
        <v>1264</v>
      </c>
      <c r="D334" s="238"/>
      <c r="E334" s="239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3"/>
      <c r="Z334" s="213"/>
      <c r="AA334" s="213"/>
      <c r="AB334" s="213"/>
      <c r="AC334" s="213"/>
      <c r="AD334" s="213"/>
      <c r="AE334" s="213"/>
      <c r="AF334" s="213"/>
      <c r="AG334" s="213" t="s">
        <v>228</v>
      </c>
      <c r="AH334" s="213">
        <v>0.0</v>
      </c>
      <c r="AI334" s="213"/>
      <c r="AJ334" s="213"/>
      <c r="AK334" s="213"/>
      <c r="AL334" s="213"/>
      <c r="AM334" s="213"/>
      <c r="AN334" s="213"/>
      <c r="AO334" s="213"/>
      <c r="AP334" s="213"/>
      <c r="AQ334" s="213"/>
      <c r="AR334" s="213"/>
      <c r="AS334" s="213"/>
      <c r="AT334" s="213"/>
      <c r="AU334" s="213"/>
      <c r="AV334" s="213"/>
      <c r="AW334" s="213"/>
      <c r="AX334" s="213"/>
      <c r="AY334" s="213"/>
      <c r="AZ334" s="213"/>
      <c r="BA334" s="213"/>
      <c r="BB334" s="213"/>
    </row>
    <row r="335" ht="12.75" customHeight="1" outlineLevel="1">
      <c r="A335" s="235"/>
      <c r="B335" s="236"/>
      <c r="C335" s="237" t="s">
        <v>1265</v>
      </c>
      <c r="D335" s="238"/>
      <c r="E335" s="239">
        <v>5.58</v>
      </c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3"/>
      <c r="Z335" s="213"/>
      <c r="AA335" s="213"/>
      <c r="AB335" s="213"/>
      <c r="AC335" s="213"/>
      <c r="AD335" s="213"/>
      <c r="AE335" s="213"/>
      <c r="AF335" s="213"/>
      <c r="AG335" s="213" t="s">
        <v>228</v>
      </c>
      <c r="AH335" s="213">
        <v>0.0</v>
      </c>
      <c r="AI335" s="213"/>
      <c r="AJ335" s="213"/>
      <c r="AK335" s="213"/>
      <c r="AL335" s="213"/>
      <c r="AM335" s="213"/>
      <c r="AN335" s="213"/>
      <c r="AO335" s="213"/>
      <c r="AP335" s="213"/>
      <c r="AQ335" s="213"/>
      <c r="AR335" s="213"/>
      <c r="AS335" s="213"/>
      <c r="AT335" s="213"/>
      <c r="AU335" s="213"/>
      <c r="AV335" s="213"/>
      <c r="AW335" s="213"/>
      <c r="AX335" s="213"/>
      <c r="AY335" s="213"/>
      <c r="AZ335" s="213"/>
      <c r="BA335" s="213"/>
      <c r="BB335" s="213"/>
    </row>
    <row r="336" ht="12.75" customHeight="1" outlineLevel="1">
      <c r="A336" s="235"/>
      <c r="B336" s="236"/>
      <c r="C336" s="237" t="s">
        <v>1266</v>
      </c>
      <c r="D336" s="238"/>
      <c r="E336" s="239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3"/>
      <c r="Z336" s="213"/>
      <c r="AA336" s="213"/>
      <c r="AB336" s="213"/>
      <c r="AC336" s="213"/>
      <c r="AD336" s="213"/>
      <c r="AE336" s="213"/>
      <c r="AF336" s="213"/>
      <c r="AG336" s="213" t="s">
        <v>228</v>
      </c>
      <c r="AH336" s="213">
        <v>0.0</v>
      </c>
      <c r="AI336" s="213"/>
      <c r="AJ336" s="213"/>
      <c r="AK336" s="213"/>
      <c r="AL336" s="213"/>
      <c r="AM336" s="213"/>
      <c r="AN336" s="213"/>
      <c r="AO336" s="213"/>
      <c r="AP336" s="213"/>
      <c r="AQ336" s="213"/>
      <c r="AR336" s="213"/>
      <c r="AS336" s="213"/>
      <c r="AT336" s="213"/>
      <c r="AU336" s="213"/>
      <c r="AV336" s="213"/>
      <c r="AW336" s="213"/>
      <c r="AX336" s="213"/>
      <c r="AY336" s="213"/>
      <c r="AZ336" s="213"/>
      <c r="BA336" s="213"/>
      <c r="BB336" s="213"/>
    </row>
    <row r="337" ht="12.75" customHeight="1" outlineLevel="1">
      <c r="A337" s="235"/>
      <c r="B337" s="236"/>
      <c r="C337" s="237" t="s">
        <v>1247</v>
      </c>
      <c r="D337" s="238"/>
      <c r="E337" s="239">
        <v>1.35</v>
      </c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3"/>
      <c r="Z337" s="213"/>
      <c r="AA337" s="213"/>
      <c r="AB337" s="213"/>
      <c r="AC337" s="213"/>
      <c r="AD337" s="213"/>
      <c r="AE337" s="213"/>
      <c r="AF337" s="213"/>
      <c r="AG337" s="213" t="s">
        <v>228</v>
      </c>
      <c r="AH337" s="213">
        <v>0.0</v>
      </c>
      <c r="AI337" s="213"/>
      <c r="AJ337" s="213"/>
      <c r="AK337" s="213"/>
      <c r="AL337" s="213"/>
      <c r="AM337" s="213"/>
      <c r="AN337" s="213"/>
      <c r="AO337" s="213"/>
      <c r="AP337" s="213"/>
      <c r="AQ337" s="213"/>
      <c r="AR337" s="213"/>
      <c r="AS337" s="213"/>
      <c r="AT337" s="213"/>
      <c r="AU337" s="213"/>
      <c r="AV337" s="213"/>
      <c r="AW337" s="213"/>
      <c r="AX337" s="213"/>
      <c r="AY337" s="213"/>
      <c r="AZ337" s="213"/>
      <c r="BA337" s="213"/>
      <c r="BB337" s="213"/>
    </row>
    <row r="338" ht="12.75" customHeight="1" outlineLevel="1">
      <c r="A338" s="214">
        <v>34.0</v>
      </c>
      <c r="B338" s="215" t="s">
        <v>542</v>
      </c>
      <c r="C338" s="216" t="s">
        <v>543</v>
      </c>
      <c r="D338" s="217" t="s">
        <v>224</v>
      </c>
      <c r="E338" s="218">
        <v>13.224</v>
      </c>
      <c r="F338" s="219">
        <v>532.5</v>
      </c>
      <c r="G338" s="220">
        <f>ROUND(E338*F338,2)</f>
        <v>7041.78</v>
      </c>
      <c r="H338" s="211"/>
      <c r="I338" s="212">
        <f>ROUND(E338*H338,2)</f>
        <v>0</v>
      </c>
      <c r="J338" s="211"/>
      <c r="K338" s="212">
        <f>ROUND(E338*J338,2)</f>
        <v>0</v>
      </c>
      <c r="L338" s="212">
        <v>21.0</v>
      </c>
      <c r="M338" s="212">
        <f>G338*(1+L338/100)</f>
        <v>8520.5538</v>
      </c>
      <c r="N338" s="212">
        <v>0.01411</v>
      </c>
      <c r="O338" s="212">
        <f>ROUND(E338*N338,2)</f>
        <v>0.19</v>
      </c>
      <c r="P338" s="212">
        <v>0.0</v>
      </c>
      <c r="Q338" s="212">
        <f>ROUND(E338*P338,2)</f>
        <v>0</v>
      </c>
      <c r="R338" s="212"/>
      <c r="S338" s="212" t="s">
        <v>184</v>
      </c>
      <c r="T338" s="212" t="s">
        <v>184</v>
      </c>
      <c r="U338" s="212">
        <v>0.396</v>
      </c>
      <c r="V338" s="212">
        <f>ROUND(E338*U338,2)</f>
        <v>5.24</v>
      </c>
      <c r="W338" s="212"/>
      <c r="X338" s="212" t="s">
        <v>225</v>
      </c>
      <c r="Y338" s="213"/>
      <c r="Z338" s="213"/>
      <c r="AA338" s="213"/>
      <c r="AB338" s="213"/>
      <c r="AC338" s="213"/>
      <c r="AD338" s="213"/>
      <c r="AE338" s="213"/>
      <c r="AF338" s="213"/>
      <c r="AG338" s="213" t="s">
        <v>226</v>
      </c>
      <c r="AH338" s="213"/>
      <c r="AI338" s="213"/>
      <c r="AJ338" s="213"/>
      <c r="AK338" s="213"/>
      <c r="AL338" s="213"/>
      <c r="AM338" s="213"/>
      <c r="AN338" s="213"/>
      <c r="AO338" s="213"/>
      <c r="AP338" s="213"/>
      <c r="AQ338" s="213"/>
      <c r="AR338" s="213"/>
      <c r="AS338" s="213"/>
      <c r="AT338" s="213"/>
      <c r="AU338" s="213"/>
      <c r="AV338" s="213"/>
      <c r="AW338" s="213"/>
      <c r="AX338" s="213"/>
      <c r="AY338" s="213"/>
      <c r="AZ338" s="213"/>
      <c r="BA338" s="213"/>
      <c r="BB338" s="213"/>
    </row>
    <row r="339" ht="12.75" customHeight="1" outlineLevel="1">
      <c r="A339" s="235"/>
      <c r="B339" s="236"/>
      <c r="C339" s="237" t="s">
        <v>533</v>
      </c>
      <c r="D339" s="238"/>
      <c r="E339" s="239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3"/>
      <c r="Z339" s="213"/>
      <c r="AA339" s="213"/>
      <c r="AB339" s="213"/>
      <c r="AC339" s="213"/>
      <c r="AD339" s="213"/>
      <c r="AE339" s="213"/>
      <c r="AF339" s="213"/>
      <c r="AG339" s="213" t="s">
        <v>228</v>
      </c>
      <c r="AH339" s="213">
        <v>0.0</v>
      </c>
      <c r="AI339" s="213"/>
      <c r="AJ339" s="213"/>
      <c r="AK339" s="213"/>
      <c r="AL339" s="213"/>
      <c r="AM339" s="213"/>
      <c r="AN339" s="213"/>
      <c r="AO339" s="213"/>
      <c r="AP339" s="213"/>
      <c r="AQ339" s="213"/>
      <c r="AR339" s="213"/>
      <c r="AS339" s="213"/>
      <c r="AT339" s="213"/>
      <c r="AU339" s="213"/>
      <c r="AV339" s="213"/>
      <c r="AW339" s="213"/>
      <c r="AX339" s="213"/>
      <c r="AY339" s="213"/>
      <c r="AZ339" s="213"/>
      <c r="BA339" s="213"/>
      <c r="BB339" s="213"/>
    </row>
    <row r="340" ht="12.75" customHeight="1" outlineLevel="1">
      <c r="A340" s="235"/>
      <c r="B340" s="236"/>
      <c r="C340" s="237" t="s">
        <v>1271</v>
      </c>
      <c r="D340" s="238"/>
      <c r="E340" s="239">
        <v>3.36</v>
      </c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3"/>
      <c r="Z340" s="213"/>
      <c r="AA340" s="213"/>
      <c r="AB340" s="213"/>
      <c r="AC340" s="213"/>
      <c r="AD340" s="213"/>
      <c r="AE340" s="213"/>
      <c r="AF340" s="213"/>
      <c r="AG340" s="213" t="s">
        <v>228</v>
      </c>
      <c r="AH340" s="213">
        <v>0.0</v>
      </c>
      <c r="AI340" s="213"/>
      <c r="AJ340" s="213"/>
      <c r="AK340" s="213"/>
      <c r="AL340" s="213"/>
      <c r="AM340" s="213"/>
      <c r="AN340" s="213"/>
      <c r="AO340" s="213"/>
      <c r="AP340" s="213"/>
      <c r="AQ340" s="213"/>
      <c r="AR340" s="213"/>
      <c r="AS340" s="213"/>
      <c r="AT340" s="213"/>
      <c r="AU340" s="213"/>
      <c r="AV340" s="213"/>
      <c r="AW340" s="213"/>
      <c r="AX340" s="213"/>
      <c r="AY340" s="213"/>
      <c r="AZ340" s="213"/>
      <c r="BA340" s="213"/>
      <c r="BB340" s="213"/>
    </row>
    <row r="341" ht="12.75" customHeight="1" outlineLevel="1">
      <c r="A341" s="235"/>
      <c r="B341" s="236"/>
      <c r="C341" s="237" t="s">
        <v>1260</v>
      </c>
      <c r="D341" s="238"/>
      <c r="E341" s="239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3"/>
      <c r="Z341" s="213"/>
      <c r="AA341" s="213"/>
      <c r="AB341" s="213"/>
      <c r="AC341" s="213"/>
      <c r="AD341" s="213"/>
      <c r="AE341" s="213"/>
      <c r="AF341" s="213"/>
      <c r="AG341" s="213" t="s">
        <v>228</v>
      </c>
      <c r="AH341" s="213">
        <v>0.0</v>
      </c>
      <c r="AI341" s="213"/>
      <c r="AJ341" s="213"/>
      <c r="AK341" s="213"/>
      <c r="AL341" s="213"/>
      <c r="AM341" s="213"/>
      <c r="AN341" s="213"/>
      <c r="AO341" s="213"/>
      <c r="AP341" s="213"/>
      <c r="AQ341" s="213"/>
      <c r="AR341" s="213"/>
      <c r="AS341" s="213"/>
      <c r="AT341" s="213"/>
      <c r="AU341" s="213"/>
      <c r="AV341" s="213"/>
      <c r="AW341" s="213"/>
      <c r="AX341" s="213"/>
      <c r="AY341" s="213"/>
      <c r="AZ341" s="213"/>
      <c r="BA341" s="213"/>
      <c r="BB341" s="213"/>
    </row>
    <row r="342" ht="12.75" customHeight="1" outlineLevel="1">
      <c r="A342" s="235"/>
      <c r="B342" s="236"/>
      <c r="C342" s="237" t="s">
        <v>1272</v>
      </c>
      <c r="D342" s="238"/>
      <c r="E342" s="239">
        <v>3.44</v>
      </c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3"/>
      <c r="Z342" s="213"/>
      <c r="AA342" s="213"/>
      <c r="AB342" s="213"/>
      <c r="AC342" s="213"/>
      <c r="AD342" s="213"/>
      <c r="AE342" s="213"/>
      <c r="AF342" s="213"/>
      <c r="AG342" s="213" t="s">
        <v>228</v>
      </c>
      <c r="AH342" s="213">
        <v>0.0</v>
      </c>
      <c r="AI342" s="213"/>
      <c r="AJ342" s="213"/>
      <c r="AK342" s="213"/>
      <c r="AL342" s="213"/>
      <c r="AM342" s="213"/>
      <c r="AN342" s="213"/>
      <c r="AO342" s="213"/>
      <c r="AP342" s="213"/>
      <c r="AQ342" s="213"/>
      <c r="AR342" s="213"/>
      <c r="AS342" s="213"/>
      <c r="AT342" s="213"/>
      <c r="AU342" s="213"/>
      <c r="AV342" s="213"/>
      <c r="AW342" s="213"/>
      <c r="AX342" s="213"/>
      <c r="AY342" s="213"/>
      <c r="AZ342" s="213"/>
      <c r="BA342" s="213"/>
      <c r="BB342" s="213"/>
    </row>
    <row r="343" ht="12.75" customHeight="1" outlineLevel="1">
      <c r="A343" s="235"/>
      <c r="B343" s="236"/>
      <c r="C343" s="237" t="s">
        <v>1264</v>
      </c>
      <c r="D343" s="238"/>
      <c r="E343" s="239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3"/>
      <c r="Z343" s="213"/>
      <c r="AA343" s="213"/>
      <c r="AB343" s="213"/>
      <c r="AC343" s="213"/>
      <c r="AD343" s="213"/>
      <c r="AE343" s="213"/>
      <c r="AF343" s="213"/>
      <c r="AG343" s="213" t="s">
        <v>228</v>
      </c>
      <c r="AH343" s="213">
        <v>0.0</v>
      </c>
      <c r="AI343" s="213"/>
      <c r="AJ343" s="213"/>
      <c r="AK343" s="213"/>
      <c r="AL343" s="213"/>
      <c r="AM343" s="213"/>
      <c r="AN343" s="213"/>
      <c r="AO343" s="213"/>
      <c r="AP343" s="213"/>
      <c r="AQ343" s="213"/>
      <c r="AR343" s="213"/>
      <c r="AS343" s="213"/>
      <c r="AT343" s="213"/>
      <c r="AU343" s="213"/>
      <c r="AV343" s="213"/>
      <c r="AW343" s="213"/>
      <c r="AX343" s="213"/>
      <c r="AY343" s="213"/>
      <c r="AZ343" s="213"/>
      <c r="BA343" s="213"/>
      <c r="BB343" s="213"/>
    </row>
    <row r="344" ht="12.75" customHeight="1" outlineLevel="1">
      <c r="A344" s="235"/>
      <c r="B344" s="236"/>
      <c r="C344" s="237" t="s">
        <v>1273</v>
      </c>
      <c r="D344" s="238"/>
      <c r="E344" s="239">
        <v>4.62</v>
      </c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3"/>
      <c r="Z344" s="213"/>
      <c r="AA344" s="213"/>
      <c r="AB344" s="213"/>
      <c r="AC344" s="213"/>
      <c r="AD344" s="213"/>
      <c r="AE344" s="213"/>
      <c r="AF344" s="213"/>
      <c r="AG344" s="213" t="s">
        <v>228</v>
      </c>
      <c r="AH344" s="213">
        <v>0.0</v>
      </c>
      <c r="AI344" s="213"/>
      <c r="AJ344" s="213"/>
      <c r="AK344" s="213"/>
      <c r="AL344" s="213"/>
      <c r="AM344" s="213"/>
      <c r="AN344" s="213"/>
      <c r="AO344" s="213"/>
      <c r="AP344" s="213"/>
      <c r="AQ344" s="213"/>
      <c r="AR344" s="213"/>
      <c r="AS344" s="213"/>
      <c r="AT344" s="213"/>
      <c r="AU344" s="213"/>
      <c r="AV344" s="213"/>
      <c r="AW344" s="213"/>
      <c r="AX344" s="213"/>
      <c r="AY344" s="213"/>
      <c r="AZ344" s="213"/>
      <c r="BA344" s="213"/>
      <c r="BB344" s="213"/>
    </row>
    <row r="345" ht="12.75" customHeight="1" outlineLevel="1">
      <c r="A345" s="235"/>
      <c r="B345" s="236"/>
      <c r="C345" s="237" t="s">
        <v>1266</v>
      </c>
      <c r="D345" s="238"/>
      <c r="E345" s="239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3"/>
      <c r="Z345" s="213"/>
      <c r="AA345" s="213"/>
      <c r="AB345" s="213"/>
      <c r="AC345" s="213"/>
      <c r="AD345" s="213"/>
      <c r="AE345" s="213"/>
      <c r="AF345" s="213"/>
      <c r="AG345" s="213" t="s">
        <v>228</v>
      </c>
      <c r="AH345" s="213">
        <v>0.0</v>
      </c>
      <c r="AI345" s="213"/>
      <c r="AJ345" s="213"/>
      <c r="AK345" s="213"/>
      <c r="AL345" s="213"/>
      <c r="AM345" s="213"/>
      <c r="AN345" s="213"/>
      <c r="AO345" s="213"/>
      <c r="AP345" s="213"/>
      <c r="AQ345" s="213"/>
      <c r="AR345" s="213"/>
      <c r="AS345" s="213"/>
      <c r="AT345" s="213"/>
      <c r="AU345" s="213"/>
      <c r="AV345" s="213"/>
      <c r="AW345" s="213"/>
      <c r="AX345" s="213"/>
      <c r="AY345" s="213"/>
      <c r="AZ345" s="213"/>
      <c r="BA345" s="213"/>
      <c r="BB345" s="213"/>
    </row>
    <row r="346" ht="12.75" customHeight="1" outlineLevel="1">
      <c r="A346" s="235"/>
      <c r="B346" s="236"/>
      <c r="C346" s="237" t="s">
        <v>1274</v>
      </c>
      <c r="D346" s="238"/>
      <c r="E346" s="239">
        <v>1.8</v>
      </c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3"/>
      <c r="Z346" s="213"/>
      <c r="AA346" s="213"/>
      <c r="AB346" s="213"/>
      <c r="AC346" s="213"/>
      <c r="AD346" s="213"/>
      <c r="AE346" s="213"/>
      <c r="AF346" s="213"/>
      <c r="AG346" s="213" t="s">
        <v>228</v>
      </c>
      <c r="AH346" s="213">
        <v>0.0</v>
      </c>
      <c r="AI346" s="213"/>
      <c r="AJ346" s="213"/>
      <c r="AK346" s="213"/>
      <c r="AL346" s="213"/>
      <c r="AM346" s="213"/>
      <c r="AN346" s="213"/>
      <c r="AO346" s="213"/>
      <c r="AP346" s="213"/>
      <c r="AQ346" s="213"/>
      <c r="AR346" s="213"/>
      <c r="AS346" s="213"/>
      <c r="AT346" s="213"/>
      <c r="AU346" s="213"/>
      <c r="AV346" s="213"/>
      <c r="AW346" s="213"/>
      <c r="AX346" s="213"/>
      <c r="AY346" s="213"/>
      <c r="AZ346" s="213"/>
      <c r="BA346" s="213"/>
      <c r="BB346" s="213"/>
    </row>
    <row r="347" ht="12.75" customHeight="1" outlineLevel="1">
      <c r="A347" s="214">
        <v>35.0</v>
      </c>
      <c r="B347" s="215" t="s">
        <v>545</v>
      </c>
      <c r="C347" s="216" t="s">
        <v>546</v>
      </c>
      <c r="D347" s="217" t="s">
        <v>224</v>
      </c>
      <c r="E347" s="218">
        <v>13.224</v>
      </c>
      <c r="F347" s="219">
        <v>178.0</v>
      </c>
      <c r="G347" s="220">
        <f>ROUND(E347*F347,2)</f>
        <v>2353.87</v>
      </c>
      <c r="H347" s="211"/>
      <c r="I347" s="212">
        <f>ROUND(E347*H347,2)</f>
        <v>0</v>
      </c>
      <c r="J347" s="211"/>
      <c r="K347" s="212">
        <f>ROUND(E347*J347,2)</f>
        <v>0</v>
      </c>
      <c r="L347" s="212">
        <v>21.0</v>
      </c>
      <c r="M347" s="212">
        <f>G347*(1+L347/100)</f>
        <v>2848.1827</v>
      </c>
      <c r="N347" s="212">
        <v>0.0</v>
      </c>
      <c r="O347" s="212">
        <f>ROUND(E347*N347,2)</f>
        <v>0</v>
      </c>
      <c r="P347" s="212">
        <v>0.0</v>
      </c>
      <c r="Q347" s="212">
        <f>ROUND(E347*P347,2)</f>
        <v>0</v>
      </c>
      <c r="R347" s="212"/>
      <c r="S347" s="212" t="s">
        <v>184</v>
      </c>
      <c r="T347" s="212" t="s">
        <v>184</v>
      </c>
      <c r="U347" s="212">
        <v>0.24</v>
      </c>
      <c r="V347" s="212">
        <f>ROUND(E347*U347,2)</f>
        <v>3.17</v>
      </c>
      <c r="W347" s="212"/>
      <c r="X347" s="212" t="s">
        <v>225</v>
      </c>
      <c r="Y347" s="213"/>
      <c r="Z347" s="213"/>
      <c r="AA347" s="213"/>
      <c r="AB347" s="213"/>
      <c r="AC347" s="213"/>
      <c r="AD347" s="213"/>
      <c r="AE347" s="213"/>
      <c r="AF347" s="213"/>
      <c r="AG347" s="213" t="s">
        <v>226</v>
      </c>
      <c r="AH347" s="213"/>
      <c r="AI347" s="213"/>
      <c r="AJ347" s="213"/>
      <c r="AK347" s="213"/>
      <c r="AL347" s="213"/>
      <c r="AM347" s="213"/>
      <c r="AN347" s="213"/>
      <c r="AO347" s="213"/>
      <c r="AP347" s="213"/>
      <c r="AQ347" s="213"/>
      <c r="AR347" s="213"/>
      <c r="AS347" s="213"/>
      <c r="AT347" s="213"/>
      <c r="AU347" s="213"/>
      <c r="AV347" s="213"/>
      <c r="AW347" s="213"/>
      <c r="AX347" s="213"/>
      <c r="AY347" s="213"/>
      <c r="AZ347" s="213"/>
      <c r="BA347" s="213"/>
      <c r="BB347" s="213"/>
    </row>
    <row r="348" ht="12.75" customHeight="1" outlineLevel="1">
      <c r="A348" s="235"/>
      <c r="B348" s="236"/>
      <c r="C348" s="237" t="s">
        <v>533</v>
      </c>
      <c r="D348" s="238"/>
      <c r="E348" s="239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3"/>
      <c r="Z348" s="213"/>
      <c r="AA348" s="213"/>
      <c r="AB348" s="213"/>
      <c r="AC348" s="213"/>
      <c r="AD348" s="213"/>
      <c r="AE348" s="213"/>
      <c r="AF348" s="213"/>
      <c r="AG348" s="213" t="s">
        <v>228</v>
      </c>
      <c r="AH348" s="213">
        <v>0.0</v>
      </c>
      <c r="AI348" s="213"/>
      <c r="AJ348" s="213"/>
      <c r="AK348" s="213"/>
      <c r="AL348" s="213"/>
      <c r="AM348" s="213"/>
      <c r="AN348" s="213"/>
      <c r="AO348" s="213"/>
      <c r="AP348" s="213"/>
      <c r="AQ348" s="213"/>
      <c r="AR348" s="213"/>
      <c r="AS348" s="213"/>
      <c r="AT348" s="213"/>
      <c r="AU348" s="213"/>
      <c r="AV348" s="213"/>
      <c r="AW348" s="213"/>
      <c r="AX348" s="213"/>
      <c r="AY348" s="213"/>
      <c r="AZ348" s="213"/>
      <c r="BA348" s="213"/>
      <c r="BB348" s="213"/>
    </row>
    <row r="349" ht="12.75" customHeight="1" outlineLevel="1">
      <c r="A349" s="235"/>
      <c r="B349" s="236"/>
      <c r="C349" s="237" t="s">
        <v>1271</v>
      </c>
      <c r="D349" s="238"/>
      <c r="E349" s="239">
        <v>3.36</v>
      </c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3"/>
      <c r="Z349" s="213"/>
      <c r="AA349" s="213"/>
      <c r="AB349" s="213"/>
      <c r="AC349" s="213"/>
      <c r="AD349" s="213"/>
      <c r="AE349" s="213"/>
      <c r="AF349" s="213"/>
      <c r="AG349" s="213" t="s">
        <v>228</v>
      </c>
      <c r="AH349" s="213">
        <v>0.0</v>
      </c>
      <c r="AI349" s="213"/>
      <c r="AJ349" s="213"/>
      <c r="AK349" s="213"/>
      <c r="AL349" s="213"/>
      <c r="AM349" s="213"/>
      <c r="AN349" s="213"/>
      <c r="AO349" s="213"/>
      <c r="AP349" s="213"/>
      <c r="AQ349" s="213"/>
      <c r="AR349" s="213"/>
      <c r="AS349" s="213"/>
      <c r="AT349" s="213"/>
      <c r="AU349" s="213"/>
      <c r="AV349" s="213"/>
      <c r="AW349" s="213"/>
      <c r="AX349" s="213"/>
      <c r="AY349" s="213"/>
      <c r="AZ349" s="213"/>
      <c r="BA349" s="213"/>
      <c r="BB349" s="213"/>
    </row>
    <row r="350" ht="12.75" customHeight="1" outlineLevel="1">
      <c r="A350" s="235"/>
      <c r="B350" s="236"/>
      <c r="C350" s="237" t="s">
        <v>1260</v>
      </c>
      <c r="D350" s="238"/>
      <c r="E350" s="239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3"/>
      <c r="Z350" s="213"/>
      <c r="AA350" s="213"/>
      <c r="AB350" s="213"/>
      <c r="AC350" s="213"/>
      <c r="AD350" s="213"/>
      <c r="AE350" s="213"/>
      <c r="AF350" s="213"/>
      <c r="AG350" s="213" t="s">
        <v>228</v>
      </c>
      <c r="AH350" s="213">
        <v>0.0</v>
      </c>
      <c r="AI350" s="213"/>
      <c r="AJ350" s="213"/>
      <c r="AK350" s="213"/>
      <c r="AL350" s="213"/>
      <c r="AM350" s="213"/>
      <c r="AN350" s="213"/>
      <c r="AO350" s="213"/>
      <c r="AP350" s="213"/>
      <c r="AQ350" s="213"/>
      <c r="AR350" s="213"/>
      <c r="AS350" s="213"/>
      <c r="AT350" s="213"/>
      <c r="AU350" s="213"/>
      <c r="AV350" s="213"/>
      <c r="AW350" s="213"/>
      <c r="AX350" s="213"/>
      <c r="AY350" s="213"/>
      <c r="AZ350" s="213"/>
      <c r="BA350" s="213"/>
      <c r="BB350" s="213"/>
    </row>
    <row r="351" ht="12.75" customHeight="1" outlineLevel="1">
      <c r="A351" s="235"/>
      <c r="B351" s="236"/>
      <c r="C351" s="237" t="s">
        <v>1272</v>
      </c>
      <c r="D351" s="238"/>
      <c r="E351" s="239">
        <v>3.44</v>
      </c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3"/>
      <c r="Z351" s="213"/>
      <c r="AA351" s="213"/>
      <c r="AB351" s="213"/>
      <c r="AC351" s="213"/>
      <c r="AD351" s="213"/>
      <c r="AE351" s="213"/>
      <c r="AF351" s="213"/>
      <c r="AG351" s="213" t="s">
        <v>228</v>
      </c>
      <c r="AH351" s="213">
        <v>0.0</v>
      </c>
      <c r="AI351" s="213"/>
      <c r="AJ351" s="213"/>
      <c r="AK351" s="213"/>
      <c r="AL351" s="213"/>
      <c r="AM351" s="213"/>
      <c r="AN351" s="213"/>
      <c r="AO351" s="213"/>
      <c r="AP351" s="213"/>
      <c r="AQ351" s="213"/>
      <c r="AR351" s="213"/>
      <c r="AS351" s="213"/>
      <c r="AT351" s="213"/>
      <c r="AU351" s="213"/>
      <c r="AV351" s="213"/>
      <c r="AW351" s="213"/>
      <c r="AX351" s="213"/>
      <c r="AY351" s="213"/>
      <c r="AZ351" s="213"/>
      <c r="BA351" s="213"/>
      <c r="BB351" s="213"/>
    </row>
    <row r="352" ht="12.75" customHeight="1" outlineLevel="1">
      <c r="A352" s="235"/>
      <c r="B352" s="236"/>
      <c r="C352" s="237" t="s">
        <v>1264</v>
      </c>
      <c r="D352" s="238"/>
      <c r="E352" s="239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3"/>
      <c r="Z352" s="213"/>
      <c r="AA352" s="213"/>
      <c r="AB352" s="213"/>
      <c r="AC352" s="213"/>
      <c r="AD352" s="213"/>
      <c r="AE352" s="213"/>
      <c r="AF352" s="213"/>
      <c r="AG352" s="213" t="s">
        <v>228</v>
      </c>
      <c r="AH352" s="213">
        <v>0.0</v>
      </c>
      <c r="AI352" s="213"/>
      <c r="AJ352" s="213"/>
      <c r="AK352" s="213"/>
      <c r="AL352" s="213"/>
      <c r="AM352" s="213"/>
      <c r="AN352" s="213"/>
      <c r="AO352" s="213"/>
      <c r="AP352" s="213"/>
      <c r="AQ352" s="213"/>
      <c r="AR352" s="213"/>
      <c r="AS352" s="213"/>
      <c r="AT352" s="213"/>
      <c r="AU352" s="213"/>
      <c r="AV352" s="213"/>
      <c r="AW352" s="213"/>
      <c r="AX352" s="213"/>
      <c r="AY352" s="213"/>
      <c r="AZ352" s="213"/>
      <c r="BA352" s="213"/>
      <c r="BB352" s="213"/>
    </row>
    <row r="353" ht="12.75" customHeight="1" outlineLevel="1">
      <c r="A353" s="235"/>
      <c r="B353" s="236"/>
      <c r="C353" s="237" t="s">
        <v>1273</v>
      </c>
      <c r="D353" s="238"/>
      <c r="E353" s="239">
        <v>4.62</v>
      </c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3"/>
      <c r="Z353" s="213"/>
      <c r="AA353" s="213"/>
      <c r="AB353" s="213"/>
      <c r="AC353" s="213"/>
      <c r="AD353" s="213"/>
      <c r="AE353" s="213"/>
      <c r="AF353" s="213"/>
      <c r="AG353" s="213" t="s">
        <v>228</v>
      </c>
      <c r="AH353" s="213">
        <v>0.0</v>
      </c>
      <c r="AI353" s="213"/>
      <c r="AJ353" s="213"/>
      <c r="AK353" s="213"/>
      <c r="AL353" s="213"/>
      <c r="AM353" s="213"/>
      <c r="AN353" s="213"/>
      <c r="AO353" s="213"/>
      <c r="AP353" s="213"/>
      <c r="AQ353" s="213"/>
      <c r="AR353" s="213"/>
      <c r="AS353" s="213"/>
      <c r="AT353" s="213"/>
      <c r="AU353" s="213"/>
      <c r="AV353" s="213"/>
      <c r="AW353" s="213"/>
      <c r="AX353" s="213"/>
      <c r="AY353" s="213"/>
      <c r="AZ353" s="213"/>
      <c r="BA353" s="213"/>
      <c r="BB353" s="213"/>
    </row>
    <row r="354" ht="12.75" customHeight="1" outlineLevel="1">
      <c r="A354" s="235"/>
      <c r="B354" s="236"/>
      <c r="C354" s="237" t="s">
        <v>1266</v>
      </c>
      <c r="D354" s="238"/>
      <c r="E354" s="239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3"/>
      <c r="Z354" s="213"/>
      <c r="AA354" s="213"/>
      <c r="AB354" s="213"/>
      <c r="AC354" s="213"/>
      <c r="AD354" s="213"/>
      <c r="AE354" s="213"/>
      <c r="AF354" s="213"/>
      <c r="AG354" s="213" t="s">
        <v>228</v>
      </c>
      <c r="AH354" s="213">
        <v>0.0</v>
      </c>
      <c r="AI354" s="213"/>
      <c r="AJ354" s="213"/>
      <c r="AK354" s="213"/>
      <c r="AL354" s="213"/>
      <c r="AM354" s="213"/>
      <c r="AN354" s="213"/>
      <c r="AO354" s="213"/>
      <c r="AP354" s="213"/>
      <c r="AQ354" s="213"/>
      <c r="AR354" s="213"/>
      <c r="AS354" s="213"/>
      <c r="AT354" s="213"/>
      <c r="AU354" s="213"/>
      <c r="AV354" s="213"/>
      <c r="AW354" s="213"/>
      <c r="AX354" s="213"/>
      <c r="AY354" s="213"/>
      <c r="AZ354" s="213"/>
      <c r="BA354" s="213"/>
      <c r="BB354" s="213"/>
    </row>
    <row r="355" ht="12.75" customHeight="1" outlineLevel="1">
      <c r="A355" s="235"/>
      <c r="B355" s="236"/>
      <c r="C355" s="237" t="s">
        <v>1274</v>
      </c>
      <c r="D355" s="238"/>
      <c r="E355" s="239">
        <v>1.8</v>
      </c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3"/>
      <c r="Z355" s="213"/>
      <c r="AA355" s="213"/>
      <c r="AB355" s="213"/>
      <c r="AC355" s="213"/>
      <c r="AD355" s="213"/>
      <c r="AE355" s="213"/>
      <c r="AF355" s="213"/>
      <c r="AG355" s="213" t="s">
        <v>228</v>
      </c>
      <c r="AH355" s="213">
        <v>0.0</v>
      </c>
      <c r="AI355" s="213"/>
      <c r="AJ355" s="213"/>
      <c r="AK355" s="213"/>
      <c r="AL355" s="213"/>
      <c r="AM355" s="213"/>
      <c r="AN355" s="213"/>
      <c r="AO355" s="213"/>
      <c r="AP355" s="213"/>
      <c r="AQ355" s="213"/>
      <c r="AR355" s="213"/>
      <c r="AS355" s="213"/>
      <c r="AT355" s="213"/>
      <c r="AU355" s="213"/>
      <c r="AV355" s="213"/>
      <c r="AW355" s="213"/>
      <c r="AX355" s="213"/>
      <c r="AY355" s="213"/>
      <c r="AZ355" s="213"/>
      <c r="BA355" s="213"/>
      <c r="BB355" s="213"/>
    </row>
    <row r="356" ht="12.75" customHeight="1" outlineLevel="1">
      <c r="A356" s="214">
        <v>36.0</v>
      </c>
      <c r="B356" s="215" t="s">
        <v>1275</v>
      </c>
      <c r="C356" s="216" t="s">
        <v>1276</v>
      </c>
      <c r="D356" s="217" t="s">
        <v>316</v>
      </c>
      <c r="E356" s="218">
        <v>0.183</v>
      </c>
      <c r="F356" s="219">
        <v>46872.1</v>
      </c>
      <c r="G356" s="220">
        <f>ROUND(E356*F356,2)</f>
        <v>8577.59</v>
      </c>
      <c r="H356" s="211"/>
      <c r="I356" s="212">
        <f>ROUND(E356*H356,2)</f>
        <v>0</v>
      </c>
      <c r="J356" s="211"/>
      <c r="K356" s="212">
        <f>ROUND(E356*J356,2)</f>
        <v>0</v>
      </c>
      <c r="L356" s="212">
        <v>21.0</v>
      </c>
      <c r="M356" s="212">
        <f>G356*(1+L356/100)</f>
        <v>10378.8839</v>
      </c>
      <c r="N356" s="212">
        <v>1.06625</v>
      </c>
      <c r="O356" s="212">
        <f>ROUND(E356*N356,2)</f>
        <v>0.2</v>
      </c>
      <c r="P356" s="212">
        <v>0.0</v>
      </c>
      <c r="Q356" s="212">
        <f>ROUND(E356*P356,2)</f>
        <v>0</v>
      </c>
      <c r="R356" s="212"/>
      <c r="S356" s="212" t="s">
        <v>184</v>
      </c>
      <c r="T356" s="212" t="s">
        <v>184</v>
      </c>
      <c r="U356" s="212">
        <v>15.231</v>
      </c>
      <c r="V356" s="212">
        <f>ROUND(E356*U356,2)</f>
        <v>2.79</v>
      </c>
      <c r="W356" s="212"/>
      <c r="X356" s="212" t="s">
        <v>225</v>
      </c>
      <c r="Y356" s="213"/>
      <c r="Z356" s="213"/>
      <c r="AA356" s="213"/>
      <c r="AB356" s="213"/>
      <c r="AC356" s="213"/>
      <c r="AD356" s="213"/>
      <c r="AE356" s="213"/>
      <c r="AF356" s="213"/>
      <c r="AG356" s="213" t="s">
        <v>226</v>
      </c>
      <c r="AH356" s="213"/>
      <c r="AI356" s="213"/>
      <c r="AJ356" s="213"/>
      <c r="AK356" s="213"/>
      <c r="AL356" s="213"/>
      <c r="AM356" s="213"/>
      <c r="AN356" s="213"/>
      <c r="AO356" s="213"/>
      <c r="AP356" s="213"/>
      <c r="AQ356" s="213"/>
      <c r="AR356" s="213"/>
      <c r="AS356" s="213"/>
      <c r="AT356" s="213"/>
      <c r="AU356" s="213"/>
      <c r="AV356" s="213"/>
      <c r="AW356" s="213"/>
      <c r="AX356" s="213"/>
      <c r="AY356" s="213"/>
      <c r="AZ356" s="213"/>
      <c r="BA356" s="213"/>
      <c r="BB356" s="213"/>
    </row>
    <row r="357" ht="12.75" customHeight="1" outlineLevel="1">
      <c r="A357" s="235"/>
      <c r="B357" s="236"/>
      <c r="C357" s="237" t="s">
        <v>1264</v>
      </c>
      <c r="D357" s="238"/>
      <c r="E357" s="239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3"/>
      <c r="Z357" s="213"/>
      <c r="AA357" s="213"/>
      <c r="AB357" s="213"/>
      <c r="AC357" s="213"/>
      <c r="AD357" s="213"/>
      <c r="AE357" s="213"/>
      <c r="AF357" s="213"/>
      <c r="AG357" s="213" t="s">
        <v>228</v>
      </c>
      <c r="AH357" s="213">
        <v>0.0</v>
      </c>
      <c r="AI357" s="213"/>
      <c r="AJ357" s="213"/>
      <c r="AK357" s="213"/>
      <c r="AL357" s="213"/>
      <c r="AM357" s="213"/>
      <c r="AN357" s="213"/>
      <c r="AO357" s="213"/>
      <c r="AP357" s="213"/>
      <c r="AQ357" s="213"/>
      <c r="AR357" s="213"/>
      <c r="AS357" s="213"/>
      <c r="AT357" s="213"/>
      <c r="AU357" s="213"/>
      <c r="AV357" s="213"/>
      <c r="AW357" s="213"/>
      <c r="AX357" s="213"/>
      <c r="AY357" s="213"/>
      <c r="AZ357" s="213"/>
      <c r="BA357" s="213"/>
      <c r="BB357" s="213"/>
    </row>
    <row r="358" ht="12.75" customHeight="1" outlineLevel="1">
      <c r="A358" s="235"/>
      <c r="B358" s="236"/>
      <c r="C358" s="240" t="s">
        <v>236</v>
      </c>
      <c r="D358" s="241"/>
      <c r="E358" s="24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3"/>
      <c r="Z358" s="213"/>
      <c r="AA358" s="213"/>
      <c r="AB358" s="213"/>
      <c r="AC358" s="213"/>
      <c r="AD358" s="213"/>
      <c r="AE358" s="213"/>
      <c r="AF358" s="213"/>
      <c r="AG358" s="213" t="s">
        <v>228</v>
      </c>
      <c r="AH358" s="213"/>
      <c r="AI358" s="213"/>
      <c r="AJ358" s="213"/>
      <c r="AK358" s="213"/>
      <c r="AL358" s="213"/>
      <c r="AM358" s="213"/>
      <c r="AN358" s="213"/>
      <c r="AO358" s="213"/>
      <c r="AP358" s="213"/>
      <c r="AQ358" s="213"/>
      <c r="AR358" s="213"/>
      <c r="AS358" s="213"/>
      <c r="AT358" s="213"/>
      <c r="AU358" s="213"/>
      <c r="AV358" s="213"/>
      <c r="AW358" s="213"/>
      <c r="AX358" s="213"/>
      <c r="AY358" s="213"/>
      <c r="AZ358" s="213"/>
      <c r="BA358" s="213"/>
      <c r="BB358" s="213"/>
    </row>
    <row r="359" ht="12.75" customHeight="1" outlineLevel="1">
      <c r="A359" s="235"/>
      <c r="B359" s="236"/>
      <c r="C359" s="243" t="s">
        <v>1277</v>
      </c>
      <c r="D359" s="241"/>
      <c r="E359" s="242">
        <v>37.2</v>
      </c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3"/>
      <c r="Z359" s="213"/>
      <c r="AA359" s="213"/>
      <c r="AB359" s="213"/>
      <c r="AC359" s="213"/>
      <c r="AD359" s="213"/>
      <c r="AE359" s="213"/>
      <c r="AF359" s="213"/>
      <c r="AG359" s="213" t="s">
        <v>228</v>
      </c>
      <c r="AH359" s="213">
        <v>2.0</v>
      </c>
      <c r="AI359" s="213"/>
      <c r="AJ359" s="213"/>
      <c r="AK359" s="213"/>
      <c r="AL359" s="213"/>
      <c r="AM359" s="213"/>
      <c r="AN359" s="213"/>
      <c r="AO359" s="213"/>
      <c r="AP359" s="213"/>
      <c r="AQ359" s="213"/>
      <c r="AR359" s="213"/>
      <c r="AS359" s="213"/>
      <c r="AT359" s="213"/>
      <c r="AU359" s="213"/>
      <c r="AV359" s="213"/>
      <c r="AW359" s="213"/>
      <c r="AX359" s="213"/>
      <c r="AY359" s="213"/>
      <c r="AZ359" s="213"/>
      <c r="BA359" s="213"/>
      <c r="BB359" s="213"/>
    </row>
    <row r="360" ht="12.75" customHeight="1" outlineLevel="1">
      <c r="A360" s="235"/>
      <c r="B360" s="236"/>
      <c r="C360" s="240" t="s">
        <v>238</v>
      </c>
      <c r="D360" s="241"/>
      <c r="E360" s="24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3"/>
      <c r="Z360" s="213"/>
      <c r="AA360" s="213"/>
      <c r="AB360" s="213"/>
      <c r="AC360" s="213"/>
      <c r="AD360" s="213"/>
      <c r="AE360" s="213"/>
      <c r="AF360" s="213"/>
      <c r="AG360" s="213" t="s">
        <v>228</v>
      </c>
      <c r="AH360" s="213"/>
      <c r="AI360" s="213"/>
      <c r="AJ360" s="213"/>
      <c r="AK360" s="213"/>
      <c r="AL360" s="213"/>
      <c r="AM360" s="213"/>
      <c r="AN360" s="213"/>
      <c r="AO360" s="213"/>
      <c r="AP360" s="213"/>
      <c r="AQ360" s="213"/>
      <c r="AR360" s="213"/>
      <c r="AS360" s="213"/>
      <c r="AT360" s="213"/>
      <c r="AU360" s="213"/>
      <c r="AV360" s="213"/>
      <c r="AW360" s="213"/>
      <c r="AX360" s="213"/>
      <c r="AY360" s="213"/>
      <c r="AZ360" s="213"/>
      <c r="BA360" s="213"/>
      <c r="BB360" s="213"/>
    </row>
    <row r="361" ht="12.75" customHeight="1" outlineLevel="1">
      <c r="A361" s="235"/>
      <c r="B361" s="236"/>
      <c r="C361" s="237" t="s">
        <v>1278</v>
      </c>
      <c r="D361" s="238"/>
      <c r="E361" s="239">
        <v>0.15</v>
      </c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3"/>
      <c r="Z361" s="213"/>
      <c r="AA361" s="213"/>
      <c r="AB361" s="213"/>
      <c r="AC361" s="213"/>
      <c r="AD361" s="213"/>
      <c r="AE361" s="213"/>
      <c r="AF361" s="213"/>
      <c r="AG361" s="213" t="s">
        <v>228</v>
      </c>
      <c r="AH361" s="213">
        <v>0.0</v>
      </c>
      <c r="AI361" s="213"/>
      <c r="AJ361" s="213"/>
      <c r="AK361" s="213"/>
      <c r="AL361" s="213"/>
      <c r="AM361" s="213"/>
      <c r="AN361" s="213"/>
      <c r="AO361" s="213"/>
      <c r="AP361" s="213"/>
      <c r="AQ361" s="213"/>
      <c r="AR361" s="213"/>
      <c r="AS361" s="213"/>
      <c r="AT361" s="213"/>
      <c r="AU361" s="213"/>
      <c r="AV361" s="213"/>
      <c r="AW361" s="213"/>
      <c r="AX361" s="213"/>
      <c r="AY361" s="213"/>
      <c r="AZ361" s="213"/>
      <c r="BA361" s="213"/>
      <c r="BB361" s="213"/>
    </row>
    <row r="362" ht="12.75" customHeight="1" outlineLevel="1">
      <c r="A362" s="235"/>
      <c r="B362" s="236"/>
      <c r="C362" s="237" t="s">
        <v>1266</v>
      </c>
      <c r="D362" s="238"/>
      <c r="E362" s="239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3"/>
      <c r="Z362" s="213"/>
      <c r="AA362" s="213"/>
      <c r="AB362" s="213"/>
      <c r="AC362" s="213"/>
      <c r="AD362" s="213"/>
      <c r="AE362" s="213"/>
      <c r="AF362" s="213"/>
      <c r="AG362" s="213" t="s">
        <v>228</v>
      </c>
      <c r="AH362" s="213">
        <v>0.0</v>
      </c>
      <c r="AI362" s="213"/>
      <c r="AJ362" s="213"/>
      <c r="AK362" s="213"/>
      <c r="AL362" s="213"/>
      <c r="AM362" s="213"/>
      <c r="AN362" s="213"/>
      <c r="AO362" s="213"/>
      <c r="AP362" s="213"/>
      <c r="AQ362" s="213"/>
      <c r="AR362" s="213"/>
      <c r="AS362" s="213"/>
      <c r="AT362" s="213"/>
      <c r="AU362" s="213"/>
      <c r="AV362" s="213"/>
      <c r="AW362" s="213"/>
      <c r="AX362" s="213"/>
      <c r="AY362" s="213"/>
      <c r="AZ362" s="213"/>
      <c r="BA362" s="213"/>
      <c r="BB362" s="213"/>
    </row>
    <row r="363" ht="12.75" customHeight="1" outlineLevel="1">
      <c r="A363" s="235"/>
      <c r="B363" s="236"/>
      <c r="C363" s="240" t="s">
        <v>236</v>
      </c>
      <c r="D363" s="241"/>
      <c r="E363" s="24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3"/>
      <c r="Z363" s="213"/>
      <c r="AA363" s="213"/>
      <c r="AB363" s="213"/>
      <c r="AC363" s="213"/>
      <c r="AD363" s="213"/>
      <c r="AE363" s="213"/>
      <c r="AF363" s="213"/>
      <c r="AG363" s="213" t="s">
        <v>228</v>
      </c>
      <c r="AH363" s="213"/>
      <c r="AI363" s="213"/>
      <c r="AJ363" s="213"/>
      <c r="AK363" s="213"/>
      <c r="AL363" s="213"/>
      <c r="AM363" s="213"/>
      <c r="AN363" s="213"/>
      <c r="AO363" s="213"/>
      <c r="AP363" s="213"/>
      <c r="AQ363" s="213"/>
      <c r="AR363" s="213"/>
      <c r="AS363" s="213"/>
      <c r="AT363" s="213"/>
      <c r="AU363" s="213"/>
      <c r="AV363" s="213"/>
      <c r="AW363" s="213"/>
      <c r="AX363" s="213"/>
      <c r="AY363" s="213"/>
      <c r="AZ363" s="213"/>
      <c r="BA363" s="213"/>
      <c r="BB363" s="213"/>
    </row>
    <row r="364" ht="12.75" customHeight="1" outlineLevel="1">
      <c r="A364" s="235"/>
      <c r="B364" s="236"/>
      <c r="C364" s="243" t="s">
        <v>1279</v>
      </c>
      <c r="D364" s="241"/>
      <c r="E364" s="242">
        <v>9.0</v>
      </c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3"/>
      <c r="Z364" s="213"/>
      <c r="AA364" s="213"/>
      <c r="AB364" s="213"/>
      <c r="AC364" s="213"/>
      <c r="AD364" s="213"/>
      <c r="AE364" s="213"/>
      <c r="AF364" s="213"/>
      <c r="AG364" s="213" t="s">
        <v>228</v>
      </c>
      <c r="AH364" s="213">
        <v>2.0</v>
      </c>
      <c r="AI364" s="213"/>
      <c r="AJ364" s="213"/>
      <c r="AK364" s="213"/>
      <c r="AL364" s="213"/>
      <c r="AM364" s="213"/>
      <c r="AN364" s="213"/>
      <c r="AO364" s="213"/>
      <c r="AP364" s="213"/>
      <c r="AQ364" s="213"/>
      <c r="AR364" s="213"/>
      <c r="AS364" s="213"/>
      <c r="AT364" s="213"/>
      <c r="AU364" s="213"/>
      <c r="AV364" s="213"/>
      <c r="AW364" s="213"/>
      <c r="AX364" s="213"/>
      <c r="AY364" s="213"/>
      <c r="AZ364" s="213"/>
      <c r="BA364" s="213"/>
      <c r="BB364" s="213"/>
    </row>
    <row r="365" ht="12.75" customHeight="1" outlineLevel="1">
      <c r="A365" s="235"/>
      <c r="B365" s="236"/>
      <c r="C365" s="240" t="s">
        <v>238</v>
      </c>
      <c r="D365" s="241"/>
      <c r="E365" s="24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3"/>
      <c r="Z365" s="213"/>
      <c r="AA365" s="213"/>
      <c r="AB365" s="213"/>
      <c r="AC365" s="213"/>
      <c r="AD365" s="213"/>
      <c r="AE365" s="213"/>
      <c r="AF365" s="213"/>
      <c r="AG365" s="213" t="s">
        <v>228</v>
      </c>
      <c r="AH365" s="213"/>
      <c r="AI365" s="213"/>
      <c r="AJ365" s="213"/>
      <c r="AK365" s="213"/>
      <c r="AL365" s="213"/>
      <c r="AM365" s="213"/>
      <c r="AN365" s="213"/>
      <c r="AO365" s="213"/>
      <c r="AP365" s="213"/>
      <c r="AQ365" s="213"/>
      <c r="AR365" s="213"/>
      <c r="AS365" s="213"/>
      <c r="AT365" s="213"/>
      <c r="AU365" s="213"/>
      <c r="AV365" s="213"/>
      <c r="AW365" s="213"/>
      <c r="AX365" s="213"/>
      <c r="AY365" s="213"/>
      <c r="AZ365" s="213"/>
      <c r="BA365" s="213"/>
      <c r="BB365" s="213"/>
    </row>
    <row r="366" ht="12.75" customHeight="1" outlineLevel="1">
      <c r="A366" s="235"/>
      <c r="B366" s="236"/>
      <c r="C366" s="237" t="s">
        <v>1280</v>
      </c>
      <c r="D366" s="238"/>
      <c r="E366" s="239">
        <v>0.04</v>
      </c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3"/>
      <c r="Z366" s="213"/>
      <c r="AA366" s="213"/>
      <c r="AB366" s="213"/>
      <c r="AC366" s="213"/>
      <c r="AD366" s="213"/>
      <c r="AE366" s="213"/>
      <c r="AF366" s="213"/>
      <c r="AG366" s="213" t="s">
        <v>228</v>
      </c>
      <c r="AH366" s="213">
        <v>0.0</v>
      </c>
      <c r="AI366" s="213"/>
      <c r="AJ366" s="213"/>
      <c r="AK366" s="213"/>
      <c r="AL366" s="213"/>
      <c r="AM366" s="213"/>
      <c r="AN366" s="213"/>
      <c r="AO366" s="213"/>
      <c r="AP366" s="213"/>
      <c r="AQ366" s="213"/>
      <c r="AR366" s="213"/>
      <c r="AS366" s="213"/>
      <c r="AT366" s="213"/>
      <c r="AU366" s="213"/>
      <c r="AV366" s="213"/>
      <c r="AW366" s="213"/>
      <c r="AX366" s="213"/>
      <c r="AY366" s="213"/>
      <c r="AZ366" s="213"/>
      <c r="BA366" s="213"/>
      <c r="BB366" s="213"/>
    </row>
    <row r="367" ht="12.75" customHeight="1">
      <c r="A367" s="196" t="s">
        <v>173</v>
      </c>
      <c r="B367" s="197" t="s">
        <v>106</v>
      </c>
      <c r="C367" s="198" t="s">
        <v>107</v>
      </c>
      <c r="D367" s="199"/>
      <c r="E367" s="200"/>
      <c r="F367" s="201"/>
      <c r="G367" s="202">
        <f>SUMIF(AG368:AG433,"&lt;&gt;NOR",G368:G433)</f>
        <v>321752.35</v>
      </c>
      <c r="H367" s="203"/>
      <c r="I367" s="203">
        <f>SUM(I368:I433)</f>
        <v>0</v>
      </c>
      <c r="J367" s="203"/>
      <c r="K367" s="203">
        <f>SUM(K368:K433)</f>
        <v>0</v>
      </c>
      <c r="L367" s="203"/>
      <c r="M367" s="203">
        <f>SUM(M368:M433)</f>
        <v>389320.3435</v>
      </c>
      <c r="N367" s="203"/>
      <c r="O367" s="203">
        <f>SUM(O368:O433)</f>
        <v>69.95</v>
      </c>
      <c r="P367" s="203"/>
      <c r="Q367" s="203">
        <f>SUM(Q368:Q433)</f>
        <v>0</v>
      </c>
      <c r="R367" s="203"/>
      <c r="S367" s="203"/>
      <c r="T367" s="203"/>
      <c r="U367" s="203"/>
      <c r="V367" s="203">
        <f>SUM(V368:V433)</f>
        <v>135.29</v>
      </c>
      <c r="W367" s="203"/>
      <c r="X367" s="203"/>
      <c r="AG367" s="184" t="s">
        <v>174</v>
      </c>
    </row>
    <row r="368" ht="12.75" customHeight="1" outlineLevel="1">
      <c r="A368" s="204">
        <v>37.0</v>
      </c>
      <c r="B368" s="205" t="s">
        <v>547</v>
      </c>
      <c r="C368" s="206" t="s">
        <v>1281</v>
      </c>
      <c r="D368" s="207" t="s">
        <v>372</v>
      </c>
      <c r="E368" s="208">
        <v>6.0</v>
      </c>
      <c r="F368" s="209">
        <v>1922.9</v>
      </c>
      <c r="G368" s="210">
        <f t="shared" ref="G368:G370" si="1">ROUND(E368*F368,2)</f>
        <v>11537.4</v>
      </c>
      <c r="H368" s="211"/>
      <c r="I368" s="212">
        <f t="shared" ref="I368:I370" si="2">ROUND(E368*H368,2)</f>
        <v>0</v>
      </c>
      <c r="J368" s="211"/>
      <c r="K368" s="212">
        <f t="shared" ref="K368:K370" si="3">ROUND(E368*J368,2)</f>
        <v>0</v>
      </c>
      <c r="L368" s="212">
        <v>21.0</v>
      </c>
      <c r="M368" s="212">
        <f t="shared" ref="M368:M370" si="4">G368*(1+L368/100)</f>
        <v>13960.254</v>
      </c>
      <c r="N368" s="212">
        <v>0.0</v>
      </c>
      <c r="O368" s="212">
        <f t="shared" ref="O368:O370" si="5">ROUND(E368*N368,2)</f>
        <v>0</v>
      </c>
      <c r="P368" s="212">
        <v>0.0</v>
      </c>
      <c r="Q368" s="212">
        <f t="shared" ref="Q368:Q370" si="6">ROUND(E368*P368,2)</f>
        <v>0</v>
      </c>
      <c r="R368" s="212"/>
      <c r="S368" s="212" t="s">
        <v>178</v>
      </c>
      <c r="T368" s="212" t="s">
        <v>179</v>
      </c>
      <c r="U368" s="212">
        <v>0.0</v>
      </c>
      <c r="V368" s="212">
        <f t="shared" ref="V368:V370" si="7">ROUND(E368*U368,2)</f>
        <v>0</v>
      </c>
      <c r="W368" s="212"/>
      <c r="X368" s="212" t="s">
        <v>225</v>
      </c>
      <c r="Y368" s="213"/>
      <c r="Z368" s="213"/>
      <c r="AA368" s="213"/>
      <c r="AB368" s="213"/>
      <c r="AC368" s="213"/>
      <c r="AD368" s="213"/>
      <c r="AE368" s="213"/>
      <c r="AF368" s="213"/>
      <c r="AG368" s="213" t="s">
        <v>226</v>
      </c>
      <c r="AH368" s="213"/>
      <c r="AI368" s="213"/>
      <c r="AJ368" s="213"/>
      <c r="AK368" s="213"/>
      <c r="AL368" s="213"/>
      <c r="AM368" s="213"/>
      <c r="AN368" s="213"/>
      <c r="AO368" s="213"/>
      <c r="AP368" s="213"/>
      <c r="AQ368" s="213"/>
      <c r="AR368" s="213"/>
      <c r="AS368" s="213"/>
      <c r="AT368" s="213"/>
      <c r="AU368" s="213"/>
      <c r="AV368" s="213"/>
      <c r="AW368" s="213"/>
      <c r="AX368" s="213"/>
      <c r="AY368" s="213"/>
      <c r="AZ368" s="213"/>
      <c r="BA368" s="213"/>
      <c r="BB368" s="213"/>
    </row>
    <row r="369" ht="12.75" customHeight="1" outlineLevel="1">
      <c r="A369" s="204">
        <v>38.0</v>
      </c>
      <c r="B369" s="205" t="s">
        <v>1120</v>
      </c>
      <c r="C369" s="206" t="s">
        <v>1282</v>
      </c>
      <c r="D369" s="207" t="s">
        <v>372</v>
      </c>
      <c r="E369" s="208">
        <v>1.0</v>
      </c>
      <c r="F369" s="209">
        <v>24543.0</v>
      </c>
      <c r="G369" s="210">
        <f t="shared" si="1"/>
        <v>24543</v>
      </c>
      <c r="H369" s="211"/>
      <c r="I369" s="212">
        <f t="shared" si="2"/>
        <v>0</v>
      </c>
      <c r="J369" s="211"/>
      <c r="K369" s="212">
        <f t="shared" si="3"/>
        <v>0</v>
      </c>
      <c r="L369" s="212">
        <v>21.0</v>
      </c>
      <c r="M369" s="212">
        <f t="shared" si="4"/>
        <v>29697.03</v>
      </c>
      <c r="N369" s="212">
        <v>0.0</v>
      </c>
      <c r="O369" s="212">
        <f t="shared" si="5"/>
        <v>0</v>
      </c>
      <c r="P369" s="212">
        <v>0.0</v>
      </c>
      <c r="Q369" s="212">
        <f t="shared" si="6"/>
        <v>0</v>
      </c>
      <c r="R369" s="212"/>
      <c r="S369" s="212" t="s">
        <v>178</v>
      </c>
      <c r="T369" s="212" t="s">
        <v>179</v>
      </c>
      <c r="U369" s="212">
        <v>0.0</v>
      </c>
      <c r="V369" s="212">
        <f t="shared" si="7"/>
        <v>0</v>
      </c>
      <c r="W369" s="212"/>
      <c r="X369" s="212" t="s">
        <v>225</v>
      </c>
      <c r="Y369" s="213"/>
      <c r="Z369" s="213"/>
      <c r="AA369" s="213"/>
      <c r="AB369" s="213"/>
      <c r="AC369" s="213"/>
      <c r="AD369" s="213"/>
      <c r="AE369" s="213"/>
      <c r="AF369" s="213"/>
      <c r="AG369" s="213" t="s">
        <v>226</v>
      </c>
      <c r="AH369" s="213"/>
      <c r="AI369" s="213"/>
      <c r="AJ369" s="213"/>
      <c r="AK369" s="213"/>
      <c r="AL369" s="213"/>
      <c r="AM369" s="213"/>
      <c r="AN369" s="213"/>
      <c r="AO369" s="213"/>
      <c r="AP369" s="213"/>
      <c r="AQ369" s="213"/>
      <c r="AR369" s="213"/>
      <c r="AS369" s="213"/>
      <c r="AT369" s="213"/>
      <c r="AU369" s="213"/>
      <c r="AV369" s="213"/>
      <c r="AW369" s="213"/>
      <c r="AX369" s="213"/>
      <c r="AY369" s="213"/>
      <c r="AZ369" s="213"/>
      <c r="BA369" s="213"/>
      <c r="BB369" s="213"/>
    </row>
    <row r="370" ht="12.75" customHeight="1" outlineLevel="1">
      <c r="A370" s="214">
        <v>39.0</v>
      </c>
      <c r="B370" s="215" t="s">
        <v>1283</v>
      </c>
      <c r="C370" s="216" t="s">
        <v>1284</v>
      </c>
      <c r="D370" s="217" t="s">
        <v>251</v>
      </c>
      <c r="E370" s="218">
        <v>26.81</v>
      </c>
      <c r="F370" s="219">
        <v>87.1</v>
      </c>
      <c r="G370" s="220">
        <f t="shared" si="1"/>
        <v>2335.15</v>
      </c>
      <c r="H370" s="211"/>
      <c r="I370" s="212">
        <f t="shared" si="2"/>
        <v>0</v>
      </c>
      <c r="J370" s="211"/>
      <c r="K370" s="212">
        <f t="shared" si="3"/>
        <v>0</v>
      </c>
      <c r="L370" s="212">
        <v>21.0</v>
      </c>
      <c r="M370" s="212">
        <f t="shared" si="4"/>
        <v>2825.5315</v>
      </c>
      <c r="N370" s="212">
        <v>0.0</v>
      </c>
      <c r="O370" s="212">
        <f t="shared" si="5"/>
        <v>0</v>
      </c>
      <c r="P370" s="212">
        <v>0.0</v>
      </c>
      <c r="Q370" s="212">
        <f t="shared" si="6"/>
        <v>0</v>
      </c>
      <c r="R370" s="212"/>
      <c r="S370" s="212" t="s">
        <v>184</v>
      </c>
      <c r="T370" s="212" t="s">
        <v>184</v>
      </c>
      <c r="U370" s="212">
        <v>0.054</v>
      </c>
      <c r="V370" s="212">
        <f t="shared" si="7"/>
        <v>1.45</v>
      </c>
      <c r="W370" s="212"/>
      <c r="X370" s="212" t="s">
        <v>225</v>
      </c>
      <c r="Y370" s="213"/>
      <c r="Z370" s="213"/>
      <c r="AA370" s="213"/>
      <c r="AB370" s="213"/>
      <c r="AC370" s="213"/>
      <c r="AD370" s="213"/>
      <c r="AE370" s="213"/>
      <c r="AF370" s="213"/>
      <c r="AG370" s="213" t="s">
        <v>226</v>
      </c>
      <c r="AH370" s="213"/>
      <c r="AI370" s="213"/>
      <c r="AJ370" s="213"/>
      <c r="AK370" s="213"/>
      <c r="AL370" s="213"/>
      <c r="AM370" s="213"/>
      <c r="AN370" s="213"/>
      <c r="AO370" s="213"/>
      <c r="AP370" s="213"/>
      <c r="AQ370" s="213"/>
      <c r="AR370" s="213"/>
      <c r="AS370" s="213"/>
      <c r="AT370" s="213"/>
      <c r="AU370" s="213"/>
      <c r="AV370" s="213"/>
      <c r="AW370" s="213"/>
      <c r="AX370" s="213"/>
      <c r="AY370" s="213"/>
      <c r="AZ370" s="213"/>
      <c r="BA370" s="213"/>
      <c r="BB370" s="213"/>
    </row>
    <row r="371" ht="12.75" customHeight="1" outlineLevel="1">
      <c r="A371" s="235"/>
      <c r="B371" s="236"/>
      <c r="C371" s="237" t="s">
        <v>1285</v>
      </c>
      <c r="D371" s="238"/>
      <c r="E371" s="239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3"/>
      <c r="Z371" s="213"/>
      <c r="AA371" s="213"/>
      <c r="AB371" s="213"/>
      <c r="AC371" s="213"/>
      <c r="AD371" s="213"/>
      <c r="AE371" s="213"/>
      <c r="AF371" s="213"/>
      <c r="AG371" s="213" t="s">
        <v>228</v>
      </c>
      <c r="AH371" s="213">
        <v>0.0</v>
      </c>
      <c r="AI371" s="213"/>
      <c r="AJ371" s="213"/>
      <c r="AK371" s="213"/>
      <c r="AL371" s="213"/>
      <c r="AM371" s="213"/>
      <c r="AN371" s="213"/>
      <c r="AO371" s="213"/>
      <c r="AP371" s="213"/>
      <c r="AQ371" s="213"/>
      <c r="AR371" s="213"/>
      <c r="AS371" s="213"/>
      <c r="AT371" s="213"/>
      <c r="AU371" s="213"/>
      <c r="AV371" s="213"/>
      <c r="AW371" s="213"/>
      <c r="AX371" s="213"/>
      <c r="AY371" s="213"/>
      <c r="AZ371" s="213"/>
      <c r="BA371" s="213"/>
      <c r="BB371" s="213"/>
    </row>
    <row r="372" ht="12.75" customHeight="1" outlineLevel="1">
      <c r="A372" s="235"/>
      <c r="B372" s="236"/>
      <c r="C372" s="237" t="s">
        <v>1286</v>
      </c>
      <c r="D372" s="238"/>
      <c r="E372" s="239">
        <v>26.81</v>
      </c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3"/>
      <c r="Z372" s="213"/>
      <c r="AA372" s="213"/>
      <c r="AB372" s="213"/>
      <c r="AC372" s="213"/>
      <c r="AD372" s="213"/>
      <c r="AE372" s="213"/>
      <c r="AF372" s="213"/>
      <c r="AG372" s="213" t="s">
        <v>228</v>
      </c>
      <c r="AH372" s="213">
        <v>0.0</v>
      </c>
      <c r="AI372" s="213"/>
      <c r="AJ372" s="213"/>
      <c r="AK372" s="213"/>
      <c r="AL372" s="213"/>
      <c r="AM372" s="213"/>
      <c r="AN372" s="213"/>
      <c r="AO372" s="213"/>
      <c r="AP372" s="213"/>
      <c r="AQ372" s="213"/>
      <c r="AR372" s="213"/>
      <c r="AS372" s="213"/>
      <c r="AT372" s="213"/>
      <c r="AU372" s="213"/>
      <c r="AV372" s="213"/>
      <c r="AW372" s="213"/>
      <c r="AX372" s="213"/>
      <c r="AY372" s="213"/>
      <c r="AZ372" s="213"/>
      <c r="BA372" s="213"/>
      <c r="BB372" s="213"/>
    </row>
    <row r="373" ht="12.75" customHeight="1" outlineLevel="1">
      <c r="A373" s="214">
        <v>40.0</v>
      </c>
      <c r="B373" s="215" t="s">
        <v>1287</v>
      </c>
      <c r="C373" s="216" t="s">
        <v>1288</v>
      </c>
      <c r="D373" s="217" t="s">
        <v>251</v>
      </c>
      <c r="E373" s="218">
        <v>26.0</v>
      </c>
      <c r="F373" s="219">
        <v>145.0</v>
      </c>
      <c r="G373" s="220">
        <f>ROUND(E373*F373,2)</f>
        <v>3770</v>
      </c>
      <c r="H373" s="211"/>
      <c r="I373" s="212">
        <f>ROUND(E373*H373,2)</f>
        <v>0</v>
      </c>
      <c r="J373" s="211"/>
      <c r="K373" s="212">
        <f>ROUND(E373*J373,2)</f>
        <v>0</v>
      </c>
      <c r="L373" s="212">
        <v>21.0</v>
      </c>
      <c r="M373" s="212">
        <f>G373*(1+L373/100)</f>
        <v>4561.7</v>
      </c>
      <c r="N373" s="212">
        <v>0.0</v>
      </c>
      <c r="O373" s="212">
        <f>ROUND(E373*N373,2)</f>
        <v>0</v>
      </c>
      <c r="P373" s="212">
        <v>0.0</v>
      </c>
      <c r="Q373" s="212">
        <f>ROUND(E373*P373,2)</f>
        <v>0</v>
      </c>
      <c r="R373" s="212"/>
      <c r="S373" s="212" t="s">
        <v>184</v>
      </c>
      <c r="T373" s="212" t="s">
        <v>184</v>
      </c>
      <c r="U373" s="212">
        <v>0.066</v>
      </c>
      <c r="V373" s="212">
        <f>ROUND(E373*U373,2)</f>
        <v>1.72</v>
      </c>
      <c r="W373" s="212"/>
      <c r="X373" s="212" t="s">
        <v>225</v>
      </c>
      <c r="Y373" s="213"/>
      <c r="Z373" s="213"/>
      <c r="AA373" s="213"/>
      <c r="AB373" s="213"/>
      <c r="AC373" s="213"/>
      <c r="AD373" s="213"/>
      <c r="AE373" s="213"/>
      <c r="AF373" s="213"/>
      <c r="AG373" s="213" t="s">
        <v>226</v>
      </c>
      <c r="AH373" s="213"/>
      <c r="AI373" s="213"/>
      <c r="AJ373" s="213"/>
      <c r="AK373" s="213"/>
      <c r="AL373" s="213"/>
      <c r="AM373" s="213"/>
      <c r="AN373" s="213"/>
      <c r="AO373" s="213"/>
      <c r="AP373" s="213"/>
      <c r="AQ373" s="213"/>
      <c r="AR373" s="213"/>
      <c r="AS373" s="213"/>
      <c r="AT373" s="213"/>
      <c r="AU373" s="213"/>
      <c r="AV373" s="213"/>
      <c r="AW373" s="213"/>
      <c r="AX373" s="213"/>
      <c r="AY373" s="213"/>
      <c r="AZ373" s="213"/>
      <c r="BA373" s="213"/>
      <c r="BB373" s="213"/>
    </row>
    <row r="374" ht="12.75" customHeight="1" outlineLevel="1">
      <c r="A374" s="235"/>
      <c r="B374" s="236"/>
      <c r="C374" s="237" t="s">
        <v>1289</v>
      </c>
      <c r="D374" s="238"/>
      <c r="E374" s="239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3"/>
      <c r="Z374" s="213"/>
      <c r="AA374" s="213"/>
      <c r="AB374" s="213"/>
      <c r="AC374" s="213"/>
      <c r="AD374" s="213"/>
      <c r="AE374" s="213"/>
      <c r="AF374" s="213"/>
      <c r="AG374" s="213" t="s">
        <v>228</v>
      </c>
      <c r="AH374" s="213">
        <v>0.0</v>
      </c>
      <c r="AI374" s="213"/>
      <c r="AJ374" s="213"/>
      <c r="AK374" s="213"/>
      <c r="AL374" s="213"/>
      <c r="AM374" s="213"/>
      <c r="AN374" s="213"/>
      <c r="AO374" s="213"/>
      <c r="AP374" s="213"/>
      <c r="AQ374" s="213"/>
      <c r="AR374" s="213"/>
      <c r="AS374" s="213"/>
      <c r="AT374" s="213"/>
      <c r="AU374" s="213"/>
      <c r="AV374" s="213"/>
      <c r="AW374" s="213"/>
      <c r="AX374" s="213"/>
      <c r="AY374" s="213"/>
      <c r="AZ374" s="213"/>
      <c r="BA374" s="213"/>
      <c r="BB374" s="213"/>
    </row>
    <row r="375" ht="12.75" customHeight="1" outlineLevel="1">
      <c r="A375" s="235"/>
      <c r="B375" s="236"/>
      <c r="C375" s="237" t="s">
        <v>1290</v>
      </c>
      <c r="D375" s="238"/>
      <c r="E375" s="239">
        <v>26.0</v>
      </c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3"/>
      <c r="Z375" s="213"/>
      <c r="AA375" s="213"/>
      <c r="AB375" s="213"/>
      <c r="AC375" s="213"/>
      <c r="AD375" s="213"/>
      <c r="AE375" s="213"/>
      <c r="AF375" s="213"/>
      <c r="AG375" s="213" t="s">
        <v>228</v>
      </c>
      <c r="AH375" s="213">
        <v>0.0</v>
      </c>
      <c r="AI375" s="213"/>
      <c r="AJ375" s="213"/>
      <c r="AK375" s="213"/>
      <c r="AL375" s="213"/>
      <c r="AM375" s="213"/>
      <c r="AN375" s="213"/>
      <c r="AO375" s="213"/>
      <c r="AP375" s="213"/>
      <c r="AQ375" s="213"/>
      <c r="AR375" s="213"/>
      <c r="AS375" s="213"/>
      <c r="AT375" s="213"/>
      <c r="AU375" s="213"/>
      <c r="AV375" s="213"/>
      <c r="AW375" s="213"/>
      <c r="AX375" s="213"/>
      <c r="AY375" s="213"/>
      <c r="AZ375" s="213"/>
      <c r="BA375" s="213"/>
      <c r="BB375" s="213"/>
    </row>
    <row r="376" ht="12.75" customHeight="1" outlineLevel="1">
      <c r="A376" s="214">
        <v>41.0</v>
      </c>
      <c r="B376" s="215" t="s">
        <v>1291</v>
      </c>
      <c r="C376" s="216" t="s">
        <v>1292</v>
      </c>
      <c r="D376" s="217" t="s">
        <v>251</v>
      </c>
      <c r="E376" s="218">
        <v>158.27</v>
      </c>
      <c r="F376" s="219">
        <v>175.0</v>
      </c>
      <c r="G376" s="220">
        <f>ROUND(E376*F376,2)</f>
        <v>27697.25</v>
      </c>
      <c r="H376" s="211"/>
      <c r="I376" s="212">
        <f>ROUND(E376*H376,2)</f>
        <v>0</v>
      </c>
      <c r="J376" s="211"/>
      <c r="K376" s="212">
        <f>ROUND(E376*J376,2)</f>
        <v>0</v>
      </c>
      <c r="L376" s="212">
        <v>21.0</v>
      </c>
      <c r="M376" s="212">
        <f>G376*(1+L376/100)</f>
        <v>33513.6725</v>
      </c>
      <c r="N376" s="212">
        <v>1.0E-5</v>
      </c>
      <c r="O376" s="212">
        <f>ROUND(E376*N376,2)</f>
        <v>0</v>
      </c>
      <c r="P376" s="212">
        <v>0.0</v>
      </c>
      <c r="Q376" s="212">
        <f>ROUND(E376*P376,2)</f>
        <v>0</v>
      </c>
      <c r="R376" s="212"/>
      <c r="S376" s="212" t="s">
        <v>184</v>
      </c>
      <c r="T376" s="212" t="s">
        <v>184</v>
      </c>
      <c r="U376" s="212">
        <v>0.097</v>
      </c>
      <c r="V376" s="212">
        <f>ROUND(E376*U376,2)</f>
        <v>15.35</v>
      </c>
      <c r="W376" s="212"/>
      <c r="X376" s="212" t="s">
        <v>225</v>
      </c>
      <c r="Y376" s="213"/>
      <c r="Z376" s="213"/>
      <c r="AA376" s="213"/>
      <c r="AB376" s="213"/>
      <c r="AC376" s="213"/>
      <c r="AD376" s="213"/>
      <c r="AE376" s="213"/>
      <c r="AF376" s="213"/>
      <c r="AG376" s="213" t="s">
        <v>292</v>
      </c>
      <c r="AH376" s="213"/>
      <c r="AI376" s="213"/>
      <c r="AJ376" s="213"/>
      <c r="AK376" s="213"/>
      <c r="AL376" s="213"/>
      <c r="AM376" s="213"/>
      <c r="AN376" s="213"/>
      <c r="AO376" s="213"/>
      <c r="AP376" s="213"/>
      <c r="AQ376" s="213"/>
      <c r="AR376" s="213"/>
      <c r="AS376" s="213"/>
      <c r="AT376" s="213"/>
      <c r="AU376" s="213"/>
      <c r="AV376" s="213"/>
      <c r="AW376" s="213"/>
      <c r="AX376" s="213"/>
      <c r="AY376" s="213"/>
      <c r="AZ376" s="213"/>
      <c r="BA376" s="213"/>
      <c r="BB376" s="213"/>
    </row>
    <row r="377" ht="12.75" customHeight="1" outlineLevel="1">
      <c r="A377" s="235"/>
      <c r="B377" s="236"/>
      <c r="C377" s="237" t="s">
        <v>1293</v>
      </c>
      <c r="D377" s="238"/>
      <c r="E377" s="239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3"/>
      <c r="Z377" s="213"/>
      <c r="AA377" s="213"/>
      <c r="AB377" s="213"/>
      <c r="AC377" s="213"/>
      <c r="AD377" s="213"/>
      <c r="AE377" s="213"/>
      <c r="AF377" s="213"/>
      <c r="AG377" s="213" t="s">
        <v>228</v>
      </c>
      <c r="AH377" s="213">
        <v>0.0</v>
      </c>
      <c r="AI377" s="213"/>
      <c r="AJ377" s="213"/>
      <c r="AK377" s="213"/>
      <c r="AL377" s="213"/>
      <c r="AM377" s="213"/>
      <c r="AN377" s="213"/>
      <c r="AO377" s="213"/>
      <c r="AP377" s="213"/>
      <c r="AQ377" s="213"/>
      <c r="AR377" s="213"/>
      <c r="AS377" s="213"/>
      <c r="AT377" s="213"/>
      <c r="AU377" s="213"/>
      <c r="AV377" s="213"/>
      <c r="AW377" s="213"/>
      <c r="AX377" s="213"/>
      <c r="AY377" s="213"/>
      <c r="AZ377" s="213"/>
      <c r="BA377" s="213"/>
      <c r="BB377" s="213"/>
    </row>
    <row r="378" ht="12.75" customHeight="1" outlineLevel="1">
      <c r="A378" s="235"/>
      <c r="B378" s="236"/>
      <c r="C378" s="237" t="s">
        <v>1294</v>
      </c>
      <c r="D378" s="238"/>
      <c r="E378" s="239">
        <v>151.72</v>
      </c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3"/>
      <c r="Z378" s="213"/>
      <c r="AA378" s="213"/>
      <c r="AB378" s="213"/>
      <c r="AC378" s="213"/>
      <c r="AD378" s="213"/>
      <c r="AE378" s="213"/>
      <c r="AF378" s="213"/>
      <c r="AG378" s="213" t="s">
        <v>228</v>
      </c>
      <c r="AH378" s="213">
        <v>0.0</v>
      </c>
      <c r="AI378" s="213"/>
      <c r="AJ378" s="213"/>
      <c r="AK378" s="213"/>
      <c r="AL378" s="213"/>
      <c r="AM378" s="213"/>
      <c r="AN378" s="213"/>
      <c r="AO378" s="213"/>
      <c r="AP378" s="213"/>
      <c r="AQ378" s="213"/>
      <c r="AR378" s="213"/>
      <c r="AS378" s="213"/>
      <c r="AT378" s="213"/>
      <c r="AU378" s="213"/>
      <c r="AV378" s="213"/>
      <c r="AW378" s="213"/>
      <c r="AX378" s="213"/>
      <c r="AY378" s="213"/>
      <c r="AZ378" s="213"/>
      <c r="BA378" s="213"/>
      <c r="BB378" s="213"/>
    </row>
    <row r="379" ht="12.75" customHeight="1" outlineLevel="1">
      <c r="A379" s="235"/>
      <c r="B379" s="236"/>
      <c r="C379" s="237" t="s">
        <v>1295</v>
      </c>
      <c r="D379" s="238"/>
      <c r="E379" s="239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3"/>
      <c r="Z379" s="213"/>
      <c r="AA379" s="213"/>
      <c r="AB379" s="213"/>
      <c r="AC379" s="213"/>
      <c r="AD379" s="213"/>
      <c r="AE379" s="213"/>
      <c r="AF379" s="213"/>
      <c r="AG379" s="213" t="s">
        <v>228</v>
      </c>
      <c r="AH379" s="213">
        <v>0.0</v>
      </c>
      <c r="AI379" s="213"/>
      <c r="AJ379" s="213"/>
      <c r="AK379" s="213"/>
      <c r="AL379" s="213"/>
      <c r="AM379" s="213"/>
      <c r="AN379" s="213"/>
      <c r="AO379" s="213"/>
      <c r="AP379" s="213"/>
      <c r="AQ379" s="213"/>
      <c r="AR379" s="213"/>
      <c r="AS379" s="213"/>
      <c r="AT379" s="213"/>
      <c r="AU379" s="213"/>
      <c r="AV379" s="213"/>
      <c r="AW379" s="213"/>
      <c r="AX379" s="213"/>
      <c r="AY379" s="213"/>
      <c r="AZ379" s="213"/>
      <c r="BA379" s="213"/>
      <c r="BB379" s="213"/>
    </row>
    <row r="380" ht="12.75" customHeight="1" outlineLevel="1">
      <c r="A380" s="235"/>
      <c r="B380" s="236"/>
      <c r="C380" s="237" t="s">
        <v>1296</v>
      </c>
      <c r="D380" s="238"/>
      <c r="E380" s="239">
        <v>6.55</v>
      </c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3"/>
      <c r="Z380" s="213"/>
      <c r="AA380" s="213"/>
      <c r="AB380" s="213"/>
      <c r="AC380" s="213"/>
      <c r="AD380" s="213"/>
      <c r="AE380" s="213"/>
      <c r="AF380" s="213"/>
      <c r="AG380" s="213" t="s">
        <v>228</v>
      </c>
      <c r="AH380" s="213">
        <v>0.0</v>
      </c>
      <c r="AI380" s="213"/>
      <c r="AJ380" s="213"/>
      <c r="AK380" s="213"/>
      <c r="AL380" s="213"/>
      <c r="AM380" s="213"/>
      <c r="AN380" s="213"/>
      <c r="AO380" s="213"/>
      <c r="AP380" s="213"/>
      <c r="AQ380" s="213"/>
      <c r="AR380" s="213"/>
      <c r="AS380" s="213"/>
      <c r="AT380" s="213"/>
      <c r="AU380" s="213"/>
      <c r="AV380" s="213"/>
      <c r="AW380" s="213"/>
      <c r="AX380" s="213"/>
      <c r="AY380" s="213"/>
      <c r="AZ380" s="213"/>
      <c r="BA380" s="213"/>
      <c r="BB380" s="213"/>
    </row>
    <row r="381" ht="12.75" customHeight="1" outlineLevel="1">
      <c r="A381" s="214">
        <v>42.0</v>
      </c>
      <c r="B381" s="215" t="s">
        <v>556</v>
      </c>
      <c r="C381" s="216" t="s">
        <v>557</v>
      </c>
      <c r="D381" s="217" t="s">
        <v>251</v>
      </c>
      <c r="E381" s="218">
        <v>26.0</v>
      </c>
      <c r="F381" s="219">
        <v>329.0</v>
      </c>
      <c r="G381" s="220">
        <f>ROUND(E381*F381,2)</f>
        <v>8554</v>
      </c>
      <c r="H381" s="211"/>
      <c r="I381" s="212">
        <f>ROUND(E381*H381,2)</f>
        <v>0</v>
      </c>
      <c r="J381" s="211"/>
      <c r="K381" s="212">
        <f>ROUND(E381*J381,2)</f>
        <v>0</v>
      </c>
      <c r="L381" s="212">
        <v>21.0</v>
      </c>
      <c r="M381" s="212">
        <f>G381*(1+L381/100)</f>
        <v>10350.34</v>
      </c>
      <c r="N381" s="212">
        <v>0.0</v>
      </c>
      <c r="O381" s="212">
        <f>ROUND(E381*N381,2)</f>
        <v>0</v>
      </c>
      <c r="P381" s="212">
        <v>0.0</v>
      </c>
      <c r="Q381" s="212">
        <f>ROUND(E381*P381,2)</f>
        <v>0</v>
      </c>
      <c r="R381" s="212"/>
      <c r="S381" s="212" t="s">
        <v>184</v>
      </c>
      <c r="T381" s="212" t="s">
        <v>184</v>
      </c>
      <c r="U381" s="212">
        <v>0.059</v>
      </c>
      <c r="V381" s="212">
        <f>ROUND(E381*U381,2)</f>
        <v>1.53</v>
      </c>
      <c r="W381" s="212"/>
      <c r="X381" s="212" t="s">
        <v>225</v>
      </c>
      <c r="Y381" s="213"/>
      <c r="Z381" s="213"/>
      <c r="AA381" s="213"/>
      <c r="AB381" s="213"/>
      <c r="AC381" s="213"/>
      <c r="AD381" s="213"/>
      <c r="AE381" s="213"/>
      <c r="AF381" s="213"/>
      <c r="AG381" s="213" t="s">
        <v>226</v>
      </c>
      <c r="AH381" s="213"/>
      <c r="AI381" s="213"/>
      <c r="AJ381" s="213"/>
      <c r="AK381" s="213"/>
      <c r="AL381" s="213"/>
      <c r="AM381" s="213"/>
      <c r="AN381" s="213"/>
      <c r="AO381" s="213"/>
      <c r="AP381" s="213"/>
      <c r="AQ381" s="213"/>
      <c r="AR381" s="213"/>
      <c r="AS381" s="213"/>
      <c r="AT381" s="213"/>
      <c r="AU381" s="213"/>
      <c r="AV381" s="213"/>
      <c r="AW381" s="213"/>
      <c r="AX381" s="213"/>
      <c r="AY381" s="213"/>
      <c r="AZ381" s="213"/>
      <c r="BA381" s="213"/>
      <c r="BB381" s="213"/>
    </row>
    <row r="382" ht="12.75" customHeight="1" outlineLevel="1">
      <c r="A382" s="235"/>
      <c r="B382" s="236"/>
      <c r="C382" s="237" t="s">
        <v>1290</v>
      </c>
      <c r="D382" s="238"/>
      <c r="E382" s="239">
        <v>26.0</v>
      </c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3"/>
      <c r="Z382" s="213"/>
      <c r="AA382" s="213"/>
      <c r="AB382" s="213"/>
      <c r="AC382" s="213"/>
      <c r="AD382" s="213"/>
      <c r="AE382" s="213"/>
      <c r="AF382" s="213"/>
      <c r="AG382" s="213" t="s">
        <v>228</v>
      </c>
      <c r="AH382" s="213">
        <v>0.0</v>
      </c>
      <c r="AI382" s="213"/>
      <c r="AJ382" s="213"/>
      <c r="AK382" s="213"/>
      <c r="AL382" s="213"/>
      <c r="AM382" s="213"/>
      <c r="AN382" s="213"/>
      <c r="AO382" s="213"/>
      <c r="AP382" s="213"/>
      <c r="AQ382" s="213"/>
      <c r="AR382" s="213"/>
      <c r="AS382" s="213"/>
      <c r="AT382" s="213"/>
      <c r="AU382" s="213"/>
      <c r="AV382" s="213"/>
      <c r="AW382" s="213"/>
      <c r="AX382" s="213"/>
      <c r="AY382" s="213"/>
      <c r="AZ382" s="213"/>
      <c r="BA382" s="213"/>
      <c r="BB382" s="213"/>
    </row>
    <row r="383" ht="12.75" customHeight="1" outlineLevel="1">
      <c r="A383" s="214">
        <v>43.0</v>
      </c>
      <c r="B383" s="215" t="s">
        <v>1074</v>
      </c>
      <c r="C383" s="216" t="s">
        <v>1075</v>
      </c>
      <c r="D383" s="217" t="s">
        <v>251</v>
      </c>
      <c r="E383" s="218">
        <v>158.27</v>
      </c>
      <c r="F383" s="219">
        <v>160.5</v>
      </c>
      <c r="G383" s="220">
        <f>ROUND(E383*F383,2)</f>
        <v>25402.34</v>
      </c>
      <c r="H383" s="211"/>
      <c r="I383" s="212">
        <f>ROUND(E383*H383,2)</f>
        <v>0</v>
      </c>
      <c r="J383" s="211"/>
      <c r="K383" s="212">
        <f>ROUND(E383*J383,2)</f>
        <v>0</v>
      </c>
      <c r="L383" s="212">
        <v>21.0</v>
      </c>
      <c r="M383" s="212">
        <f>G383*(1+L383/100)</f>
        <v>30736.8314</v>
      </c>
      <c r="N383" s="212">
        <v>0.0</v>
      </c>
      <c r="O383" s="212">
        <f>ROUND(E383*N383,2)</f>
        <v>0</v>
      </c>
      <c r="P383" s="212">
        <v>0.0</v>
      </c>
      <c r="Q383" s="212">
        <f>ROUND(E383*P383,2)</f>
        <v>0</v>
      </c>
      <c r="R383" s="212"/>
      <c r="S383" s="212" t="s">
        <v>184</v>
      </c>
      <c r="T383" s="212" t="s">
        <v>184</v>
      </c>
      <c r="U383" s="212">
        <v>0.079</v>
      </c>
      <c r="V383" s="212">
        <f>ROUND(E383*U383,2)</f>
        <v>12.5</v>
      </c>
      <c r="W383" s="212"/>
      <c r="X383" s="212" t="s">
        <v>225</v>
      </c>
      <c r="Y383" s="213"/>
      <c r="Z383" s="213"/>
      <c r="AA383" s="213"/>
      <c r="AB383" s="213"/>
      <c r="AC383" s="213"/>
      <c r="AD383" s="213"/>
      <c r="AE383" s="213"/>
      <c r="AF383" s="213"/>
      <c r="AG383" s="213" t="s">
        <v>226</v>
      </c>
      <c r="AH383" s="213"/>
      <c r="AI383" s="213"/>
      <c r="AJ383" s="213"/>
      <c r="AK383" s="213"/>
      <c r="AL383" s="213"/>
      <c r="AM383" s="213"/>
      <c r="AN383" s="213"/>
      <c r="AO383" s="213"/>
      <c r="AP383" s="213"/>
      <c r="AQ383" s="213"/>
      <c r="AR383" s="213"/>
      <c r="AS383" s="213"/>
      <c r="AT383" s="213"/>
      <c r="AU383" s="213"/>
      <c r="AV383" s="213"/>
      <c r="AW383" s="213"/>
      <c r="AX383" s="213"/>
      <c r="AY383" s="213"/>
      <c r="AZ383" s="213"/>
      <c r="BA383" s="213"/>
      <c r="BB383" s="213"/>
    </row>
    <row r="384" ht="12.75" customHeight="1" outlineLevel="1">
      <c r="A384" s="235"/>
      <c r="B384" s="236"/>
      <c r="C384" s="237" t="s">
        <v>1297</v>
      </c>
      <c r="D384" s="238"/>
      <c r="E384" s="239">
        <v>158.27</v>
      </c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3"/>
      <c r="Z384" s="213"/>
      <c r="AA384" s="213"/>
      <c r="AB384" s="213"/>
      <c r="AC384" s="213"/>
      <c r="AD384" s="213"/>
      <c r="AE384" s="213"/>
      <c r="AF384" s="213"/>
      <c r="AG384" s="213" t="s">
        <v>228</v>
      </c>
      <c r="AH384" s="213">
        <v>0.0</v>
      </c>
      <c r="AI384" s="213"/>
      <c r="AJ384" s="213"/>
      <c r="AK384" s="213"/>
      <c r="AL384" s="213"/>
      <c r="AM384" s="213"/>
      <c r="AN384" s="213"/>
      <c r="AO384" s="213"/>
      <c r="AP384" s="213"/>
      <c r="AQ384" s="213"/>
      <c r="AR384" s="213"/>
      <c r="AS384" s="213"/>
      <c r="AT384" s="213"/>
      <c r="AU384" s="213"/>
      <c r="AV384" s="213"/>
      <c r="AW384" s="213"/>
      <c r="AX384" s="213"/>
      <c r="AY384" s="213"/>
      <c r="AZ384" s="213"/>
      <c r="BA384" s="213"/>
      <c r="BB384" s="213"/>
    </row>
    <row r="385" ht="12.75" customHeight="1" outlineLevel="1">
      <c r="A385" s="204">
        <v>44.0</v>
      </c>
      <c r="B385" s="205" t="s">
        <v>1076</v>
      </c>
      <c r="C385" s="206" t="s">
        <v>1077</v>
      </c>
      <c r="D385" s="207" t="s">
        <v>1078</v>
      </c>
      <c r="E385" s="208">
        <v>1.0</v>
      </c>
      <c r="F385" s="209">
        <v>4280.0</v>
      </c>
      <c r="G385" s="210">
        <f t="shared" ref="G385:G386" si="8">ROUND(E385*F385,2)</f>
        <v>4280</v>
      </c>
      <c r="H385" s="211"/>
      <c r="I385" s="212">
        <f t="shared" ref="I385:I386" si="9">ROUND(E385*H385,2)</f>
        <v>0</v>
      </c>
      <c r="J385" s="211"/>
      <c r="K385" s="212">
        <f t="shared" ref="K385:K386" si="10">ROUND(E385*J385,2)</f>
        <v>0</v>
      </c>
      <c r="L385" s="212">
        <v>21.0</v>
      </c>
      <c r="M385" s="212">
        <f t="shared" ref="M385:M386" si="11">G385*(1+L385/100)</f>
        <v>5178.8</v>
      </c>
      <c r="N385" s="212">
        <v>1.7E-4</v>
      </c>
      <c r="O385" s="212">
        <f t="shared" ref="O385:O386" si="12">ROUND(E385*N385,2)</f>
        <v>0</v>
      </c>
      <c r="P385" s="212">
        <v>0.0</v>
      </c>
      <c r="Q385" s="212">
        <f t="shared" ref="Q385:Q386" si="13">ROUND(E385*P385,2)</f>
        <v>0</v>
      </c>
      <c r="R385" s="212"/>
      <c r="S385" s="212" t="s">
        <v>184</v>
      </c>
      <c r="T385" s="212" t="s">
        <v>184</v>
      </c>
      <c r="U385" s="212">
        <v>7.1</v>
      </c>
      <c r="V385" s="212">
        <f t="shared" ref="V385:V386" si="14">ROUND(E385*U385,2)</f>
        <v>7.1</v>
      </c>
      <c r="W385" s="212"/>
      <c r="X385" s="212" t="s">
        <v>225</v>
      </c>
      <c r="Y385" s="213"/>
      <c r="Z385" s="213"/>
      <c r="AA385" s="213"/>
      <c r="AB385" s="213"/>
      <c r="AC385" s="213"/>
      <c r="AD385" s="213"/>
      <c r="AE385" s="213"/>
      <c r="AF385" s="213"/>
      <c r="AG385" s="213" t="s">
        <v>226</v>
      </c>
      <c r="AH385" s="213"/>
      <c r="AI385" s="213"/>
      <c r="AJ385" s="213"/>
      <c r="AK385" s="213"/>
      <c r="AL385" s="213"/>
      <c r="AM385" s="213"/>
      <c r="AN385" s="213"/>
      <c r="AO385" s="213"/>
      <c r="AP385" s="213"/>
      <c r="AQ385" s="213"/>
      <c r="AR385" s="213"/>
      <c r="AS385" s="213"/>
      <c r="AT385" s="213"/>
      <c r="AU385" s="213"/>
      <c r="AV385" s="213"/>
      <c r="AW385" s="213"/>
      <c r="AX385" s="213"/>
      <c r="AY385" s="213"/>
      <c r="AZ385" s="213"/>
      <c r="BA385" s="213"/>
      <c r="BB385" s="213"/>
    </row>
    <row r="386" ht="12.75" customHeight="1" outlineLevel="1">
      <c r="A386" s="214">
        <v>45.0</v>
      </c>
      <c r="B386" s="215" t="s">
        <v>558</v>
      </c>
      <c r="C386" s="216" t="s">
        <v>559</v>
      </c>
      <c r="D386" s="217" t="s">
        <v>234</v>
      </c>
      <c r="E386" s="218">
        <v>11.442</v>
      </c>
      <c r="F386" s="219">
        <v>3035.0</v>
      </c>
      <c r="G386" s="220">
        <f t="shared" si="8"/>
        <v>34726.47</v>
      </c>
      <c r="H386" s="211"/>
      <c r="I386" s="212">
        <f t="shared" si="9"/>
        <v>0</v>
      </c>
      <c r="J386" s="211"/>
      <c r="K386" s="212">
        <f t="shared" si="10"/>
        <v>0</v>
      </c>
      <c r="L386" s="212">
        <v>21.0</v>
      </c>
      <c r="M386" s="212">
        <f t="shared" si="11"/>
        <v>42019.0287</v>
      </c>
      <c r="N386" s="212">
        <v>2.525</v>
      </c>
      <c r="O386" s="212">
        <f t="shared" si="12"/>
        <v>28.89</v>
      </c>
      <c r="P386" s="212">
        <v>0.0</v>
      </c>
      <c r="Q386" s="212">
        <f t="shared" si="13"/>
        <v>0</v>
      </c>
      <c r="R386" s="212"/>
      <c r="S386" s="212" t="s">
        <v>184</v>
      </c>
      <c r="T386" s="212" t="s">
        <v>184</v>
      </c>
      <c r="U386" s="212">
        <v>1.303</v>
      </c>
      <c r="V386" s="212">
        <f t="shared" si="14"/>
        <v>14.91</v>
      </c>
      <c r="W386" s="212"/>
      <c r="X386" s="212" t="s">
        <v>225</v>
      </c>
      <c r="Y386" s="213"/>
      <c r="Z386" s="213"/>
      <c r="AA386" s="213"/>
      <c r="AB386" s="213"/>
      <c r="AC386" s="213"/>
      <c r="AD386" s="213"/>
      <c r="AE386" s="213"/>
      <c r="AF386" s="213"/>
      <c r="AG386" s="213" t="s">
        <v>226</v>
      </c>
      <c r="AH386" s="213"/>
      <c r="AI386" s="213"/>
      <c r="AJ386" s="213"/>
      <c r="AK386" s="213"/>
      <c r="AL386" s="213"/>
      <c r="AM386" s="213"/>
      <c r="AN386" s="213"/>
      <c r="AO386" s="213"/>
      <c r="AP386" s="213"/>
      <c r="AQ386" s="213"/>
      <c r="AR386" s="213"/>
      <c r="AS386" s="213"/>
      <c r="AT386" s="213"/>
      <c r="AU386" s="213"/>
      <c r="AV386" s="213"/>
      <c r="AW386" s="213"/>
      <c r="AX386" s="213"/>
      <c r="AY386" s="213"/>
      <c r="AZ386" s="213"/>
      <c r="BA386" s="213"/>
      <c r="BB386" s="213"/>
    </row>
    <row r="387" ht="12.75" customHeight="1" outlineLevel="1">
      <c r="A387" s="235"/>
      <c r="B387" s="236"/>
      <c r="C387" s="237" t="s">
        <v>562</v>
      </c>
      <c r="D387" s="238"/>
      <c r="E387" s="239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3"/>
      <c r="Z387" s="213"/>
      <c r="AA387" s="213"/>
      <c r="AB387" s="213"/>
      <c r="AC387" s="213"/>
      <c r="AD387" s="213"/>
      <c r="AE387" s="213"/>
      <c r="AF387" s="213"/>
      <c r="AG387" s="213" t="s">
        <v>228</v>
      </c>
      <c r="AH387" s="213">
        <v>0.0</v>
      </c>
      <c r="AI387" s="213"/>
      <c r="AJ387" s="213"/>
      <c r="AK387" s="213"/>
      <c r="AL387" s="213"/>
      <c r="AM387" s="213"/>
      <c r="AN387" s="213"/>
      <c r="AO387" s="213"/>
      <c r="AP387" s="213"/>
      <c r="AQ387" s="213"/>
      <c r="AR387" s="213"/>
      <c r="AS387" s="213"/>
      <c r="AT387" s="213"/>
      <c r="AU387" s="213"/>
      <c r="AV387" s="213"/>
      <c r="AW387" s="213"/>
      <c r="AX387" s="213"/>
      <c r="AY387" s="213"/>
      <c r="AZ387" s="213"/>
      <c r="BA387" s="213"/>
      <c r="BB387" s="213"/>
    </row>
    <row r="388" ht="12.75" customHeight="1" outlineLevel="1">
      <c r="A388" s="235"/>
      <c r="B388" s="236"/>
      <c r="C388" s="237" t="s">
        <v>1298</v>
      </c>
      <c r="D388" s="238"/>
      <c r="E388" s="239">
        <v>0.94</v>
      </c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3"/>
      <c r="Z388" s="213"/>
      <c r="AA388" s="213"/>
      <c r="AB388" s="213"/>
      <c r="AC388" s="213"/>
      <c r="AD388" s="213"/>
      <c r="AE388" s="213"/>
      <c r="AF388" s="213"/>
      <c r="AG388" s="213" t="s">
        <v>228</v>
      </c>
      <c r="AH388" s="213">
        <v>0.0</v>
      </c>
      <c r="AI388" s="213"/>
      <c r="AJ388" s="213"/>
      <c r="AK388" s="213"/>
      <c r="AL388" s="213"/>
      <c r="AM388" s="213"/>
      <c r="AN388" s="213"/>
      <c r="AO388" s="213"/>
      <c r="AP388" s="213"/>
      <c r="AQ388" s="213"/>
      <c r="AR388" s="213"/>
      <c r="AS388" s="213"/>
      <c r="AT388" s="213"/>
      <c r="AU388" s="213"/>
      <c r="AV388" s="213"/>
      <c r="AW388" s="213"/>
      <c r="AX388" s="213"/>
      <c r="AY388" s="213"/>
      <c r="AZ388" s="213"/>
      <c r="BA388" s="213"/>
      <c r="BB388" s="213"/>
    </row>
    <row r="389" ht="12.75" customHeight="1" outlineLevel="1">
      <c r="A389" s="235"/>
      <c r="B389" s="236"/>
      <c r="C389" s="237" t="s">
        <v>1299</v>
      </c>
      <c r="D389" s="238"/>
      <c r="E389" s="239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3"/>
      <c r="Z389" s="213"/>
      <c r="AA389" s="213"/>
      <c r="AB389" s="213"/>
      <c r="AC389" s="213"/>
      <c r="AD389" s="213"/>
      <c r="AE389" s="213"/>
      <c r="AF389" s="213"/>
      <c r="AG389" s="213" t="s">
        <v>228</v>
      </c>
      <c r="AH389" s="213">
        <v>0.0</v>
      </c>
      <c r="AI389" s="213"/>
      <c r="AJ389" s="213"/>
      <c r="AK389" s="213"/>
      <c r="AL389" s="213"/>
      <c r="AM389" s="213"/>
      <c r="AN389" s="213"/>
      <c r="AO389" s="213"/>
      <c r="AP389" s="213"/>
      <c r="AQ389" s="213"/>
      <c r="AR389" s="213"/>
      <c r="AS389" s="213"/>
      <c r="AT389" s="213"/>
      <c r="AU389" s="213"/>
      <c r="AV389" s="213"/>
      <c r="AW389" s="213"/>
      <c r="AX389" s="213"/>
      <c r="AY389" s="213"/>
      <c r="AZ389" s="213"/>
      <c r="BA389" s="213"/>
      <c r="BB389" s="213"/>
    </row>
    <row r="390" ht="12.75" customHeight="1" outlineLevel="1">
      <c r="A390" s="235"/>
      <c r="B390" s="236"/>
      <c r="C390" s="237" t="s">
        <v>1300</v>
      </c>
      <c r="D390" s="238"/>
      <c r="E390" s="239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3"/>
      <c r="Z390" s="213"/>
      <c r="AA390" s="213"/>
      <c r="AB390" s="213"/>
      <c r="AC390" s="213"/>
      <c r="AD390" s="213"/>
      <c r="AE390" s="213"/>
      <c r="AF390" s="213"/>
      <c r="AG390" s="213" t="s">
        <v>228</v>
      </c>
      <c r="AH390" s="213">
        <v>0.0</v>
      </c>
      <c r="AI390" s="213"/>
      <c r="AJ390" s="213"/>
      <c r="AK390" s="213"/>
      <c r="AL390" s="213"/>
      <c r="AM390" s="213"/>
      <c r="AN390" s="213"/>
      <c r="AO390" s="213"/>
      <c r="AP390" s="213"/>
      <c r="AQ390" s="213"/>
      <c r="AR390" s="213"/>
      <c r="AS390" s="213"/>
      <c r="AT390" s="213"/>
      <c r="AU390" s="213"/>
      <c r="AV390" s="213"/>
      <c r="AW390" s="213"/>
      <c r="AX390" s="213"/>
      <c r="AY390" s="213"/>
      <c r="AZ390" s="213"/>
      <c r="BA390" s="213"/>
      <c r="BB390" s="213"/>
    </row>
    <row r="391" ht="12.75" customHeight="1" outlineLevel="1">
      <c r="A391" s="235"/>
      <c r="B391" s="236"/>
      <c r="C391" s="237" t="s">
        <v>1301</v>
      </c>
      <c r="D391" s="238"/>
      <c r="E391" s="239">
        <v>10.5</v>
      </c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3"/>
      <c r="Z391" s="213"/>
      <c r="AA391" s="213"/>
      <c r="AB391" s="213"/>
      <c r="AC391" s="213"/>
      <c r="AD391" s="213"/>
      <c r="AE391" s="213"/>
      <c r="AF391" s="213"/>
      <c r="AG391" s="213" t="s">
        <v>228</v>
      </c>
      <c r="AH391" s="213">
        <v>0.0</v>
      </c>
      <c r="AI391" s="213"/>
      <c r="AJ391" s="213"/>
      <c r="AK391" s="213"/>
      <c r="AL391" s="213"/>
      <c r="AM391" s="213"/>
      <c r="AN391" s="213"/>
      <c r="AO391" s="213"/>
      <c r="AP391" s="213"/>
      <c r="AQ391" s="213"/>
      <c r="AR391" s="213"/>
      <c r="AS391" s="213"/>
      <c r="AT391" s="213"/>
      <c r="AU391" s="213"/>
      <c r="AV391" s="213"/>
      <c r="AW391" s="213"/>
      <c r="AX391" s="213"/>
      <c r="AY391" s="213"/>
      <c r="AZ391" s="213"/>
      <c r="BA391" s="213"/>
      <c r="BB391" s="213"/>
    </row>
    <row r="392" ht="12.75" customHeight="1" outlineLevel="1">
      <c r="A392" s="214">
        <v>46.0</v>
      </c>
      <c r="B392" s="215" t="s">
        <v>564</v>
      </c>
      <c r="C392" s="216" t="s">
        <v>565</v>
      </c>
      <c r="D392" s="217" t="s">
        <v>234</v>
      </c>
      <c r="E392" s="218">
        <v>15.5693</v>
      </c>
      <c r="F392" s="219">
        <v>3305.0</v>
      </c>
      <c r="G392" s="220">
        <f>ROUND(E392*F392,2)</f>
        <v>51456.54</v>
      </c>
      <c r="H392" s="211"/>
      <c r="I392" s="212">
        <f>ROUND(E392*H392,2)</f>
        <v>0</v>
      </c>
      <c r="J392" s="211"/>
      <c r="K392" s="212">
        <f>ROUND(E392*J392,2)</f>
        <v>0</v>
      </c>
      <c r="L392" s="212">
        <v>21.0</v>
      </c>
      <c r="M392" s="212">
        <f>G392*(1+L392/100)</f>
        <v>62262.4134</v>
      </c>
      <c r="N392" s="212">
        <v>2.525</v>
      </c>
      <c r="O392" s="212">
        <f>ROUND(E392*N392,2)</f>
        <v>39.31</v>
      </c>
      <c r="P392" s="212">
        <v>0.0</v>
      </c>
      <c r="Q392" s="212">
        <f>ROUND(E392*P392,2)</f>
        <v>0</v>
      </c>
      <c r="R392" s="212"/>
      <c r="S392" s="212" t="s">
        <v>184</v>
      </c>
      <c r="T392" s="212" t="s">
        <v>184</v>
      </c>
      <c r="U392" s="212">
        <v>1.303</v>
      </c>
      <c r="V392" s="212">
        <f>ROUND(E392*U392,2)</f>
        <v>20.29</v>
      </c>
      <c r="W392" s="212"/>
      <c r="X392" s="212" t="s">
        <v>225</v>
      </c>
      <c r="Y392" s="213"/>
      <c r="Z392" s="213"/>
      <c r="AA392" s="213"/>
      <c r="AB392" s="213"/>
      <c r="AC392" s="213"/>
      <c r="AD392" s="213"/>
      <c r="AE392" s="213"/>
      <c r="AF392" s="213"/>
      <c r="AG392" s="213" t="s">
        <v>226</v>
      </c>
      <c r="AH392" s="213"/>
      <c r="AI392" s="213"/>
      <c r="AJ392" s="213"/>
      <c r="AK392" s="213"/>
      <c r="AL392" s="213"/>
      <c r="AM392" s="213"/>
      <c r="AN392" s="213"/>
      <c r="AO392" s="213"/>
      <c r="AP392" s="213"/>
      <c r="AQ392" s="213"/>
      <c r="AR392" s="213"/>
      <c r="AS392" s="213"/>
      <c r="AT392" s="213"/>
      <c r="AU392" s="213"/>
      <c r="AV392" s="213"/>
      <c r="AW392" s="213"/>
      <c r="AX392" s="213"/>
      <c r="AY392" s="213"/>
      <c r="AZ392" s="213"/>
      <c r="BA392" s="213"/>
      <c r="BB392" s="213"/>
    </row>
    <row r="393" ht="12.75" customHeight="1" outlineLevel="1">
      <c r="A393" s="235"/>
      <c r="B393" s="236"/>
      <c r="C393" s="237" t="s">
        <v>566</v>
      </c>
      <c r="D393" s="238"/>
      <c r="E393" s="239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3"/>
      <c r="Z393" s="213"/>
      <c r="AA393" s="213"/>
      <c r="AB393" s="213"/>
      <c r="AC393" s="213"/>
      <c r="AD393" s="213"/>
      <c r="AE393" s="213"/>
      <c r="AF393" s="213"/>
      <c r="AG393" s="213" t="s">
        <v>228</v>
      </c>
      <c r="AH393" s="213">
        <v>0.0</v>
      </c>
      <c r="AI393" s="213"/>
      <c r="AJ393" s="213"/>
      <c r="AK393" s="213"/>
      <c r="AL393" s="213"/>
      <c r="AM393" s="213"/>
      <c r="AN393" s="213"/>
      <c r="AO393" s="213"/>
      <c r="AP393" s="213"/>
      <c r="AQ393" s="213"/>
      <c r="AR393" s="213"/>
      <c r="AS393" s="213"/>
      <c r="AT393" s="213"/>
      <c r="AU393" s="213"/>
      <c r="AV393" s="213"/>
      <c r="AW393" s="213"/>
      <c r="AX393" s="213"/>
      <c r="AY393" s="213"/>
      <c r="AZ393" s="213"/>
      <c r="BA393" s="213"/>
      <c r="BB393" s="213"/>
    </row>
    <row r="394" ht="12.75" customHeight="1" outlineLevel="1">
      <c r="A394" s="235"/>
      <c r="B394" s="236"/>
      <c r="C394" s="237" t="s">
        <v>1302</v>
      </c>
      <c r="D394" s="238"/>
      <c r="E394" s="239">
        <v>6.0</v>
      </c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3"/>
      <c r="Z394" s="213"/>
      <c r="AA394" s="213"/>
      <c r="AB394" s="213"/>
      <c r="AC394" s="213"/>
      <c r="AD394" s="213"/>
      <c r="AE394" s="213"/>
      <c r="AF394" s="213"/>
      <c r="AG394" s="213" t="s">
        <v>228</v>
      </c>
      <c r="AH394" s="213">
        <v>0.0</v>
      </c>
      <c r="AI394" s="213"/>
      <c r="AJ394" s="213"/>
      <c r="AK394" s="213"/>
      <c r="AL394" s="213"/>
      <c r="AM394" s="213"/>
      <c r="AN394" s="213"/>
      <c r="AO394" s="213"/>
      <c r="AP394" s="213"/>
      <c r="AQ394" s="213"/>
      <c r="AR394" s="213"/>
      <c r="AS394" s="213"/>
      <c r="AT394" s="213"/>
      <c r="AU394" s="213"/>
      <c r="AV394" s="213"/>
      <c r="AW394" s="213"/>
      <c r="AX394" s="213"/>
      <c r="AY394" s="213"/>
      <c r="AZ394" s="213"/>
      <c r="BA394" s="213"/>
      <c r="BB394" s="213"/>
    </row>
    <row r="395" ht="12.75" customHeight="1" outlineLevel="1">
      <c r="A395" s="235"/>
      <c r="B395" s="236"/>
      <c r="C395" s="237" t="s">
        <v>1303</v>
      </c>
      <c r="D395" s="238"/>
      <c r="E395" s="239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3"/>
      <c r="Z395" s="213"/>
      <c r="AA395" s="213"/>
      <c r="AB395" s="213"/>
      <c r="AC395" s="213"/>
      <c r="AD395" s="213"/>
      <c r="AE395" s="213"/>
      <c r="AF395" s="213"/>
      <c r="AG395" s="213" t="s">
        <v>228</v>
      </c>
      <c r="AH395" s="213">
        <v>0.0</v>
      </c>
      <c r="AI395" s="213"/>
      <c r="AJ395" s="213"/>
      <c r="AK395" s="213"/>
      <c r="AL395" s="213"/>
      <c r="AM395" s="213"/>
      <c r="AN395" s="213"/>
      <c r="AO395" s="213"/>
      <c r="AP395" s="213"/>
      <c r="AQ395" s="213"/>
      <c r="AR395" s="213"/>
      <c r="AS395" s="213"/>
      <c r="AT395" s="213"/>
      <c r="AU395" s="213"/>
      <c r="AV395" s="213"/>
      <c r="AW395" s="213"/>
      <c r="AX395" s="213"/>
      <c r="AY395" s="213"/>
      <c r="AZ395" s="213"/>
      <c r="BA395" s="213"/>
      <c r="BB395" s="213"/>
    </row>
    <row r="396" ht="12.75" customHeight="1" outlineLevel="1">
      <c r="A396" s="235"/>
      <c r="B396" s="236"/>
      <c r="C396" s="237" t="s">
        <v>1304</v>
      </c>
      <c r="D396" s="238"/>
      <c r="E396" s="239">
        <v>3.96</v>
      </c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3"/>
      <c r="Z396" s="213"/>
      <c r="AA396" s="213"/>
      <c r="AB396" s="213"/>
      <c r="AC396" s="213"/>
      <c r="AD396" s="213"/>
      <c r="AE396" s="213"/>
      <c r="AF396" s="213"/>
      <c r="AG396" s="213" t="s">
        <v>228</v>
      </c>
      <c r="AH396" s="213">
        <v>0.0</v>
      </c>
      <c r="AI396" s="213"/>
      <c r="AJ396" s="213"/>
      <c r="AK396" s="213"/>
      <c r="AL396" s="213"/>
      <c r="AM396" s="213"/>
      <c r="AN396" s="213"/>
      <c r="AO396" s="213"/>
      <c r="AP396" s="213"/>
      <c r="AQ396" s="213"/>
      <c r="AR396" s="213"/>
      <c r="AS396" s="213"/>
      <c r="AT396" s="213"/>
      <c r="AU396" s="213"/>
      <c r="AV396" s="213"/>
      <c r="AW396" s="213"/>
      <c r="AX396" s="213"/>
      <c r="AY396" s="213"/>
      <c r="AZ396" s="213"/>
      <c r="BA396" s="213"/>
      <c r="BB396" s="213"/>
    </row>
    <row r="397" ht="12.75" customHeight="1" outlineLevel="1">
      <c r="A397" s="235"/>
      <c r="B397" s="236"/>
      <c r="C397" s="237" t="s">
        <v>1305</v>
      </c>
      <c r="D397" s="238"/>
      <c r="E397" s="239">
        <v>0.86</v>
      </c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3"/>
      <c r="Z397" s="213"/>
      <c r="AA397" s="213"/>
      <c r="AB397" s="213"/>
      <c r="AC397" s="213"/>
      <c r="AD397" s="213"/>
      <c r="AE397" s="213"/>
      <c r="AF397" s="213"/>
      <c r="AG397" s="213" t="s">
        <v>228</v>
      </c>
      <c r="AH397" s="213">
        <v>0.0</v>
      </c>
      <c r="AI397" s="213"/>
      <c r="AJ397" s="213"/>
      <c r="AK397" s="213"/>
      <c r="AL397" s="213"/>
      <c r="AM397" s="213"/>
      <c r="AN397" s="213"/>
      <c r="AO397" s="213"/>
      <c r="AP397" s="213"/>
      <c r="AQ397" s="213"/>
      <c r="AR397" s="213"/>
      <c r="AS397" s="213"/>
      <c r="AT397" s="213"/>
      <c r="AU397" s="213"/>
      <c r="AV397" s="213"/>
      <c r="AW397" s="213"/>
      <c r="AX397" s="213"/>
      <c r="AY397" s="213"/>
      <c r="AZ397" s="213"/>
      <c r="BA397" s="213"/>
      <c r="BB397" s="213"/>
    </row>
    <row r="398" ht="12.75" customHeight="1" outlineLevel="1">
      <c r="A398" s="235"/>
      <c r="B398" s="236"/>
      <c r="C398" s="237" t="s">
        <v>1305</v>
      </c>
      <c r="D398" s="238"/>
      <c r="E398" s="239">
        <v>0.86</v>
      </c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3"/>
      <c r="Z398" s="213"/>
      <c r="AA398" s="213"/>
      <c r="AB398" s="213"/>
      <c r="AC398" s="213"/>
      <c r="AD398" s="213"/>
      <c r="AE398" s="213"/>
      <c r="AF398" s="213"/>
      <c r="AG398" s="213" t="s">
        <v>228</v>
      </c>
      <c r="AH398" s="213">
        <v>0.0</v>
      </c>
      <c r="AI398" s="213"/>
      <c r="AJ398" s="213"/>
      <c r="AK398" s="213"/>
      <c r="AL398" s="213"/>
      <c r="AM398" s="213"/>
      <c r="AN398" s="213"/>
      <c r="AO398" s="213"/>
      <c r="AP398" s="213"/>
      <c r="AQ398" s="213"/>
      <c r="AR398" s="213"/>
      <c r="AS398" s="213"/>
      <c r="AT398" s="213"/>
      <c r="AU398" s="213"/>
      <c r="AV398" s="213"/>
      <c r="AW398" s="213"/>
      <c r="AX398" s="213"/>
      <c r="AY398" s="213"/>
      <c r="AZ398" s="213"/>
      <c r="BA398" s="213"/>
      <c r="BB398" s="213"/>
    </row>
    <row r="399" ht="12.75" customHeight="1" outlineLevel="1">
      <c r="A399" s="235"/>
      <c r="B399" s="236"/>
      <c r="C399" s="237" t="s">
        <v>1306</v>
      </c>
      <c r="D399" s="238"/>
      <c r="E399" s="239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3"/>
      <c r="Z399" s="213"/>
      <c r="AA399" s="213"/>
      <c r="AB399" s="213"/>
      <c r="AC399" s="213"/>
      <c r="AD399" s="213"/>
      <c r="AE399" s="213"/>
      <c r="AF399" s="213"/>
      <c r="AG399" s="213" t="s">
        <v>228</v>
      </c>
      <c r="AH399" s="213">
        <v>0.0</v>
      </c>
      <c r="AI399" s="213"/>
      <c r="AJ399" s="213"/>
      <c r="AK399" s="213"/>
      <c r="AL399" s="213"/>
      <c r="AM399" s="213"/>
      <c r="AN399" s="213"/>
      <c r="AO399" s="213"/>
      <c r="AP399" s="213"/>
      <c r="AQ399" s="213"/>
      <c r="AR399" s="213"/>
      <c r="AS399" s="213"/>
      <c r="AT399" s="213"/>
      <c r="AU399" s="213"/>
      <c r="AV399" s="213"/>
      <c r="AW399" s="213"/>
      <c r="AX399" s="213"/>
      <c r="AY399" s="213"/>
      <c r="AZ399" s="213"/>
      <c r="BA399" s="213"/>
      <c r="BB399" s="213"/>
    </row>
    <row r="400" ht="12.75" customHeight="1" outlineLevel="1">
      <c r="A400" s="235"/>
      <c r="B400" s="236"/>
      <c r="C400" s="237" t="s">
        <v>1307</v>
      </c>
      <c r="D400" s="238"/>
      <c r="E400" s="239">
        <v>7.62</v>
      </c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3"/>
      <c r="Z400" s="213"/>
      <c r="AA400" s="213"/>
      <c r="AB400" s="213"/>
      <c r="AC400" s="213"/>
      <c r="AD400" s="213"/>
      <c r="AE400" s="213"/>
      <c r="AF400" s="213"/>
      <c r="AG400" s="213" t="s">
        <v>228</v>
      </c>
      <c r="AH400" s="213">
        <v>0.0</v>
      </c>
      <c r="AI400" s="213"/>
      <c r="AJ400" s="213"/>
      <c r="AK400" s="213"/>
      <c r="AL400" s="213"/>
      <c r="AM400" s="213"/>
      <c r="AN400" s="213"/>
      <c r="AO400" s="213"/>
      <c r="AP400" s="213"/>
      <c r="AQ400" s="213"/>
      <c r="AR400" s="213"/>
      <c r="AS400" s="213"/>
      <c r="AT400" s="213"/>
      <c r="AU400" s="213"/>
      <c r="AV400" s="213"/>
      <c r="AW400" s="213"/>
      <c r="AX400" s="213"/>
      <c r="AY400" s="213"/>
      <c r="AZ400" s="213"/>
      <c r="BA400" s="213"/>
      <c r="BB400" s="213"/>
    </row>
    <row r="401" ht="12.75" customHeight="1" outlineLevel="1">
      <c r="A401" s="235"/>
      <c r="B401" s="236"/>
      <c r="C401" s="237" t="s">
        <v>1308</v>
      </c>
      <c r="D401" s="238"/>
      <c r="E401" s="239">
        <v>-1.87</v>
      </c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3"/>
      <c r="Z401" s="213"/>
      <c r="AA401" s="213"/>
      <c r="AB401" s="213"/>
      <c r="AC401" s="213"/>
      <c r="AD401" s="213"/>
      <c r="AE401" s="213"/>
      <c r="AF401" s="213"/>
      <c r="AG401" s="213" t="s">
        <v>228</v>
      </c>
      <c r="AH401" s="213">
        <v>0.0</v>
      </c>
      <c r="AI401" s="213"/>
      <c r="AJ401" s="213"/>
      <c r="AK401" s="213"/>
      <c r="AL401" s="213"/>
      <c r="AM401" s="213"/>
      <c r="AN401" s="213"/>
      <c r="AO401" s="213"/>
      <c r="AP401" s="213"/>
      <c r="AQ401" s="213"/>
      <c r="AR401" s="213"/>
      <c r="AS401" s="213"/>
      <c r="AT401" s="213"/>
      <c r="AU401" s="213"/>
      <c r="AV401" s="213"/>
      <c r="AW401" s="213"/>
      <c r="AX401" s="213"/>
      <c r="AY401" s="213"/>
      <c r="AZ401" s="213"/>
      <c r="BA401" s="213"/>
      <c r="BB401" s="213"/>
    </row>
    <row r="402" ht="12.75" customHeight="1" outlineLevel="1">
      <c r="A402" s="235"/>
      <c r="B402" s="236"/>
      <c r="C402" s="237" t="s">
        <v>1308</v>
      </c>
      <c r="D402" s="238"/>
      <c r="E402" s="239">
        <v>-1.87</v>
      </c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3"/>
      <c r="Z402" s="213"/>
      <c r="AA402" s="213"/>
      <c r="AB402" s="213"/>
      <c r="AC402" s="213"/>
      <c r="AD402" s="213"/>
      <c r="AE402" s="213"/>
      <c r="AF402" s="213"/>
      <c r="AG402" s="213" t="s">
        <v>228</v>
      </c>
      <c r="AH402" s="213">
        <v>0.0</v>
      </c>
      <c r="AI402" s="213"/>
      <c r="AJ402" s="213"/>
      <c r="AK402" s="213"/>
      <c r="AL402" s="213"/>
      <c r="AM402" s="213"/>
      <c r="AN402" s="213"/>
      <c r="AO402" s="213"/>
      <c r="AP402" s="213"/>
      <c r="AQ402" s="213"/>
      <c r="AR402" s="213"/>
      <c r="AS402" s="213"/>
      <c r="AT402" s="213"/>
      <c r="AU402" s="213"/>
      <c r="AV402" s="213"/>
      <c r="AW402" s="213"/>
      <c r="AX402" s="213"/>
      <c r="AY402" s="213"/>
      <c r="AZ402" s="213"/>
      <c r="BA402" s="213"/>
      <c r="BB402" s="213"/>
    </row>
    <row r="403" ht="12.75" customHeight="1" outlineLevel="1">
      <c r="A403" s="214">
        <v>47.0</v>
      </c>
      <c r="B403" s="215" t="s">
        <v>568</v>
      </c>
      <c r="C403" s="216" t="s">
        <v>569</v>
      </c>
      <c r="D403" s="217" t="s">
        <v>224</v>
      </c>
      <c r="E403" s="218">
        <v>62.76</v>
      </c>
      <c r="F403" s="219">
        <v>262.0</v>
      </c>
      <c r="G403" s="220">
        <f>ROUND(E403*F403,2)</f>
        <v>16443.12</v>
      </c>
      <c r="H403" s="211"/>
      <c r="I403" s="212">
        <f>ROUND(E403*H403,2)</f>
        <v>0</v>
      </c>
      <c r="J403" s="211"/>
      <c r="K403" s="212">
        <f>ROUND(E403*J403,2)</f>
        <v>0</v>
      </c>
      <c r="L403" s="212">
        <v>21.0</v>
      </c>
      <c r="M403" s="212">
        <f>G403*(1+L403/100)</f>
        <v>19896.1752</v>
      </c>
      <c r="N403" s="212">
        <v>0.00418</v>
      </c>
      <c r="O403" s="212">
        <f>ROUND(E403*N403,2)</f>
        <v>0.26</v>
      </c>
      <c r="P403" s="212">
        <v>0.0</v>
      </c>
      <c r="Q403" s="212">
        <f>ROUND(E403*P403,2)</f>
        <v>0</v>
      </c>
      <c r="R403" s="212"/>
      <c r="S403" s="212" t="s">
        <v>184</v>
      </c>
      <c r="T403" s="212" t="s">
        <v>184</v>
      </c>
      <c r="U403" s="212">
        <v>0.963</v>
      </c>
      <c r="V403" s="212">
        <f>ROUND(E403*U403,2)</f>
        <v>60.44</v>
      </c>
      <c r="W403" s="212"/>
      <c r="X403" s="212" t="s">
        <v>225</v>
      </c>
      <c r="Y403" s="213"/>
      <c r="Z403" s="213"/>
      <c r="AA403" s="213"/>
      <c r="AB403" s="213"/>
      <c r="AC403" s="213"/>
      <c r="AD403" s="213"/>
      <c r="AE403" s="213"/>
      <c r="AF403" s="213"/>
      <c r="AG403" s="213" t="s">
        <v>226</v>
      </c>
      <c r="AH403" s="213"/>
      <c r="AI403" s="213"/>
      <c r="AJ403" s="213"/>
      <c r="AK403" s="213"/>
      <c r="AL403" s="213"/>
      <c r="AM403" s="213"/>
      <c r="AN403" s="213"/>
      <c r="AO403" s="213"/>
      <c r="AP403" s="213"/>
      <c r="AQ403" s="213"/>
      <c r="AR403" s="213"/>
      <c r="AS403" s="213"/>
      <c r="AT403" s="213"/>
      <c r="AU403" s="213"/>
      <c r="AV403" s="213"/>
      <c r="AW403" s="213"/>
      <c r="AX403" s="213"/>
      <c r="AY403" s="213"/>
      <c r="AZ403" s="213"/>
      <c r="BA403" s="213"/>
      <c r="BB403" s="213"/>
    </row>
    <row r="404" ht="12.75" customHeight="1" outlineLevel="1">
      <c r="A404" s="235"/>
      <c r="B404" s="236"/>
      <c r="C404" s="237" t="s">
        <v>566</v>
      </c>
      <c r="D404" s="238"/>
      <c r="E404" s="239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3"/>
      <c r="Z404" s="213"/>
      <c r="AA404" s="213"/>
      <c r="AB404" s="213"/>
      <c r="AC404" s="213"/>
      <c r="AD404" s="213"/>
      <c r="AE404" s="213"/>
      <c r="AF404" s="213"/>
      <c r="AG404" s="213" t="s">
        <v>228</v>
      </c>
      <c r="AH404" s="213">
        <v>0.0</v>
      </c>
      <c r="AI404" s="213"/>
      <c r="AJ404" s="213"/>
      <c r="AK404" s="213"/>
      <c r="AL404" s="213"/>
      <c r="AM404" s="213"/>
      <c r="AN404" s="213"/>
      <c r="AO404" s="213"/>
      <c r="AP404" s="213"/>
      <c r="AQ404" s="213"/>
      <c r="AR404" s="213"/>
      <c r="AS404" s="213"/>
      <c r="AT404" s="213"/>
      <c r="AU404" s="213"/>
      <c r="AV404" s="213"/>
      <c r="AW404" s="213"/>
      <c r="AX404" s="213"/>
      <c r="AY404" s="213"/>
      <c r="AZ404" s="213"/>
      <c r="BA404" s="213"/>
      <c r="BB404" s="213"/>
    </row>
    <row r="405" ht="12.75" customHeight="1" outlineLevel="1">
      <c r="A405" s="235"/>
      <c r="B405" s="236"/>
      <c r="C405" s="237" t="s">
        <v>1309</v>
      </c>
      <c r="D405" s="238"/>
      <c r="E405" s="239">
        <v>12.0</v>
      </c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3"/>
      <c r="Z405" s="213"/>
      <c r="AA405" s="213"/>
      <c r="AB405" s="213"/>
      <c r="AC405" s="213"/>
      <c r="AD405" s="213"/>
      <c r="AE405" s="213"/>
      <c r="AF405" s="213"/>
      <c r="AG405" s="213" t="s">
        <v>228</v>
      </c>
      <c r="AH405" s="213">
        <v>0.0</v>
      </c>
      <c r="AI405" s="213"/>
      <c r="AJ405" s="213"/>
      <c r="AK405" s="213"/>
      <c r="AL405" s="213"/>
      <c r="AM405" s="213"/>
      <c r="AN405" s="213"/>
      <c r="AO405" s="213"/>
      <c r="AP405" s="213"/>
      <c r="AQ405" s="213"/>
      <c r="AR405" s="213"/>
      <c r="AS405" s="213"/>
      <c r="AT405" s="213"/>
      <c r="AU405" s="213"/>
      <c r="AV405" s="213"/>
      <c r="AW405" s="213"/>
      <c r="AX405" s="213"/>
      <c r="AY405" s="213"/>
      <c r="AZ405" s="213"/>
      <c r="BA405" s="213"/>
      <c r="BB405" s="213"/>
    </row>
    <row r="406" ht="12.75" customHeight="1" outlineLevel="1">
      <c r="A406" s="235"/>
      <c r="B406" s="236"/>
      <c r="C406" s="237" t="s">
        <v>1303</v>
      </c>
      <c r="D406" s="238"/>
      <c r="E406" s="239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3"/>
      <c r="Z406" s="213"/>
      <c r="AA406" s="213"/>
      <c r="AB406" s="213"/>
      <c r="AC406" s="213"/>
      <c r="AD406" s="213"/>
      <c r="AE406" s="213"/>
      <c r="AF406" s="213"/>
      <c r="AG406" s="213" t="s">
        <v>228</v>
      </c>
      <c r="AH406" s="213">
        <v>0.0</v>
      </c>
      <c r="AI406" s="213"/>
      <c r="AJ406" s="213"/>
      <c r="AK406" s="213"/>
      <c r="AL406" s="213"/>
      <c r="AM406" s="213"/>
      <c r="AN406" s="213"/>
      <c r="AO406" s="213"/>
      <c r="AP406" s="213"/>
      <c r="AQ406" s="213"/>
      <c r="AR406" s="213"/>
      <c r="AS406" s="213"/>
      <c r="AT406" s="213"/>
      <c r="AU406" s="213"/>
      <c r="AV406" s="213"/>
      <c r="AW406" s="213"/>
      <c r="AX406" s="213"/>
      <c r="AY406" s="213"/>
      <c r="AZ406" s="213"/>
      <c r="BA406" s="213"/>
      <c r="BB406" s="213"/>
    </row>
    <row r="407" ht="12.75" customHeight="1" outlineLevel="1">
      <c r="A407" s="235"/>
      <c r="B407" s="236"/>
      <c r="C407" s="237" t="s">
        <v>1310</v>
      </c>
      <c r="D407" s="238"/>
      <c r="E407" s="239">
        <v>26.4</v>
      </c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3"/>
      <c r="Z407" s="213"/>
      <c r="AA407" s="213"/>
      <c r="AB407" s="213"/>
      <c r="AC407" s="213"/>
      <c r="AD407" s="213"/>
      <c r="AE407" s="213"/>
      <c r="AF407" s="213"/>
      <c r="AG407" s="213" t="s">
        <v>228</v>
      </c>
      <c r="AH407" s="213">
        <v>0.0</v>
      </c>
      <c r="AI407" s="213"/>
      <c r="AJ407" s="213"/>
      <c r="AK407" s="213"/>
      <c r="AL407" s="213"/>
      <c r="AM407" s="213"/>
      <c r="AN407" s="213"/>
      <c r="AO407" s="213"/>
      <c r="AP407" s="213"/>
      <c r="AQ407" s="213"/>
      <c r="AR407" s="213"/>
      <c r="AS407" s="213"/>
      <c r="AT407" s="213"/>
      <c r="AU407" s="213"/>
      <c r="AV407" s="213"/>
      <c r="AW407" s="213"/>
      <c r="AX407" s="213"/>
      <c r="AY407" s="213"/>
      <c r="AZ407" s="213"/>
      <c r="BA407" s="213"/>
      <c r="BB407" s="213"/>
    </row>
    <row r="408" ht="12.75" customHeight="1" outlineLevel="1">
      <c r="A408" s="235"/>
      <c r="B408" s="236"/>
      <c r="C408" s="237" t="s">
        <v>1311</v>
      </c>
      <c r="D408" s="238"/>
      <c r="E408" s="239">
        <v>1.32</v>
      </c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3"/>
      <c r="Z408" s="213"/>
      <c r="AA408" s="213"/>
      <c r="AB408" s="213"/>
      <c r="AC408" s="213"/>
      <c r="AD408" s="213"/>
      <c r="AE408" s="213"/>
      <c r="AF408" s="213"/>
      <c r="AG408" s="213" t="s">
        <v>228</v>
      </c>
      <c r="AH408" s="213">
        <v>0.0</v>
      </c>
      <c r="AI408" s="213"/>
      <c r="AJ408" s="213"/>
      <c r="AK408" s="213"/>
      <c r="AL408" s="213"/>
      <c r="AM408" s="213"/>
      <c r="AN408" s="213"/>
      <c r="AO408" s="213"/>
      <c r="AP408" s="213"/>
      <c r="AQ408" s="213"/>
      <c r="AR408" s="213"/>
      <c r="AS408" s="213"/>
      <c r="AT408" s="213"/>
      <c r="AU408" s="213"/>
      <c r="AV408" s="213"/>
      <c r="AW408" s="213"/>
      <c r="AX408" s="213"/>
      <c r="AY408" s="213"/>
      <c r="AZ408" s="213"/>
      <c r="BA408" s="213"/>
      <c r="BB408" s="213"/>
    </row>
    <row r="409" ht="12.75" customHeight="1" outlineLevel="1">
      <c r="A409" s="235"/>
      <c r="B409" s="236"/>
      <c r="C409" s="237" t="s">
        <v>1311</v>
      </c>
      <c r="D409" s="238"/>
      <c r="E409" s="239">
        <v>1.32</v>
      </c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3"/>
      <c r="Z409" s="213"/>
      <c r="AA409" s="213"/>
      <c r="AB409" s="213"/>
      <c r="AC409" s="213"/>
      <c r="AD409" s="213"/>
      <c r="AE409" s="213"/>
      <c r="AF409" s="213"/>
      <c r="AG409" s="213" t="s">
        <v>228</v>
      </c>
      <c r="AH409" s="213">
        <v>0.0</v>
      </c>
      <c r="AI409" s="213"/>
      <c r="AJ409" s="213"/>
      <c r="AK409" s="213"/>
      <c r="AL409" s="213"/>
      <c r="AM409" s="213"/>
      <c r="AN409" s="213"/>
      <c r="AO409" s="213"/>
      <c r="AP409" s="213"/>
      <c r="AQ409" s="213"/>
      <c r="AR409" s="213"/>
      <c r="AS409" s="213"/>
      <c r="AT409" s="213"/>
      <c r="AU409" s="213"/>
      <c r="AV409" s="213"/>
      <c r="AW409" s="213"/>
      <c r="AX409" s="213"/>
      <c r="AY409" s="213"/>
      <c r="AZ409" s="213"/>
      <c r="BA409" s="213"/>
      <c r="BB409" s="213"/>
    </row>
    <row r="410" ht="12.75" customHeight="1" outlineLevel="1">
      <c r="A410" s="235"/>
      <c r="B410" s="236"/>
      <c r="C410" s="237" t="s">
        <v>1312</v>
      </c>
      <c r="D410" s="238"/>
      <c r="E410" s="239">
        <v>0.6</v>
      </c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3"/>
      <c r="Z410" s="213"/>
      <c r="AA410" s="213"/>
      <c r="AB410" s="213"/>
      <c r="AC410" s="213"/>
      <c r="AD410" s="213"/>
      <c r="AE410" s="213"/>
      <c r="AF410" s="213"/>
      <c r="AG410" s="213" t="s">
        <v>228</v>
      </c>
      <c r="AH410" s="213">
        <v>0.0</v>
      </c>
      <c r="AI410" s="213"/>
      <c r="AJ410" s="213"/>
      <c r="AK410" s="213"/>
      <c r="AL410" s="213"/>
      <c r="AM410" s="213"/>
      <c r="AN410" s="213"/>
      <c r="AO410" s="213"/>
      <c r="AP410" s="213"/>
      <c r="AQ410" s="213"/>
      <c r="AR410" s="213"/>
      <c r="AS410" s="213"/>
      <c r="AT410" s="213"/>
      <c r="AU410" s="213"/>
      <c r="AV410" s="213"/>
      <c r="AW410" s="213"/>
      <c r="AX410" s="213"/>
      <c r="AY410" s="213"/>
      <c r="AZ410" s="213"/>
      <c r="BA410" s="213"/>
      <c r="BB410" s="213"/>
    </row>
    <row r="411" ht="12.75" customHeight="1" outlineLevel="1">
      <c r="A411" s="235"/>
      <c r="B411" s="236"/>
      <c r="C411" s="237" t="s">
        <v>1306</v>
      </c>
      <c r="D411" s="238"/>
      <c r="E411" s="239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3"/>
      <c r="Z411" s="213"/>
      <c r="AA411" s="213"/>
      <c r="AB411" s="213"/>
      <c r="AC411" s="213"/>
      <c r="AD411" s="213"/>
      <c r="AE411" s="213"/>
      <c r="AF411" s="213"/>
      <c r="AG411" s="213" t="s">
        <v>228</v>
      </c>
      <c r="AH411" s="213">
        <v>0.0</v>
      </c>
      <c r="AI411" s="213"/>
      <c r="AJ411" s="213"/>
      <c r="AK411" s="213"/>
      <c r="AL411" s="213"/>
      <c r="AM411" s="213"/>
      <c r="AN411" s="213"/>
      <c r="AO411" s="213"/>
      <c r="AP411" s="213"/>
      <c r="AQ411" s="213"/>
      <c r="AR411" s="213"/>
      <c r="AS411" s="213"/>
      <c r="AT411" s="213"/>
      <c r="AU411" s="213"/>
      <c r="AV411" s="213"/>
      <c r="AW411" s="213"/>
      <c r="AX411" s="213"/>
      <c r="AY411" s="213"/>
      <c r="AZ411" s="213"/>
      <c r="BA411" s="213"/>
      <c r="BB411" s="213"/>
    </row>
    <row r="412" ht="12.75" customHeight="1" outlineLevel="1">
      <c r="A412" s="235"/>
      <c r="B412" s="236"/>
      <c r="C412" s="237" t="s">
        <v>1313</v>
      </c>
      <c r="D412" s="238"/>
      <c r="E412" s="239">
        <v>21.12</v>
      </c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3"/>
      <c r="Z412" s="213"/>
      <c r="AA412" s="213"/>
      <c r="AB412" s="213"/>
      <c r="AC412" s="213"/>
      <c r="AD412" s="213"/>
      <c r="AE412" s="213"/>
      <c r="AF412" s="213"/>
      <c r="AG412" s="213" t="s">
        <v>228</v>
      </c>
      <c r="AH412" s="213">
        <v>0.0</v>
      </c>
      <c r="AI412" s="213"/>
      <c r="AJ412" s="213"/>
      <c r="AK412" s="213"/>
      <c r="AL412" s="213"/>
      <c r="AM412" s="213"/>
      <c r="AN412" s="213"/>
      <c r="AO412" s="213"/>
      <c r="AP412" s="213"/>
      <c r="AQ412" s="213"/>
      <c r="AR412" s="213"/>
      <c r="AS412" s="213"/>
      <c r="AT412" s="213"/>
      <c r="AU412" s="213"/>
      <c r="AV412" s="213"/>
      <c r="AW412" s="213"/>
      <c r="AX412" s="213"/>
      <c r="AY412" s="213"/>
      <c r="AZ412" s="213"/>
      <c r="BA412" s="213"/>
      <c r="BB412" s="213"/>
    </row>
    <row r="413" ht="12.75" customHeight="1" outlineLevel="1">
      <c r="A413" s="214">
        <v>48.0</v>
      </c>
      <c r="B413" s="215" t="s">
        <v>1314</v>
      </c>
      <c r="C413" s="216" t="s">
        <v>1315</v>
      </c>
      <c r="D413" s="217" t="s">
        <v>372</v>
      </c>
      <c r="E413" s="218">
        <v>5.72</v>
      </c>
      <c r="F413" s="219">
        <v>1611.2</v>
      </c>
      <c r="G413" s="220">
        <f>ROUND(E413*F413,2)</f>
        <v>9216.06</v>
      </c>
      <c r="H413" s="211"/>
      <c r="I413" s="212">
        <f>ROUND(E413*H413,2)</f>
        <v>0</v>
      </c>
      <c r="J413" s="211"/>
      <c r="K413" s="212">
        <f>ROUND(E413*J413,2)</f>
        <v>0</v>
      </c>
      <c r="L413" s="212">
        <v>21.0</v>
      </c>
      <c r="M413" s="212">
        <f>G413*(1+L413/100)</f>
        <v>11151.4326</v>
      </c>
      <c r="N413" s="212">
        <v>0.01605</v>
      </c>
      <c r="O413" s="212">
        <f>ROUND(E413*N413,2)</f>
        <v>0.09</v>
      </c>
      <c r="P413" s="212">
        <v>0.0</v>
      </c>
      <c r="Q413" s="212">
        <f>ROUND(E413*P413,2)</f>
        <v>0</v>
      </c>
      <c r="R413" s="212" t="s">
        <v>322</v>
      </c>
      <c r="S413" s="212" t="s">
        <v>184</v>
      </c>
      <c r="T413" s="212" t="s">
        <v>184</v>
      </c>
      <c r="U413" s="212">
        <v>0.0</v>
      </c>
      <c r="V413" s="212">
        <f>ROUND(E413*U413,2)</f>
        <v>0</v>
      </c>
      <c r="W413" s="212"/>
      <c r="X413" s="212" t="s">
        <v>323</v>
      </c>
      <c r="Y413" s="213"/>
      <c r="Z413" s="213"/>
      <c r="AA413" s="213"/>
      <c r="AB413" s="213"/>
      <c r="AC413" s="213"/>
      <c r="AD413" s="213"/>
      <c r="AE413" s="213"/>
      <c r="AF413" s="213"/>
      <c r="AG413" s="213" t="s">
        <v>324</v>
      </c>
      <c r="AH413" s="213"/>
      <c r="AI413" s="213"/>
      <c r="AJ413" s="213"/>
      <c r="AK413" s="213"/>
      <c r="AL413" s="213"/>
      <c r="AM413" s="213"/>
      <c r="AN413" s="213"/>
      <c r="AO413" s="213"/>
      <c r="AP413" s="213"/>
      <c r="AQ413" s="213"/>
      <c r="AR413" s="213"/>
      <c r="AS413" s="213"/>
      <c r="AT413" s="213"/>
      <c r="AU413" s="213"/>
      <c r="AV413" s="213"/>
      <c r="AW413" s="213"/>
      <c r="AX413" s="213"/>
      <c r="AY413" s="213"/>
      <c r="AZ413" s="213"/>
      <c r="BA413" s="213"/>
      <c r="BB413" s="213"/>
    </row>
    <row r="414" ht="12.75" customHeight="1" outlineLevel="1">
      <c r="A414" s="235"/>
      <c r="B414" s="236"/>
      <c r="C414" s="237" t="s">
        <v>1289</v>
      </c>
      <c r="D414" s="238"/>
      <c r="E414" s="239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3"/>
      <c r="Z414" s="213"/>
      <c r="AA414" s="213"/>
      <c r="AB414" s="213"/>
      <c r="AC414" s="213"/>
      <c r="AD414" s="213"/>
      <c r="AE414" s="213"/>
      <c r="AF414" s="213"/>
      <c r="AG414" s="213" t="s">
        <v>228</v>
      </c>
      <c r="AH414" s="213">
        <v>0.0</v>
      </c>
      <c r="AI414" s="213"/>
      <c r="AJ414" s="213"/>
      <c r="AK414" s="213"/>
      <c r="AL414" s="213"/>
      <c r="AM414" s="213"/>
      <c r="AN414" s="213"/>
      <c r="AO414" s="213"/>
      <c r="AP414" s="213"/>
      <c r="AQ414" s="213"/>
      <c r="AR414" s="213"/>
      <c r="AS414" s="213"/>
      <c r="AT414" s="213"/>
      <c r="AU414" s="213"/>
      <c r="AV414" s="213"/>
      <c r="AW414" s="213"/>
      <c r="AX414" s="213"/>
      <c r="AY414" s="213"/>
      <c r="AZ414" s="213"/>
      <c r="BA414" s="213"/>
      <c r="BB414" s="213"/>
    </row>
    <row r="415" ht="12.75" customHeight="1" outlineLevel="1">
      <c r="A415" s="235"/>
      <c r="B415" s="236"/>
      <c r="C415" s="240" t="s">
        <v>236</v>
      </c>
      <c r="D415" s="241"/>
      <c r="E415" s="24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3"/>
      <c r="Z415" s="213"/>
      <c r="AA415" s="213"/>
      <c r="AB415" s="213"/>
      <c r="AC415" s="213"/>
      <c r="AD415" s="213"/>
      <c r="AE415" s="213"/>
      <c r="AF415" s="213"/>
      <c r="AG415" s="213" t="s">
        <v>228</v>
      </c>
      <c r="AH415" s="213"/>
      <c r="AI415" s="213"/>
      <c r="AJ415" s="213"/>
      <c r="AK415" s="213"/>
      <c r="AL415" s="213"/>
      <c r="AM415" s="213"/>
      <c r="AN415" s="213"/>
      <c r="AO415" s="213"/>
      <c r="AP415" s="213"/>
      <c r="AQ415" s="213"/>
      <c r="AR415" s="213"/>
      <c r="AS415" s="213"/>
      <c r="AT415" s="213"/>
      <c r="AU415" s="213"/>
      <c r="AV415" s="213"/>
      <c r="AW415" s="213"/>
      <c r="AX415" s="213"/>
      <c r="AY415" s="213"/>
      <c r="AZ415" s="213"/>
      <c r="BA415" s="213"/>
      <c r="BB415" s="213"/>
    </row>
    <row r="416" ht="12.75" customHeight="1" outlineLevel="1">
      <c r="A416" s="235"/>
      <c r="B416" s="236"/>
      <c r="C416" s="243" t="s">
        <v>1316</v>
      </c>
      <c r="D416" s="241"/>
      <c r="E416" s="242">
        <v>5.2</v>
      </c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3"/>
      <c r="Z416" s="213"/>
      <c r="AA416" s="213"/>
      <c r="AB416" s="213"/>
      <c r="AC416" s="213"/>
      <c r="AD416" s="213"/>
      <c r="AE416" s="213"/>
      <c r="AF416" s="213"/>
      <c r="AG416" s="213" t="s">
        <v>228</v>
      </c>
      <c r="AH416" s="213">
        <v>2.0</v>
      </c>
      <c r="AI416" s="213"/>
      <c r="AJ416" s="213"/>
      <c r="AK416" s="213"/>
      <c r="AL416" s="213"/>
      <c r="AM416" s="213"/>
      <c r="AN416" s="213"/>
      <c r="AO416" s="213"/>
      <c r="AP416" s="213"/>
      <c r="AQ416" s="213"/>
      <c r="AR416" s="213"/>
      <c r="AS416" s="213"/>
      <c r="AT416" s="213"/>
      <c r="AU416" s="213"/>
      <c r="AV416" s="213"/>
      <c r="AW416" s="213"/>
      <c r="AX416" s="213"/>
      <c r="AY416" s="213"/>
      <c r="AZ416" s="213"/>
      <c r="BA416" s="213"/>
      <c r="BB416" s="213"/>
    </row>
    <row r="417" ht="12.75" customHeight="1" outlineLevel="1">
      <c r="A417" s="235"/>
      <c r="B417" s="236"/>
      <c r="C417" s="240" t="s">
        <v>238</v>
      </c>
      <c r="D417" s="241"/>
      <c r="E417" s="24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3"/>
      <c r="Z417" s="213"/>
      <c r="AA417" s="213"/>
      <c r="AB417" s="213"/>
      <c r="AC417" s="213"/>
      <c r="AD417" s="213"/>
      <c r="AE417" s="213"/>
      <c r="AF417" s="213"/>
      <c r="AG417" s="213" t="s">
        <v>228</v>
      </c>
      <c r="AH417" s="213"/>
      <c r="AI417" s="213"/>
      <c r="AJ417" s="213"/>
      <c r="AK417" s="213"/>
      <c r="AL417" s="213"/>
      <c r="AM417" s="213"/>
      <c r="AN417" s="213"/>
      <c r="AO417" s="213"/>
      <c r="AP417" s="213"/>
      <c r="AQ417" s="213"/>
      <c r="AR417" s="213"/>
      <c r="AS417" s="213"/>
      <c r="AT417" s="213"/>
      <c r="AU417" s="213"/>
      <c r="AV417" s="213"/>
      <c r="AW417" s="213"/>
      <c r="AX417" s="213"/>
      <c r="AY417" s="213"/>
      <c r="AZ417" s="213"/>
      <c r="BA417" s="213"/>
      <c r="BB417" s="213"/>
    </row>
    <row r="418" ht="12.75" customHeight="1" outlineLevel="1">
      <c r="A418" s="235"/>
      <c r="B418" s="236"/>
      <c r="C418" s="237" t="s">
        <v>1317</v>
      </c>
      <c r="D418" s="238"/>
      <c r="E418" s="239">
        <v>5.72</v>
      </c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3"/>
      <c r="Z418" s="213"/>
      <c r="AA418" s="213"/>
      <c r="AB418" s="213"/>
      <c r="AC418" s="213"/>
      <c r="AD418" s="213"/>
      <c r="AE418" s="213"/>
      <c r="AF418" s="213"/>
      <c r="AG418" s="213" t="s">
        <v>228</v>
      </c>
      <c r="AH418" s="213">
        <v>0.0</v>
      </c>
      <c r="AI418" s="213"/>
      <c r="AJ418" s="213"/>
      <c r="AK418" s="213"/>
      <c r="AL418" s="213"/>
      <c r="AM418" s="213"/>
      <c r="AN418" s="213"/>
      <c r="AO418" s="213"/>
      <c r="AP418" s="213"/>
      <c r="AQ418" s="213"/>
      <c r="AR418" s="213"/>
      <c r="AS418" s="213"/>
      <c r="AT418" s="213"/>
      <c r="AU418" s="213"/>
      <c r="AV418" s="213"/>
      <c r="AW418" s="213"/>
      <c r="AX418" s="213"/>
      <c r="AY418" s="213"/>
      <c r="AZ418" s="213"/>
      <c r="BA418" s="213"/>
      <c r="BB418" s="213"/>
    </row>
    <row r="419" ht="12.75" customHeight="1" outlineLevel="1">
      <c r="A419" s="214">
        <v>49.0</v>
      </c>
      <c r="B419" s="215" t="s">
        <v>1318</v>
      </c>
      <c r="C419" s="216" t="s">
        <v>1319</v>
      </c>
      <c r="D419" s="217" t="s">
        <v>372</v>
      </c>
      <c r="E419" s="218">
        <v>33.3784</v>
      </c>
      <c r="F419" s="219">
        <v>2543.4</v>
      </c>
      <c r="G419" s="220">
        <f>ROUND(E419*F419,2)</f>
        <v>84894.62</v>
      </c>
      <c r="H419" s="211"/>
      <c r="I419" s="212">
        <f>ROUND(E419*H419,2)</f>
        <v>0</v>
      </c>
      <c r="J419" s="211"/>
      <c r="K419" s="212">
        <f>ROUND(E419*J419,2)</f>
        <v>0</v>
      </c>
      <c r="L419" s="212">
        <v>21.0</v>
      </c>
      <c r="M419" s="212">
        <f>G419*(1+L419/100)</f>
        <v>102722.4902</v>
      </c>
      <c r="N419" s="212">
        <v>0.03895</v>
      </c>
      <c r="O419" s="212">
        <f>ROUND(E419*N419,2)</f>
        <v>1.3</v>
      </c>
      <c r="P419" s="212">
        <v>0.0</v>
      </c>
      <c r="Q419" s="212">
        <f>ROUND(E419*P419,2)</f>
        <v>0</v>
      </c>
      <c r="R419" s="212" t="s">
        <v>322</v>
      </c>
      <c r="S419" s="212" t="s">
        <v>184</v>
      </c>
      <c r="T419" s="212" t="s">
        <v>184</v>
      </c>
      <c r="U419" s="212">
        <v>0.0</v>
      </c>
      <c r="V419" s="212">
        <f>ROUND(E419*U419,2)</f>
        <v>0</v>
      </c>
      <c r="W419" s="212"/>
      <c r="X419" s="212" t="s">
        <v>323</v>
      </c>
      <c r="Y419" s="213"/>
      <c r="Z419" s="213"/>
      <c r="AA419" s="213"/>
      <c r="AB419" s="213"/>
      <c r="AC419" s="213"/>
      <c r="AD419" s="213"/>
      <c r="AE419" s="213"/>
      <c r="AF419" s="213"/>
      <c r="AG419" s="213" t="s">
        <v>324</v>
      </c>
      <c r="AH419" s="213"/>
      <c r="AI419" s="213"/>
      <c r="AJ419" s="213"/>
      <c r="AK419" s="213"/>
      <c r="AL419" s="213"/>
      <c r="AM419" s="213"/>
      <c r="AN419" s="213"/>
      <c r="AO419" s="213"/>
      <c r="AP419" s="213"/>
      <c r="AQ419" s="213"/>
      <c r="AR419" s="213"/>
      <c r="AS419" s="213"/>
      <c r="AT419" s="213"/>
      <c r="AU419" s="213"/>
      <c r="AV419" s="213"/>
      <c r="AW419" s="213"/>
      <c r="AX419" s="213"/>
      <c r="AY419" s="213"/>
      <c r="AZ419" s="213"/>
      <c r="BA419" s="213"/>
      <c r="BB419" s="213"/>
    </row>
    <row r="420" ht="12.75" customHeight="1" outlineLevel="1">
      <c r="A420" s="235"/>
      <c r="B420" s="236"/>
      <c r="C420" s="237" t="s">
        <v>1293</v>
      </c>
      <c r="D420" s="238"/>
      <c r="E420" s="239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3"/>
      <c r="Z420" s="213"/>
      <c r="AA420" s="213"/>
      <c r="AB420" s="213"/>
      <c r="AC420" s="213"/>
      <c r="AD420" s="213"/>
      <c r="AE420" s="213"/>
      <c r="AF420" s="213"/>
      <c r="AG420" s="213" t="s">
        <v>228</v>
      </c>
      <c r="AH420" s="213">
        <v>0.0</v>
      </c>
      <c r="AI420" s="213"/>
      <c r="AJ420" s="213"/>
      <c r="AK420" s="213"/>
      <c r="AL420" s="213"/>
      <c r="AM420" s="213"/>
      <c r="AN420" s="213"/>
      <c r="AO420" s="213"/>
      <c r="AP420" s="213"/>
      <c r="AQ420" s="213"/>
      <c r="AR420" s="213"/>
      <c r="AS420" s="213"/>
      <c r="AT420" s="213"/>
      <c r="AU420" s="213"/>
      <c r="AV420" s="213"/>
      <c r="AW420" s="213"/>
      <c r="AX420" s="213"/>
      <c r="AY420" s="213"/>
      <c r="AZ420" s="213"/>
      <c r="BA420" s="213"/>
      <c r="BB420" s="213"/>
    </row>
    <row r="421" ht="12.75" customHeight="1" outlineLevel="1">
      <c r="A421" s="235"/>
      <c r="B421" s="236"/>
      <c r="C421" s="240" t="s">
        <v>236</v>
      </c>
      <c r="D421" s="241"/>
      <c r="E421" s="24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3"/>
      <c r="Z421" s="213"/>
      <c r="AA421" s="213"/>
      <c r="AB421" s="213"/>
      <c r="AC421" s="213"/>
      <c r="AD421" s="213"/>
      <c r="AE421" s="213"/>
      <c r="AF421" s="213"/>
      <c r="AG421" s="213" t="s">
        <v>228</v>
      </c>
      <c r="AH421" s="213"/>
      <c r="AI421" s="213"/>
      <c r="AJ421" s="213"/>
      <c r="AK421" s="213"/>
      <c r="AL421" s="213"/>
      <c r="AM421" s="213"/>
      <c r="AN421" s="213"/>
      <c r="AO421" s="213"/>
      <c r="AP421" s="213"/>
      <c r="AQ421" s="213"/>
      <c r="AR421" s="213"/>
      <c r="AS421" s="213"/>
      <c r="AT421" s="213"/>
      <c r="AU421" s="213"/>
      <c r="AV421" s="213"/>
      <c r="AW421" s="213"/>
      <c r="AX421" s="213"/>
      <c r="AY421" s="213"/>
      <c r="AZ421" s="213"/>
      <c r="BA421" s="213"/>
      <c r="BB421" s="213"/>
    </row>
    <row r="422" ht="12.75" customHeight="1" outlineLevel="1">
      <c r="A422" s="235"/>
      <c r="B422" s="236"/>
      <c r="C422" s="243" t="s">
        <v>1320</v>
      </c>
      <c r="D422" s="241"/>
      <c r="E422" s="242">
        <v>30.34</v>
      </c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3"/>
      <c r="Z422" s="213"/>
      <c r="AA422" s="213"/>
      <c r="AB422" s="213"/>
      <c r="AC422" s="213"/>
      <c r="AD422" s="213"/>
      <c r="AE422" s="213"/>
      <c r="AF422" s="213"/>
      <c r="AG422" s="213" t="s">
        <v>228</v>
      </c>
      <c r="AH422" s="213">
        <v>2.0</v>
      </c>
      <c r="AI422" s="213"/>
      <c r="AJ422" s="213"/>
      <c r="AK422" s="213"/>
      <c r="AL422" s="213"/>
      <c r="AM422" s="213"/>
      <c r="AN422" s="213"/>
      <c r="AO422" s="213"/>
      <c r="AP422" s="213"/>
      <c r="AQ422" s="213"/>
      <c r="AR422" s="213"/>
      <c r="AS422" s="213"/>
      <c r="AT422" s="213"/>
      <c r="AU422" s="213"/>
      <c r="AV422" s="213"/>
      <c r="AW422" s="213"/>
      <c r="AX422" s="213"/>
      <c r="AY422" s="213"/>
      <c r="AZ422" s="213"/>
      <c r="BA422" s="213"/>
      <c r="BB422" s="213"/>
    </row>
    <row r="423" ht="12.75" customHeight="1" outlineLevel="1">
      <c r="A423" s="235"/>
      <c r="B423" s="236"/>
      <c r="C423" s="240" t="s">
        <v>238</v>
      </c>
      <c r="D423" s="241"/>
      <c r="E423" s="24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3"/>
      <c r="Z423" s="213"/>
      <c r="AA423" s="213"/>
      <c r="AB423" s="213"/>
      <c r="AC423" s="213"/>
      <c r="AD423" s="213"/>
      <c r="AE423" s="213"/>
      <c r="AF423" s="213"/>
      <c r="AG423" s="213" t="s">
        <v>228</v>
      </c>
      <c r="AH423" s="213"/>
      <c r="AI423" s="213"/>
      <c r="AJ423" s="213"/>
      <c r="AK423" s="213"/>
      <c r="AL423" s="213"/>
      <c r="AM423" s="213"/>
      <c r="AN423" s="213"/>
      <c r="AO423" s="213"/>
      <c r="AP423" s="213"/>
      <c r="AQ423" s="213"/>
      <c r="AR423" s="213"/>
      <c r="AS423" s="213"/>
      <c r="AT423" s="213"/>
      <c r="AU423" s="213"/>
      <c r="AV423" s="213"/>
      <c r="AW423" s="213"/>
      <c r="AX423" s="213"/>
      <c r="AY423" s="213"/>
      <c r="AZ423" s="213"/>
      <c r="BA423" s="213"/>
      <c r="BB423" s="213"/>
    </row>
    <row r="424" ht="12.75" customHeight="1" outlineLevel="1">
      <c r="A424" s="235"/>
      <c r="B424" s="236"/>
      <c r="C424" s="237" t="s">
        <v>1321</v>
      </c>
      <c r="D424" s="238"/>
      <c r="E424" s="239">
        <v>33.38</v>
      </c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3"/>
      <c r="Z424" s="213"/>
      <c r="AA424" s="213"/>
      <c r="AB424" s="213"/>
      <c r="AC424" s="213"/>
      <c r="AD424" s="213"/>
      <c r="AE424" s="213"/>
      <c r="AF424" s="213"/>
      <c r="AG424" s="213" t="s">
        <v>228</v>
      </c>
      <c r="AH424" s="213">
        <v>0.0</v>
      </c>
      <c r="AI424" s="213"/>
      <c r="AJ424" s="213"/>
      <c r="AK424" s="213"/>
      <c r="AL424" s="213"/>
      <c r="AM424" s="213"/>
      <c r="AN424" s="213"/>
      <c r="AO424" s="213"/>
      <c r="AP424" s="213"/>
      <c r="AQ424" s="213"/>
      <c r="AR424" s="213"/>
      <c r="AS424" s="213"/>
      <c r="AT424" s="213"/>
      <c r="AU424" s="213"/>
      <c r="AV424" s="213"/>
      <c r="AW424" s="213"/>
      <c r="AX424" s="213"/>
      <c r="AY424" s="213"/>
      <c r="AZ424" s="213"/>
      <c r="BA424" s="213"/>
      <c r="BB424" s="213"/>
    </row>
    <row r="425" ht="12.75" customHeight="1" outlineLevel="1">
      <c r="A425" s="214">
        <v>50.0</v>
      </c>
      <c r="B425" s="215" t="s">
        <v>1322</v>
      </c>
      <c r="C425" s="216" t="s">
        <v>1323</v>
      </c>
      <c r="D425" s="217" t="s">
        <v>372</v>
      </c>
      <c r="E425" s="218">
        <v>1.0</v>
      </c>
      <c r="F425" s="219">
        <v>1275.6</v>
      </c>
      <c r="G425" s="220">
        <f>ROUND(E425*F425,2)</f>
        <v>1275.6</v>
      </c>
      <c r="H425" s="211"/>
      <c r="I425" s="212">
        <f>ROUND(E425*H425,2)</f>
        <v>0</v>
      </c>
      <c r="J425" s="211"/>
      <c r="K425" s="212">
        <f>ROUND(E425*J425,2)</f>
        <v>0</v>
      </c>
      <c r="L425" s="212">
        <v>21.0</v>
      </c>
      <c r="M425" s="212">
        <f>G425*(1+L425/100)</f>
        <v>1543.476</v>
      </c>
      <c r="N425" s="212">
        <v>0.01237</v>
      </c>
      <c r="O425" s="212">
        <f>ROUND(E425*N425,2)</f>
        <v>0.01</v>
      </c>
      <c r="P425" s="212">
        <v>0.0</v>
      </c>
      <c r="Q425" s="212">
        <f>ROUND(E425*P425,2)</f>
        <v>0</v>
      </c>
      <c r="R425" s="212" t="s">
        <v>322</v>
      </c>
      <c r="S425" s="212" t="s">
        <v>184</v>
      </c>
      <c r="T425" s="212" t="s">
        <v>184</v>
      </c>
      <c r="U425" s="212">
        <v>0.0</v>
      </c>
      <c r="V425" s="212">
        <f>ROUND(E425*U425,2)</f>
        <v>0</v>
      </c>
      <c r="W425" s="212"/>
      <c r="X425" s="212" t="s">
        <v>323</v>
      </c>
      <c r="Y425" s="213"/>
      <c r="Z425" s="213"/>
      <c r="AA425" s="213"/>
      <c r="AB425" s="213"/>
      <c r="AC425" s="213"/>
      <c r="AD425" s="213"/>
      <c r="AE425" s="213"/>
      <c r="AF425" s="213"/>
      <c r="AG425" s="213" t="s">
        <v>324</v>
      </c>
      <c r="AH425" s="213"/>
      <c r="AI425" s="213"/>
      <c r="AJ425" s="213"/>
      <c r="AK425" s="213"/>
      <c r="AL425" s="213"/>
      <c r="AM425" s="213"/>
      <c r="AN425" s="213"/>
      <c r="AO425" s="213"/>
      <c r="AP425" s="213"/>
      <c r="AQ425" s="213"/>
      <c r="AR425" s="213"/>
      <c r="AS425" s="213"/>
      <c r="AT425" s="213"/>
      <c r="AU425" s="213"/>
      <c r="AV425" s="213"/>
      <c r="AW425" s="213"/>
      <c r="AX425" s="213"/>
      <c r="AY425" s="213"/>
      <c r="AZ425" s="213"/>
      <c r="BA425" s="213"/>
      <c r="BB425" s="213"/>
    </row>
    <row r="426" ht="12.75" customHeight="1" outlineLevel="1">
      <c r="A426" s="235"/>
      <c r="B426" s="236"/>
      <c r="C426" s="237" t="s">
        <v>1295</v>
      </c>
      <c r="D426" s="238"/>
      <c r="E426" s="239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3"/>
      <c r="Z426" s="213"/>
      <c r="AA426" s="213"/>
      <c r="AB426" s="213"/>
      <c r="AC426" s="213"/>
      <c r="AD426" s="213"/>
      <c r="AE426" s="213"/>
      <c r="AF426" s="213"/>
      <c r="AG426" s="213" t="s">
        <v>228</v>
      </c>
      <c r="AH426" s="213">
        <v>0.0</v>
      </c>
      <c r="AI426" s="213"/>
      <c r="AJ426" s="213"/>
      <c r="AK426" s="213"/>
      <c r="AL426" s="213"/>
      <c r="AM426" s="213"/>
      <c r="AN426" s="213"/>
      <c r="AO426" s="213"/>
      <c r="AP426" s="213"/>
      <c r="AQ426" s="213"/>
      <c r="AR426" s="213"/>
      <c r="AS426" s="213"/>
      <c r="AT426" s="213"/>
      <c r="AU426" s="213"/>
      <c r="AV426" s="213"/>
      <c r="AW426" s="213"/>
      <c r="AX426" s="213"/>
      <c r="AY426" s="213"/>
      <c r="AZ426" s="213"/>
      <c r="BA426" s="213"/>
      <c r="BB426" s="213"/>
    </row>
    <row r="427" ht="12.75" customHeight="1" outlineLevel="1">
      <c r="A427" s="235"/>
      <c r="B427" s="236"/>
      <c r="C427" s="237" t="s">
        <v>374</v>
      </c>
      <c r="D427" s="238"/>
      <c r="E427" s="239">
        <v>1.0</v>
      </c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3"/>
      <c r="Z427" s="213"/>
      <c r="AA427" s="213"/>
      <c r="AB427" s="213"/>
      <c r="AC427" s="213"/>
      <c r="AD427" s="213"/>
      <c r="AE427" s="213"/>
      <c r="AF427" s="213"/>
      <c r="AG427" s="213" t="s">
        <v>228</v>
      </c>
      <c r="AH427" s="213">
        <v>0.0</v>
      </c>
      <c r="AI427" s="213"/>
      <c r="AJ427" s="213"/>
      <c r="AK427" s="213"/>
      <c r="AL427" s="213"/>
      <c r="AM427" s="213"/>
      <c r="AN427" s="213"/>
      <c r="AO427" s="213"/>
      <c r="AP427" s="213"/>
      <c r="AQ427" s="213"/>
      <c r="AR427" s="213"/>
      <c r="AS427" s="213"/>
      <c r="AT427" s="213"/>
      <c r="AU427" s="213"/>
      <c r="AV427" s="213"/>
      <c r="AW427" s="213"/>
      <c r="AX427" s="213"/>
      <c r="AY427" s="213"/>
      <c r="AZ427" s="213"/>
      <c r="BA427" s="213"/>
      <c r="BB427" s="213"/>
    </row>
    <row r="428" ht="12.75" customHeight="1" outlineLevel="1">
      <c r="A428" s="214">
        <v>51.0</v>
      </c>
      <c r="B428" s="215" t="s">
        <v>1324</v>
      </c>
      <c r="C428" s="216" t="s">
        <v>1325</v>
      </c>
      <c r="D428" s="217" t="s">
        <v>372</v>
      </c>
      <c r="E428" s="218">
        <v>2.0</v>
      </c>
      <c r="F428" s="219">
        <v>3714.1</v>
      </c>
      <c r="G428" s="220">
        <f>ROUND(E428*F428,2)</f>
        <v>7428.2</v>
      </c>
      <c r="H428" s="211"/>
      <c r="I428" s="212">
        <f>ROUND(E428*H428,2)</f>
        <v>0</v>
      </c>
      <c r="J428" s="211"/>
      <c r="K428" s="212">
        <f>ROUND(E428*J428,2)</f>
        <v>0</v>
      </c>
      <c r="L428" s="212">
        <v>21.0</v>
      </c>
      <c r="M428" s="212">
        <f>G428*(1+L428/100)</f>
        <v>8988.122</v>
      </c>
      <c r="N428" s="212">
        <v>0.03711</v>
      </c>
      <c r="O428" s="212">
        <f>ROUND(E428*N428,2)</f>
        <v>0.07</v>
      </c>
      <c r="P428" s="212">
        <v>0.0</v>
      </c>
      <c r="Q428" s="212">
        <f>ROUND(E428*P428,2)</f>
        <v>0</v>
      </c>
      <c r="R428" s="212" t="s">
        <v>322</v>
      </c>
      <c r="S428" s="212" t="s">
        <v>184</v>
      </c>
      <c r="T428" s="212" t="s">
        <v>184</v>
      </c>
      <c r="U428" s="212">
        <v>0.0</v>
      </c>
      <c r="V428" s="212">
        <f>ROUND(E428*U428,2)</f>
        <v>0</v>
      </c>
      <c r="W428" s="212"/>
      <c r="X428" s="212" t="s">
        <v>323</v>
      </c>
      <c r="Y428" s="213"/>
      <c r="Z428" s="213"/>
      <c r="AA428" s="213"/>
      <c r="AB428" s="213"/>
      <c r="AC428" s="213"/>
      <c r="AD428" s="213"/>
      <c r="AE428" s="213"/>
      <c r="AF428" s="213"/>
      <c r="AG428" s="213" t="s">
        <v>324</v>
      </c>
      <c r="AH428" s="213"/>
      <c r="AI428" s="213"/>
      <c r="AJ428" s="213"/>
      <c r="AK428" s="213"/>
      <c r="AL428" s="213"/>
      <c r="AM428" s="213"/>
      <c r="AN428" s="213"/>
      <c r="AO428" s="213"/>
      <c r="AP428" s="213"/>
      <c r="AQ428" s="213"/>
      <c r="AR428" s="213"/>
      <c r="AS428" s="213"/>
      <c r="AT428" s="213"/>
      <c r="AU428" s="213"/>
      <c r="AV428" s="213"/>
      <c r="AW428" s="213"/>
      <c r="AX428" s="213"/>
      <c r="AY428" s="213"/>
      <c r="AZ428" s="213"/>
      <c r="BA428" s="213"/>
      <c r="BB428" s="213"/>
    </row>
    <row r="429" ht="12.75" customHeight="1" outlineLevel="1">
      <c r="A429" s="235"/>
      <c r="B429" s="236"/>
      <c r="C429" s="237" t="s">
        <v>1295</v>
      </c>
      <c r="D429" s="238"/>
      <c r="E429" s="239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3"/>
      <c r="Z429" s="213"/>
      <c r="AA429" s="213"/>
      <c r="AB429" s="213"/>
      <c r="AC429" s="213"/>
      <c r="AD429" s="213"/>
      <c r="AE429" s="213"/>
      <c r="AF429" s="213"/>
      <c r="AG429" s="213" t="s">
        <v>228</v>
      </c>
      <c r="AH429" s="213">
        <v>0.0</v>
      </c>
      <c r="AI429" s="213"/>
      <c r="AJ429" s="213"/>
      <c r="AK429" s="213"/>
      <c r="AL429" s="213"/>
      <c r="AM429" s="213"/>
      <c r="AN429" s="213"/>
      <c r="AO429" s="213"/>
      <c r="AP429" s="213"/>
      <c r="AQ429" s="213"/>
      <c r="AR429" s="213"/>
      <c r="AS429" s="213"/>
      <c r="AT429" s="213"/>
      <c r="AU429" s="213"/>
      <c r="AV429" s="213"/>
      <c r="AW429" s="213"/>
      <c r="AX429" s="213"/>
      <c r="AY429" s="213"/>
      <c r="AZ429" s="213"/>
      <c r="BA429" s="213"/>
      <c r="BB429" s="213"/>
    </row>
    <row r="430" ht="12.75" customHeight="1" outlineLevel="1">
      <c r="A430" s="235"/>
      <c r="B430" s="236"/>
      <c r="C430" s="237" t="s">
        <v>456</v>
      </c>
      <c r="D430" s="238"/>
      <c r="E430" s="239">
        <v>2.0</v>
      </c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3"/>
      <c r="Z430" s="213"/>
      <c r="AA430" s="213"/>
      <c r="AB430" s="213"/>
      <c r="AC430" s="213"/>
      <c r="AD430" s="213"/>
      <c r="AE430" s="213"/>
      <c r="AF430" s="213"/>
      <c r="AG430" s="213" t="s">
        <v>228</v>
      </c>
      <c r="AH430" s="213">
        <v>0.0</v>
      </c>
      <c r="AI430" s="213"/>
      <c r="AJ430" s="213"/>
      <c r="AK430" s="213"/>
      <c r="AL430" s="213"/>
      <c r="AM430" s="213"/>
      <c r="AN430" s="213"/>
      <c r="AO430" s="213"/>
      <c r="AP430" s="213"/>
      <c r="AQ430" s="213"/>
      <c r="AR430" s="213"/>
      <c r="AS430" s="213"/>
      <c r="AT430" s="213"/>
      <c r="AU430" s="213"/>
      <c r="AV430" s="213"/>
      <c r="AW430" s="213"/>
      <c r="AX430" s="213"/>
      <c r="AY430" s="213"/>
      <c r="AZ430" s="213"/>
      <c r="BA430" s="213"/>
      <c r="BB430" s="213"/>
    </row>
    <row r="431" ht="12.75" customHeight="1" outlineLevel="1">
      <c r="A431" s="214">
        <v>52.0</v>
      </c>
      <c r="B431" s="215" t="s">
        <v>1326</v>
      </c>
      <c r="C431" s="216" t="s">
        <v>1327</v>
      </c>
      <c r="D431" s="217" t="s">
        <v>251</v>
      </c>
      <c r="E431" s="218">
        <v>29.491</v>
      </c>
      <c r="F431" s="219">
        <v>277.8</v>
      </c>
      <c r="G431" s="220">
        <f>ROUND(E431*F431,2)</f>
        <v>8192.6</v>
      </c>
      <c r="H431" s="211"/>
      <c r="I431" s="212">
        <f>ROUND(E431*H431,2)</f>
        <v>0</v>
      </c>
      <c r="J431" s="211"/>
      <c r="K431" s="212">
        <f>ROUND(E431*J431,2)</f>
        <v>0</v>
      </c>
      <c r="L431" s="212">
        <v>21.0</v>
      </c>
      <c r="M431" s="212">
        <f>G431*(1+L431/100)</f>
        <v>9913.046</v>
      </c>
      <c r="N431" s="212">
        <v>7.2E-4</v>
      </c>
      <c r="O431" s="212">
        <f>ROUND(E431*N431,2)</f>
        <v>0.02</v>
      </c>
      <c r="P431" s="212">
        <v>0.0</v>
      </c>
      <c r="Q431" s="212">
        <f>ROUND(E431*P431,2)</f>
        <v>0</v>
      </c>
      <c r="R431" s="212" t="s">
        <v>322</v>
      </c>
      <c r="S431" s="212" t="s">
        <v>1328</v>
      </c>
      <c r="T431" s="212" t="s">
        <v>1329</v>
      </c>
      <c r="U431" s="212">
        <v>0.0</v>
      </c>
      <c r="V431" s="212">
        <f>ROUND(E431*U431,2)</f>
        <v>0</v>
      </c>
      <c r="W431" s="212"/>
      <c r="X431" s="212" t="s">
        <v>323</v>
      </c>
      <c r="Y431" s="213"/>
      <c r="Z431" s="213"/>
      <c r="AA431" s="213"/>
      <c r="AB431" s="213"/>
      <c r="AC431" s="213"/>
      <c r="AD431" s="213"/>
      <c r="AE431" s="213"/>
      <c r="AF431" s="213"/>
      <c r="AG431" s="213" t="s">
        <v>324</v>
      </c>
      <c r="AH431" s="213"/>
      <c r="AI431" s="213"/>
      <c r="AJ431" s="213"/>
      <c r="AK431" s="213"/>
      <c r="AL431" s="213"/>
      <c r="AM431" s="213"/>
      <c r="AN431" s="213"/>
      <c r="AO431" s="213"/>
      <c r="AP431" s="213"/>
      <c r="AQ431" s="213"/>
      <c r="AR431" s="213"/>
      <c r="AS431" s="213"/>
      <c r="AT431" s="213"/>
      <c r="AU431" s="213"/>
      <c r="AV431" s="213"/>
      <c r="AW431" s="213"/>
      <c r="AX431" s="213"/>
      <c r="AY431" s="213"/>
      <c r="AZ431" s="213"/>
      <c r="BA431" s="213"/>
      <c r="BB431" s="213"/>
    </row>
    <row r="432" ht="12.75" customHeight="1" outlineLevel="1">
      <c r="A432" s="235"/>
      <c r="B432" s="236"/>
      <c r="C432" s="237" t="s">
        <v>1285</v>
      </c>
      <c r="D432" s="238"/>
      <c r="E432" s="239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3"/>
      <c r="Z432" s="213"/>
      <c r="AA432" s="213"/>
      <c r="AB432" s="213"/>
      <c r="AC432" s="213"/>
      <c r="AD432" s="213"/>
      <c r="AE432" s="213"/>
      <c r="AF432" s="213"/>
      <c r="AG432" s="213" t="s">
        <v>228</v>
      </c>
      <c r="AH432" s="213">
        <v>0.0</v>
      </c>
      <c r="AI432" s="213"/>
      <c r="AJ432" s="213"/>
      <c r="AK432" s="213"/>
      <c r="AL432" s="213"/>
      <c r="AM432" s="213"/>
      <c r="AN432" s="213"/>
      <c r="AO432" s="213"/>
      <c r="AP432" s="213"/>
      <c r="AQ432" s="213"/>
      <c r="AR432" s="213"/>
      <c r="AS432" s="213"/>
      <c r="AT432" s="213"/>
      <c r="AU432" s="213"/>
      <c r="AV432" s="213"/>
      <c r="AW432" s="213"/>
      <c r="AX432" s="213"/>
      <c r="AY432" s="213"/>
      <c r="AZ432" s="213"/>
      <c r="BA432" s="213"/>
      <c r="BB432" s="213"/>
    </row>
    <row r="433" ht="12.75" customHeight="1" outlineLevel="1">
      <c r="A433" s="235"/>
      <c r="B433" s="236"/>
      <c r="C433" s="237" t="s">
        <v>1330</v>
      </c>
      <c r="D433" s="238"/>
      <c r="E433" s="239">
        <v>29.49</v>
      </c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3"/>
      <c r="Z433" s="213"/>
      <c r="AA433" s="213"/>
      <c r="AB433" s="213"/>
      <c r="AC433" s="213"/>
      <c r="AD433" s="213"/>
      <c r="AE433" s="213"/>
      <c r="AF433" s="213"/>
      <c r="AG433" s="213" t="s">
        <v>228</v>
      </c>
      <c r="AH433" s="213">
        <v>0.0</v>
      </c>
      <c r="AI433" s="213"/>
      <c r="AJ433" s="213"/>
      <c r="AK433" s="213"/>
      <c r="AL433" s="213"/>
      <c r="AM433" s="213"/>
      <c r="AN433" s="213"/>
      <c r="AO433" s="213"/>
      <c r="AP433" s="213"/>
      <c r="AQ433" s="213"/>
      <c r="AR433" s="213"/>
      <c r="AS433" s="213"/>
      <c r="AT433" s="213"/>
      <c r="AU433" s="213"/>
      <c r="AV433" s="213"/>
      <c r="AW433" s="213"/>
      <c r="AX433" s="213"/>
      <c r="AY433" s="213"/>
      <c r="AZ433" s="213"/>
      <c r="BA433" s="213"/>
      <c r="BB433" s="213"/>
    </row>
    <row r="434" ht="12.75" customHeight="1">
      <c r="A434" s="196" t="s">
        <v>173</v>
      </c>
      <c r="B434" s="197" t="s">
        <v>108</v>
      </c>
      <c r="C434" s="198" t="s">
        <v>109</v>
      </c>
      <c r="D434" s="199"/>
      <c r="E434" s="200"/>
      <c r="F434" s="201"/>
      <c r="G434" s="202">
        <f>SUMIF(AG435:AG515,"&lt;&gt;NOR",G435:G515)</f>
        <v>295272.9</v>
      </c>
      <c r="H434" s="203"/>
      <c r="I434" s="203">
        <f>SUM(I435:I515)</f>
        <v>0</v>
      </c>
      <c r="J434" s="203"/>
      <c r="K434" s="203">
        <f>SUM(K435:K515)</f>
        <v>0</v>
      </c>
      <c r="L434" s="203"/>
      <c r="M434" s="203">
        <f>SUM(M435:M515)</f>
        <v>357280.209</v>
      </c>
      <c r="N434" s="203"/>
      <c r="O434" s="203">
        <f>SUM(O435:O515)</f>
        <v>26.03</v>
      </c>
      <c r="P434" s="203"/>
      <c r="Q434" s="203">
        <f>SUM(Q435:Q515)</f>
        <v>0</v>
      </c>
      <c r="R434" s="203"/>
      <c r="S434" s="203"/>
      <c r="T434" s="203"/>
      <c r="U434" s="203"/>
      <c r="V434" s="203">
        <f>SUM(V435:V515)</f>
        <v>88.12</v>
      </c>
      <c r="W434" s="203"/>
      <c r="X434" s="203"/>
      <c r="AG434" s="184" t="s">
        <v>174</v>
      </c>
    </row>
    <row r="435" ht="12.75" customHeight="1" outlineLevel="1">
      <c r="A435" s="214">
        <v>53.0</v>
      </c>
      <c r="B435" s="215" t="s">
        <v>577</v>
      </c>
      <c r="C435" s="216" t="s">
        <v>578</v>
      </c>
      <c r="D435" s="217" t="s">
        <v>372</v>
      </c>
      <c r="E435" s="218">
        <v>49.0</v>
      </c>
      <c r="F435" s="219">
        <v>258.5</v>
      </c>
      <c r="G435" s="220">
        <f>ROUND(E435*F435,2)</f>
        <v>12666.5</v>
      </c>
      <c r="H435" s="211"/>
      <c r="I435" s="212">
        <f>ROUND(E435*H435,2)</f>
        <v>0</v>
      </c>
      <c r="J435" s="211"/>
      <c r="K435" s="212">
        <f>ROUND(E435*J435,2)</f>
        <v>0</v>
      </c>
      <c r="L435" s="212">
        <v>21.0</v>
      </c>
      <c r="M435" s="212">
        <f>G435*(1+L435/100)</f>
        <v>15326.465</v>
      </c>
      <c r="N435" s="212">
        <v>0.0066</v>
      </c>
      <c r="O435" s="212">
        <f>ROUND(E435*N435,2)</f>
        <v>0.32</v>
      </c>
      <c r="P435" s="212">
        <v>0.0</v>
      </c>
      <c r="Q435" s="212">
        <f>ROUND(E435*P435,2)</f>
        <v>0</v>
      </c>
      <c r="R435" s="212"/>
      <c r="S435" s="212" t="s">
        <v>184</v>
      </c>
      <c r="T435" s="212" t="s">
        <v>184</v>
      </c>
      <c r="U435" s="212">
        <v>0.56</v>
      </c>
      <c r="V435" s="212">
        <f>ROUND(E435*U435,2)</f>
        <v>27.44</v>
      </c>
      <c r="W435" s="212"/>
      <c r="X435" s="212" t="s">
        <v>225</v>
      </c>
      <c r="Y435" s="213"/>
      <c r="Z435" s="213"/>
      <c r="AA435" s="213"/>
      <c r="AB435" s="213"/>
      <c r="AC435" s="213"/>
      <c r="AD435" s="213"/>
      <c r="AE435" s="213"/>
      <c r="AF435" s="213"/>
      <c r="AG435" s="213" t="s">
        <v>226</v>
      </c>
      <c r="AH435" s="213"/>
      <c r="AI435" s="213"/>
      <c r="AJ435" s="213"/>
      <c r="AK435" s="213"/>
      <c r="AL435" s="213"/>
      <c r="AM435" s="213"/>
      <c r="AN435" s="213"/>
      <c r="AO435" s="213"/>
      <c r="AP435" s="213"/>
      <c r="AQ435" s="213"/>
      <c r="AR435" s="213"/>
      <c r="AS435" s="213"/>
      <c r="AT435" s="213"/>
      <c r="AU435" s="213"/>
      <c r="AV435" s="213"/>
      <c r="AW435" s="213"/>
      <c r="AX435" s="213"/>
      <c r="AY435" s="213"/>
      <c r="AZ435" s="213"/>
      <c r="BA435" s="213"/>
      <c r="BB435" s="213"/>
    </row>
    <row r="436" ht="12.75" customHeight="1" outlineLevel="1">
      <c r="A436" s="235"/>
      <c r="B436" s="236"/>
      <c r="C436" s="237" t="s">
        <v>1331</v>
      </c>
      <c r="D436" s="238"/>
      <c r="E436" s="239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3"/>
      <c r="Z436" s="213"/>
      <c r="AA436" s="213"/>
      <c r="AB436" s="213"/>
      <c r="AC436" s="213"/>
      <c r="AD436" s="213"/>
      <c r="AE436" s="213"/>
      <c r="AF436" s="213"/>
      <c r="AG436" s="213" t="s">
        <v>228</v>
      </c>
      <c r="AH436" s="213">
        <v>0.0</v>
      </c>
      <c r="AI436" s="213"/>
      <c r="AJ436" s="213"/>
      <c r="AK436" s="213"/>
      <c r="AL436" s="213"/>
      <c r="AM436" s="213"/>
      <c r="AN436" s="213"/>
      <c r="AO436" s="213"/>
      <c r="AP436" s="213"/>
      <c r="AQ436" s="213"/>
      <c r="AR436" s="213"/>
      <c r="AS436" s="213"/>
      <c r="AT436" s="213"/>
      <c r="AU436" s="213"/>
      <c r="AV436" s="213"/>
      <c r="AW436" s="213"/>
      <c r="AX436" s="213"/>
      <c r="AY436" s="213"/>
      <c r="AZ436" s="213"/>
      <c r="BA436" s="213"/>
      <c r="BB436" s="213"/>
    </row>
    <row r="437" ht="12.75" customHeight="1" outlineLevel="1">
      <c r="A437" s="235"/>
      <c r="B437" s="236"/>
      <c r="C437" s="237" t="s">
        <v>1332</v>
      </c>
      <c r="D437" s="238"/>
      <c r="E437" s="239">
        <v>10.0</v>
      </c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3"/>
      <c r="Z437" s="213"/>
      <c r="AA437" s="213"/>
      <c r="AB437" s="213"/>
      <c r="AC437" s="213"/>
      <c r="AD437" s="213"/>
      <c r="AE437" s="213"/>
      <c r="AF437" s="213"/>
      <c r="AG437" s="213" t="s">
        <v>228</v>
      </c>
      <c r="AH437" s="213">
        <v>0.0</v>
      </c>
      <c r="AI437" s="213"/>
      <c r="AJ437" s="213"/>
      <c r="AK437" s="213"/>
      <c r="AL437" s="213"/>
      <c r="AM437" s="213"/>
      <c r="AN437" s="213"/>
      <c r="AO437" s="213"/>
      <c r="AP437" s="213"/>
      <c r="AQ437" s="213"/>
      <c r="AR437" s="213"/>
      <c r="AS437" s="213"/>
      <c r="AT437" s="213"/>
      <c r="AU437" s="213"/>
      <c r="AV437" s="213"/>
      <c r="AW437" s="213"/>
      <c r="AX437" s="213"/>
      <c r="AY437" s="213"/>
      <c r="AZ437" s="213"/>
      <c r="BA437" s="213"/>
      <c r="BB437" s="213"/>
    </row>
    <row r="438" ht="12.75" customHeight="1" outlineLevel="1">
      <c r="A438" s="235"/>
      <c r="B438" s="236"/>
      <c r="C438" s="237" t="s">
        <v>1333</v>
      </c>
      <c r="D438" s="238"/>
      <c r="E438" s="239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3"/>
      <c r="Z438" s="213"/>
      <c r="AA438" s="213"/>
      <c r="AB438" s="213"/>
      <c r="AC438" s="213"/>
      <c r="AD438" s="213"/>
      <c r="AE438" s="213"/>
      <c r="AF438" s="213"/>
      <c r="AG438" s="213" t="s">
        <v>228</v>
      </c>
      <c r="AH438" s="213">
        <v>0.0</v>
      </c>
      <c r="AI438" s="213"/>
      <c r="AJ438" s="213"/>
      <c r="AK438" s="213"/>
      <c r="AL438" s="213"/>
      <c r="AM438" s="213"/>
      <c r="AN438" s="213"/>
      <c r="AO438" s="213"/>
      <c r="AP438" s="213"/>
      <c r="AQ438" s="213"/>
      <c r="AR438" s="213"/>
      <c r="AS438" s="213"/>
      <c r="AT438" s="213"/>
      <c r="AU438" s="213"/>
      <c r="AV438" s="213"/>
      <c r="AW438" s="213"/>
      <c r="AX438" s="213"/>
      <c r="AY438" s="213"/>
      <c r="AZ438" s="213"/>
      <c r="BA438" s="213"/>
      <c r="BB438" s="213"/>
    </row>
    <row r="439" ht="12.75" customHeight="1" outlineLevel="1">
      <c r="A439" s="235"/>
      <c r="B439" s="236"/>
      <c r="C439" s="237" t="s">
        <v>1334</v>
      </c>
      <c r="D439" s="238"/>
      <c r="E439" s="239">
        <v>8.0</v>
      </c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3"/>
      <c r="Z439" s="213"/>
      <c r="AA439" s="213"/>
      <c r="AB439" s="213"/>
      <c r="AC439" s="213"/>
      <c r="AD439" s="213"/>
      <c r="AE439" s="213"/>
      <c r="AF439" s="213"/>
      <c r="AG439" s="213" t="s">
        <v>228</v>
      </c>
      <c r="AH439" s="213">
        <v>0.0</v>
      </c>
      <c r="AI439" s="213"/>
      <c r="AJ439" s="213"/>
      <c r="AK439" s="213"/>
      <c r="AL439" s="213"/>
      <c r="AM439" s="213"/>
      <c r="AN439" s="213"/>
      <c r="AO439" s="213"/>
      <c r="AP439" s="213"/>
      <c r="AQ439" s="213"/>
      <c r="AR439" s="213"/>
      <c r="AS439" s="213"/>
      <c r="AT439" s="213"/>
      <c r="AU439" s="213"/>
      <c r="AV439" s="213"/>
      <c r="AW439" s="213"/>
      <c r="AX439" s="213"/>
      <c r="AY439" s="213"/>
      <c r="AZ439" s="213"/>
      <c r="BA439" s="213"/>
      <c r="BB439" s="213"/>
    </row>
    <row r="440" ht="12.75" customHeight="1" outlineLevel="1">
      <c r="A440" s="235"/>
      <c r="B440" s="236"/>
      <c r="C440" s="237" t="s">
        <v>1194</v>
      </c>
      <c r="D440" s="238"/>
      <c r="E440" s="239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3"/>
      <c r="Z440" s="213"/>
      <c r="AA440" s="213"/>
      <c r="AB440" s="213"/>
      <c r="AC440" s="213"/>
      <c r="AD440" s="213"/>
      <c r="AE440" s="213"/>
      <c r="AF440" s="213"/>
      <c r="AG440" s="213" t="s">
        <v>228</v>
      </c>
      <c r="AH440" s="213">
        <v>0.0</v>
      </c>
      <c r="AI440" s="213"/>
      <c r="AJ440" s="213"/>
      <c r="AK440" s="213"/>
      <c r="AL440" s="213"/>
      <c r="AM440" s="213"/>
      <c r="AN440" s="213"/>
      <c r="AO440" s="213"/>
      <c r="AP440" s="213"/>
      <c r="AQ440" s="213"/>
      <c r="AR440" s="213"/>
      <c r="AS440" s="213"/>
      <c r="AT440" s="213"/>
      <c r="AU440" s="213"/>
      <c r="AV440" s="213"/>
      <c r="AW440" s="213"/>
      <c r="AX440" s="213"/>
      <c r="AY440" s="213"/>
      <c r="AZ440" s="213"/>
      <c r="BA440" s="213"/>
      <c r="BB440" s="213"/>
    </row>
    <row r="441" ht="12.75" customHeight="1" outlineLevel="1">
      <c r="A441" s="235"/>
      <c r="B441" s="236"/>
      <c r="C441" s="237" t="s">
        <v>1335</v>
      </c>
      <c r="D441" s="238"/>
      <c r="E441" s="239">
        <v>31.0</v>
      </c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3"/>
      <c r="Z441" s="213"/>
      <c r="AA441" s="213"/>
      <c r="AB441" s="213"/>
      <c r="AC441" s="213"/>
      <c r="AD441" s="213"/>
      <c r="AE441" s="213"/>
      <c r="AF441" s="213"/>
      <c r="AG441" s="213" t="s">
        <v>228</v>
      </c>
      <c r="AH441" s="213">
        <v>0.0</v>
      </c>
      <c r="AI441" s="213"/>
      <c r="AJ441" s="213"/>
      <c r="AK441" s="213"/>
      <c r="AL441" s="213"/>
      <c r="AM441" s="213"/>
      <c r="AN441" s="213"/>
      <c r="AO441" s="213"/>
      <c r="AP441" s="213"/>
      <c r="AQ441" s="213"/>
      <c r="AR441" s="213"/>
      <c r="AS441" s="213"/>
      <c r="AT441" s="213"/>
      <c r="AU441" s="213"/>
      <c r="AV441" s="213"/>
      <c r="AW441" s="213"/>
      <c r="AX441" s="213"/>
      <c r="AY441" s="213"/>
      <c r="AZ441" s="213"/>
      <c r="BA441" s="213"/>
      <c r="BB441" s="213"/>
    </row>
    <row r="442" ht="12.75" customHeight="1" outlineLevel="1">
      <c r="A442" s="214">
        <v>54.0</v>
      </c>
      <c r="B442" s="215" t="s">
        <v>370</v>
      </c>
      <c r="C442" s="216" t="s">
        <v>580</v>
      </c>
      <c r="D442" s="217" t="s">
        <v>224</v>
      </c>
      <c r="E442" s="218">
        <v>1.2</v>
      </c>
      <c r="F442" s="219">
        <v>4125.0</v>
      </c>
      <c r="G442" s="220">
        <f>ROUND(E442*F442,2)</f>
        <v>4950</v>
      </c>
      <c r="H442" s="211"/>
      <c r="I442" s="212">
        <f>ROUND(E442*H442,2)</f>
        <v>0</v>
      </c>
      <c r="J442" s="211"/>
      <c r="K442" s="212">
        <f>ROUND(E442*J442,2)</f>
        <v>0</v>
      </c>
      <c r="L442" s="212">
        <v>21.0</v>
      </c>
      <c r="M442" s="212">
        <f>G442*(1+L442/100)</f>
        <v>5989.5</v>
      </c>
      <c r="N442" s="212">
        <v>0.0</v>
      </c>
      <c r="O442" s="212">
        <f>ROUND(E442*N442,2)</f>
        <v>0</v>
      </c>
      <c r="P442" s="212">
        <v>0.0</v>
      </c>
      <c r="Q442" s="212">
        <f>ROUND(E442*P442,2)</f>
        <v>0</v>
      </c>
      <c r="R442" s="212"/>
      <c r="S442" s="212" t="s">
        <v>178</v>
      </c>
      <c r="T442" s="212" t="s">
        <v>179</v>
      </c>
      <c r="U442" s="212">
        <v>0.0</v>
      </c>
      <c r="V442" s="212">
        <f>ROUND(E442*U442,2)</f>
        <v>0</v>
      </c>
      <c r="W442" s="212"/>
      <c r="X442" s="212" t="s">
        <v>225</v>
      </c>
      <c r="Y442" s="213"/>
      <c r="Z442" s="213"/>
      <c r="AA442" s="213"/>
      <c r="AB442" s="213"/>
      <c r="AC442" s="213"/>
      <c r="AD442" s="213"/>
      <c r="AE442" s="213"/>
      <c r="AF442" s="213"/>
      <c r="AG442" s="213" t="s">
        <v>226</v>
      </c>
      <c r="AH442" s="213"/>
      <c r="AI442" s="213"/>
      <c r="AJ442" s="213"/>
      <c r="AK442" s="213"/>
      <c r="AL442" s="213"/>
      <c r="AM442" s="213"/>
      <c r="AN442" s="213"/>
      <c r="AO442" s="213"/>
      <c r="AP442" s="213"/>
      <c r="AQ442" s="213"/>
      <c r="AR442" s="213"/>
      <c r="AS442" s="213"/>
      <c r="AT442" s="213"/>
      <c r="AU442" s="213"/>
      <c r="AV442" s="213"/>
      <c r="AW442" s="213"/>
      <c r="AX442" s="213"/>
      <c r="AY442" s="213"/>
      <c r="AZ442" s="213"/>
      <c r="BA442" s="213"/>
      <c r="BB442" s="213"/>
    </row>
    <row r="443" ht="12.75" customHeight="1" outlineLevel="1">
      <c r="A443" s="235"/>
      <c r="B443" s="236"/>
      <c r="C443" s="237" t="s">
        <v>562</v>
      </c>
      <c r="D443" s="238"/>
      <c r="E443" s="239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3"/>
      <c r="Z443" s="213"/>
      <c r="AA443" s="213"/>
      <c r="AB443" s="213"/>
      <c r="AC443" s="213"/>
      <c r="AD443" s="213"/>
      <c r="AE443" s="213"/>
      <c r="AF443" s="213"/>
      <c r="AG443" s="213" t="s">
        <v>228</v>
      </c>
      <c r="AH443" s="213">
        <v>0.0</v>
      </c>
      <c r="AI443" s="213"/>
      <c r="AJ443" s="213"/>
      <c r="AK443" s="213"/>
      <c r="AL443" s="213"/>
      <c r="AM443" s="213"/>
      <c r="AN443" s="213"/>
      <c r="AO443" s="213"/>
      <c r="AP443" s="213"/>
      <c r="AQ443" s="213"/>
      <c r="AR443" s="213"/>
      <c r="AS443" s="213"/>
      <c r="AT443" s="213"/>
      <c r="AU443" s="213"/>
      <c r="AV443" s="213"/>
      <c r="AW443" s="213"/>
      <c r="AX443" s="213"/>
      <c r="AY443" s="213"/>
      <c r="AZ443" s="213"/>
      <c r="BA443" s="213"/>
      <c r="BB443" s="213"/>
    </row>
    <row r="444" ht="12.75" customHeight="1" outlineLevel="1">
      <c r="A444" s="235"/>
      <c r="B444" s="236"/>
      <c r="C444" s="237" t="s">
        <v>1336</v>
      </c>
      <c r="D444" s="238"/>
      <c r="E444" s="239">
        <v>1.2</v>
      </c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3"/>
      <c r="Z444" s="213"/>
      <c r="AA444" s="213"/>
      <c r="AB444" s="213"/>
      <c r="AC444" s="213"/>
      <c r="AD444" s="213"/>
      <c r="AE444" s="213"/>
      <c r="AF444" s="213"/>
      <c r="AG444" s="213" t="s">
        <v>228</v>
      </c>
      <c r="AH444" s="213">
        <v>0.0</v>
      </c>
      <c r="AI444" s="213"/>
      <c r="AJ444" s="213"/>
      <c r="AK444" s="213"/>
      <c r="AL444" s="213"/>
      <c r="AM444" s="213"/>
      <c r="AN444" s="213"/>
      <c r="AO444" s="213"/>
      <c r="AP444" s="213"/>
      <c r="AQ444" s="213"/>
      <c r="AR444" s="213"/>
      <c r="AS444" s="213"/>
      <c r="AT444" s="213"/>
      <c r="AU444" s="213"/>
      <c r="AV444" s="213"/>
      <c r="AW444" s="213"/>
      <c r="AX444" s="213"/>
      <c r="AY444" s="213"/>
      <c r="AZ444" s="213"/>
      <c r="BA444" s="213"/>
      <c r="BB444" s="213"/>
    </row>
    <row r="445" ht="12.75" customHeight="1" outlineLevel="1">
      <c r="A445" s="214">
        <v>55.0</v>
      </c>
      <c r="B445" s="215" t="s">
        <v>375</v>
      </c>
      <c r="C445" s="216" t="s">
        <v>1337</v>
      </c>
      <c r="D445" s="217" t="s">
        <v>372</v>
      </c>
      <c r="E445" s="218">
        <v>7.0</v>
      </c>
      <c r="F445" s="219">
        <v>11683.4</v>
      </c>
      <c r="G445" s="220">
        <f>ROUND(E445*F445,2)</f>
        <v>81783.8</v>
      </c>
      <c r="H445" s="211"/>
      <c r="I445" s="212">
        <f>ROUND(E445*H445,2)</f>
        <v>0</v>
      </c>
      <c r="J445" s="211"/>
      <c r="K445" s="212">
        <f>ROUND(E445*J445,2)</f>
        <v>0</v>
      </c>
      <c r="L445" s="212">
        <v>21.0</v>
      </c>
      <c r="M445" s="212">
        <f>G445*(1+L445/100)</f>
        <v>98958.398</v>
      </c>
      <c r="N445" s="212">
        <v>0.3</v>
      </c>
      <c r="O445" s="212">
        <f>ROUND(E445*N445,2)</f>
        <v>2.1</v>
      </c>
      <c r="P445" s="212">
        <v>0.0</v>
      </c>
      <c r="Q445" s="212">
        <f>ROUND(E445*P445,2)</f>
        <v>0</v>
      </c>
      <c r="R445" s="212"/>
      <c r="S445" s="212" t="s">
        <v>178</v>
      </c>
      <c r="T445" s="212" t="s">
        <v>179</v>
      </c>
      <c r="U445" s="212">
        <v>0.0</v>
      </c>
      <c r="V445" s="212">
        <f>ROUND(E445*U445,2)</f>
        <v>0</v>
      </c>
      <c r="W445" s="212"/>
      <c r="X445" s="212" t="s">
        <v>225</v>
      </c>
      <c r="Y445" s="213"/>
      <c r="Z445" s="213"/>
      <c r="AA445" s="213"/>
      <c r="AB445" s="213"/>
      <c r="AC445" s="213"/>
      <c r="AD445" s="213"/>
      <c r="AE445" s="213"/>
      <c r="AF445" s="213"/>
      <c r="AG445" s="213" t="s">
        <v>226</v>
      </c>
      <c r="AH445" s="213"/>
      <c r="AI445" s="213"/>
      <c r="AJ445" s="213"/>
      <c r="AK445" s="213"/>
      <c r="AL445" s="213"/>
      <c r="AM445" s="213"/>
      <c r="AN445" s="213"/>
      <c r="AO445" s="213"/>
      <c r="AP445" s="213"/>
      <c r="AQ445" s="213"/>
      <c r="AR445" s="213"/>
      <c r="AS445" s="213"/>
      <c r="AT445" s="213"/>
      <c r="AU445" s="213"/>
      <c r="AV445" s="213"/>
      <c r="AW445" s="213"/>
      <c r="AX445" s="213"/>
      <c r="AY445" s="213"/>
      <c r="AZ445" s="213"/>
      <c r="BA445" s="213"/>
      <c r="BB445" s="213"/>
    </row>
    <row r="446" ht="12.75" customHeight="1" outlineLevel="1">
      <c r="A446" s="235"/>
      <c r="B446" s="236"/>
      <c r="C446" s="237" t="s">
        <v>1338</v>
      </c>
      <c r="D446" s="238"/>
      <c r="E446" s="239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3"/>
      <c r="Z446" s="213"/>
      <c r="AA446" s="213"/>
      <c r="AB446" s="213"/>
      <c r="AC446" s="213"/>
      <c r="AD446" s="213"/>
      <c r="AE446" s="213"/>
      <c r="AF446" s="213"/>
      <c r="AG446" s="213" t="s">
        <v>228</v>
      </c>
      <c r="AH446" s="213">
        <v>0.0</v>
      </c>
      <c r="AI446" s="213"/>
      <c r="AJ446" s="213"/>
      <c r="AK446" s="213"/>
      <c r="AL446" s="213"/>
      <c r="AM446" s="213"/>
      <c r="AN446" s="213"/>
      <c r="AO446" s="213"/>
      <c r="AP446" s="213"/>
      <c r="AQ446" s="213"/>
      <c r="AR446" s="213"/>
      <c r="AS446" s="213"/>
      <c r="AT446" s="213"/>
      <c r="AU446" s="213"/>
      <c r="AV446" s="213"/>
      <c r="AW446" s="213"/>
      <c r="AX446" s="213"/>
      <c r="AY446" s="213"/>
      <c r="AZ446" s="213"/>
      <c r="BA446" s="213"/>
      <c r="BB446" s="213"/>
    </row>
    <row r="447" ht="12.75" customHeight="1" outlineLevel="1">
      <c r="A447" s="235"/>
      <c r="B447" s="236"/>
      <c r="C447" s="237" t="s">
        <v>980</v>
      </c>
      <c r="D447" s="238"/>
      <c r="E447" s="239">
        <v>7.0</v>
      </c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3"/>
      <c r="Z447" s="213"/>
      <c r="AA447" s="213"/>
      <c r="AB447" s="213"/>
      <c r="AC447" s="213"/>
      <c r="AD447" s="213"/>
      <c r="AE447" s="213"/>
      <c r="AF447" s="213"/>
      <c r="AG447" s="213" t="s">
        <v>228</v>
      </c>
      <c r="AH447" s="213">
        <v>0.0</v>
      </c>
      <c r="AI447" s="213"/>
      <c r="AJ447" s="213"/>
      <c r="AK447" s="213"/>
      <c r="AL447" s="213"/>
      <c r="AM447" s="213"/>
      <c r="AN447" s="213"/>
      <c r="AO447" s="213"/>
      <c r="AP447" s="213"/>
      <c r="AQ447" s="213"/>
      <c r="AR447" s="213"/>
      <c r="AS447" s="213"/>
      <c r="AT447" s="213"/>
      <c r="AU447" s="213"/>
      <c r="AV447" s="213"/>
      <c r="AW447" s="213"/>
      <c r="AX447" s="213"/>
      <c r="AY447" s="213"/>
      <c r="AZ447" s="213"/>
      <c r="BA447" s="213"/>
      <c r="BB447" s="213"/>
    </row>
    <row r="448" ht="12.75" customHeight="1" outlineLevel="1">
      <c r="A448" s="214">
        <v>56.0</v>
      </c>
      <c r="B448" s="215" t="s">
        <v>582</v>
      </c>
      <c r="C448" s="216" t="s">
        <v>583</v>
      </c>
      <c r="D448" s="217" t="s">
        <v>372</v>
      </c>
      <c r="E448" s="218">
        <v>24.0</v>
      </c>
      <c r="F448" s="219">
        <v>1002.8</v>
      </c>
      <c r="G448" s="220">
        <f>ROUND(E448*F448,2)</f>
        <v>24067.2</v>
      </c>
      <c r="H448" s="211"/>
      <c r="I448" s="212">
        <f>ROUND(E448*H448,2)</f>
        <v>0</v>
      </c>
      <c r="J448" s="211"/>
      <c r="K448" s="212">
        <f>ROUND(E448*J448,2)</f>
        <v>0</v>
      </c>
      <c r="L448" s="212">
        <v>21.0</v>
      </c>
      <c r="M448" s="212">
        <f>G448*(1+L448/100)</f>
        <v>29121.312</v>
      </c>
      <c r="N448" s="212">
        <v>0.0</v>
      </c>
      <c r="O448" s="212">
        <f>ROUND(E448*N448,2)</f>
        <v>0</v>
      </c>
      <c r="P448" s="212">
        <v>0.0</v>
      </c>
      <c r="Q448" s="212">
        <f>ROUND(E448*P448,2)</f>
        <v>0</v>
      </c>
      <c r="R448" s="212"/>
      <c r="S448" s="212" t="s">
        <v>184</v>
      </c>
      <c r="T448" s="212" t="s">
        <v>184</v>
      </c>
      <c r="U448" s="212">
        <v>1.752</v>
      </c>
      <c r="V448" s="212">
        <f>ROUND(E448*U448,2)</f>
        <v>42.05</v>
      </c>
      <c r="W448" s="212"/>
      <c r="X448" s="212" t="s">
        <v>225</v>
      </c>
      <c r="Y448" s="213"/>
      <c r="Z448" s="213"/>
      <c r="AA448" s="213"/>
      <c r="AB448" s="213"/>
      <c r="AC448" s="213"/>
      <c r="AD448" s="213"/>
      <c r="AE448" s="213"/>
      <c r="AF448" s="213"/>
      <c r="AG448" s="213" t="s">
        <v>226</v>
      </c>
      <c r="AH448" s="213"/>
      <c r="AI448" s="213"/>
      <c r="AJ448" s="213"/>
      <c r="AK448" s="213"/>
      <c r="AL448" s="213"/>
      <c r="AM448" s="213"/>
      <c r="AN448" s="213"/>
      <c r="AO448" s="213"/>
      <c r="AP448" s="213"/>
      <c r="AQ448" s="213"/>
      <c r="AR448" s="213"/>
      <c r="AS448" s="213"/>
      <c r="AT448" s="213"/>
      <c r="AU448" s="213"/>
      <c r="AV448" s="213"/>
      <c r="AW448" s="213"/>
      <c r="AX448" s="213"/>
      <c r="AY448" s="213"/>
      <c r="AZ448" s="213"/>
      <c r="BA448" s="213"/>
      <c r="BB448" s="213"/>
    </row>
    <row r="449" ht="12.75" customHeight="1" outlineLevel="1">
      <c r="A449" s="235"/>
      <c r="B449" s="236"/>
      <c r="C449" s="237" t="s">
        <v>1331</v>
      </c>
      <c r="D449" s="238"/>
      <c r="E449" s="239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3"/>
      <c r="Z449" s="213"/>
      <c r="AA449" s="213"/>
      <c r="AB449" s="213"/>
      <c r="AC449" s="213"/>
      <c r="AD449" s="213"/>
      <c r="AE449" s="213"/>
      <c r="AF449" s="213"/>
      <c r="AG449" s="213" t="s">
        <v>228</v>
      </c>
      <c r="AH449" s="213">
        <v>0.0</v>
      </c>
      <c r="AI449" s="213"/>
      <c r="AJ449" s="213"/>
      <c r="AK449" s="213"/>
      <c r="AL449" s="213"/>
      <c r="AM449" s="213"/>
      <c r="AN449" s="213"/>
      <c r="AO449" s="213"/>
      <c r="AP449" s="213"/>
      <c r="AQ449" s="213"/>
      <c r="AR449" s="213"/>
      <c r="AS449" s="213"/>
      <c r="AT449" s="213"/>
      <c r="AU449" s="213"/>
      <c r="AV449" s="213"/>
      <c r="AW449" s="213"/>
      <c r="AX449" s="213"/>
      <c r="AY449" s="213"/>
      <c r="AZ449" s="213"/>
      <c r="BA449" s="213"/>
      <c r="BB449" s="213"/>
    </row>
    <row r="450" ht="12.75" customHeight="1" outlineLevel="1">
      <c r="A450" s="235"/>
      <c r="B450" s="236"/>
      <c r="C450" s="237" t="s">
        <v>1339</v>
      </c>
      <c r="D450" s="238"/>
      <c r="E450" s="239">
        <v>17.0</v>
      </c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3"/>
      <c r="Z450" s="213"/>
      <c r="AA450" s="213"/>
      <c r="AB450" s="213"/>
      <c r="AC450" s="213"/>
      <c r="AD450" s="213"/>
      <c r="AE450" s="213"/>
      <c r="AF450" s="213"/>
      <c r="AG450" s="213" t="s">
        <v>228</v>
      </c>
      <c r="AH450" s="213">
        <v>0.0</v>
      </c>
      <c r="AI450" s="213"/>
      <c r="AJ450" s="213"/>
      <c r="AK450" s="213"/>
      <c r="AL450" s="213"/>
      <c r="AM450" s="213"/>
      <c r="AN450" s="213"/>
      <c r="AO450" s="213"/>
      <c r="AP450" s="213"/>
      <c r="AQ450" s="213"/>
      <c r="AR450" s="213"/>
      <c r="AS450" s="213"/>
      <c r="AT450" s="213"/>
      <c r="AU450" s="213"/>
      <c r="AV450" s="213"/>
      <c r="AW450" s="213"/>
      <c r="AX450" s="213"/>
      <c r="AY450" s="213"/>
      <c r="AZ450" s="213"/>
      <c r="BA450" s="213"/>
      <c r="BB450" s="213"/>
    </row>
    <row r="451" ht="12.75" customHeight="1" outlineLevel="1">
      <c r="A451" s="235"/>
      <c r="B451" s="236"/>
      <c r="C451" s="237" t="s">
        <v>1333</v>
      </c>
      <c r="D451" s="238"/>
      <c r="E451" s="239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3"/>
      <c r="Z451" s="213"/>
      <c r="AA451" s="213"/>
      <c r="AB451" s="213"/>
      <c r="AC451" s="213"/>
      <c r="AD451" s="213"/>
      <c r="AE451" s="213"/>
      <c r="AF451" s="213"/>
      <c r="AG451" s="213" t="s">
        <v>228</v>
      </c>
      <c r="AH451" s="213">
        <v>0.0</v>
      </c>
      <c r="AI451" s="213"/>
      <c r="AJ451" s="213"/>
      <c r="AK451" s="213"/>
      <c r="AL451" s="213"/>
      <c r="AM451" s="213"/>
      <c r="AN451" s="213"/>
      <c r="AO451" s="213"/>
      <c r="AP451" s="213"/>
      <c r="AQ451" s="213"/>
      <c r="AR451" s="213"/>
      <c r="AS451" s="213"/>
      <c r="AT451" s="213"/>
      <c r="AU451" s="213"/>
      <c r="AV451" s="213"/>
      <c r="AW451" s="213"/>
      <c r="AX451" s="213"/>
      <c r="AY451" s="213"/>
      <c r="AZ451" s="213"/>
      <c r="BA451" s="213"/>
      <c r="BB451" s="213"/>
    </row>
    <row r="452" ht="12.75" customHeight="1" outlineLevel="1">
      <c r="A452" s="235"/>
      <c r="B452" s="236"/>
      <c r="C452" s="237" t="s">
        <v>456</v>
      </c>
      <c r="D452" s="238"/>
      <c r="E452" s="239">
        <v>2.0</v>
      </c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3"/>
      <c r="Z452" s="213"/>
      <c r="AA452" s="213"/>
      <c r="AB452" s="213"/>
      <c r="AC452" s="213"/>
      <c r="AD452" s="213"/>
      <c r="AE452" s="213"/>
      <c r="AF452" s="213"/>
      <c r="AG452" s="213" t="s">
        <v>228</v>
      </c>
      <c r="AH452" s="213">
        <v>0.0</v>
      </c>
      <c r="AI452" s="213"/>
      <c r="AJ452" s="213"/>
      <c r="AK452" s="213"/>
      <c r="AL452" s="213"/>
      <c r="AM452" s="213"/>
      <c r="AN452" s="213"/>
      <c r="AO452" s="213"/>
      <c r="AP452" s="213"/>
      <c r="AQ452" s="213"/>
      <c r="AR452" s="213"/>
      <c r="AS452" s="213"/>
      <c r="AT452" s="213"/>
      <c r="AU452" s="213"/>
      <c r="AV452" s="213"/>
      <c r="AW452" s="213"/>
      <c r="AX452" s="213"/>
      <c r="AY452" s="213"/>
      <c r="AZ452" s="213"/>
      <c r="BA452" s="213"/>
      <c r="BB452" s="213"/>
    </row>
    <row r="453" ht="12.75" customHeight="1" outlineLevel="1">
      <c r="A453" s="235"/>
      <c r="B453" s="236"/>
      <c r="C453" s="237" t="s">
        <v>1194</v>
      </c>
      <c r="D453" s="238"/>
      <c r="E453" s="239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3"/>
      <c r="Z453" s="213"/>
      <c r="AA453" s="213"/>
      <c r="AB453" s="213"/>
      <c r="AC453" s="213"/>
      <c r="AD453" s="213"/>
      <c r="AE453" s="213"/>
      <c r="AF453" s="213"/>
      <c r="AG453" s="213" t="s">
        <v>228</v>
      </c>
      <c r="AH453" s="213">
        <v>0.0</v>
      </c>
      <c r="AI453" s="213"/>
      <c r="AJ453" s="213"/>
      <c r="AK453" s="213"/>
      <c r="AL453" s="213"/>
      <c r="AM453" s="213"/>
      <c r="AN453" s="213"/>
      <c r="AO453" s="213"/>
      <c r="AP453" s="213"/>
      <c r="AQ453" s="213"/>
      <c r="AR453" s="213"/>
      <c r="AS453" s="213"/>
      <c r="AT453" s="213"/>
      <c r="AU453" s="213"/>
      <c r="AV453" s="213"/>
      <c r="AW453" s="213"/>
      <c r="AX453" s="213"/>
      <c r="AY453" s="213"/>
      <c r="AZ453" s="213"/>
      <c r="BA453" s="213"/>
      <c r="BB453" s="213"/>
    </row>
    <row r="454" ht="12.75" customHeight="1" outlineLevel="1">
      <c r="A454" s="235"/>
      <c r="B454" s="236"/>
      <c r="C454" s="237" t="s">
        <v>1340</v>
      </c>
      <c r="D454" s="238"/>
      <c r="E454" s="239">
        <v>5.0</v>
      </c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3"/>
      <c r="Z454" s="213"/>
      <c r="AA454" s="213"/>
      <c r="AB454" s="213"/>
      <c r="AC454" s="213"/>
      <c r="AD454" s="213"/>
      <c r="AE454" s="213"/>
      <c r="AF454" s="213"/>
      <c r="AG454" s="213" t="s">
        <v>228</v>
      </c>
      <c r="AH454" s="213">
        <v>0.0</v>
      </c>
      <c r="AI454" s="213"/>
      <c r="AJ454" s="213"/>
      <c r="AK454" s="213"/>
      <c r="AL454" s="213"/>
      <c r="AM454" s="213"/>
      <c r="AN454" s="213"/>
      <c r="AO454" s="213"/>
      <c r="AP454" s="213"/>
      <c r="AQ454" s="213"/>
      <c r="AR454" s="213"/>
      <c r="AS454" s="213"/>
      <c r="AT454" s="213"/>
      <c r="AU454" s="213"/>
      <c r="AV454" s="213"/>
      <c r="AW454" s="213"/>
      <c r="AX454" s="213"/>
      <c r="AY454" s="213"/>
      <c r="AZ454" s="213"/>
      <c r="BA454" s="213"/>
      <c r="BB454" s="213"/>
    </row>
    <row r="455" ht="12.75" customHeight="1" outlineLevel="1">
      <c r="A455" s="214">
        <v>57.0</v>
      </c>
      <c r="B455" s="215" t="s">
        <v>585</v>
      </c>
      <c r="C455" s="216" t="s">
        <v>586</v>
      </c>
      <c r="D455" s="217" t="s">
        <v>372</v>
      </c>
      <c r="E455" s="218">
        <v>11.0</v>
      </c>
      <c r="F455" s="219">
        <v>1387.0</v>
      </c>
      <c r="G455" s="220">
        <f>ROUND(E455*F455,2)</f>
        <v>15257</v>
      </c>
      <c r="H455" s="211"/>
      <c r="I455" s="212">
        <f>ROUND(E455*H455,2)</f>
        <v>0</v>
      </c>
      <c r="J455" s="211"/>
      <c r="K455" s="212">
        <f>ROUND(E455*J455,2)</f>
        <v>0</v>
      </c>
      <c r="L455" s="212">
        <v>21.0</v>
      </c>
      <c r="M455" s="212">
        <f>G455*(1+L455/100)</f>
        <v>18460.97</v>
      </c>
      <c r="N455" s="212">
        <v>0.00702</v>
      </c>
      <c r="O455" s="212">
        <f>ROUND(E455*N455,2)</f>
        <v>0.08</v>
      </c>
      <c r="P455" s="212">
        <v>0.0</v>
      </c>
      <c r="Q455" s="212">
        <f>ROUND(E455*P455,2)</f>
        <v>0</v>
      </c>
      <c r="R455" s="212"/>
      <c r="S455" s="212" t="s">
        <v>184</v>
      </c>
      <c r="T455" s="212" t="s">
        <v>184</v>
      </c>
      <c r="U455" s="212">
        <v>1.694</v>
      </c>
      <c r="V455" s="212">
        <f>ROUND(E455*U455,2)</f>
        <v>18.63</v>
      </c>
      <c r="W455" s="212"/>
      <c r="X455" s="212" t="s">
        <v>225</v>
      </c>
      <c r="Y455" s="213"/>
      <c r="Z455" s="213"/>
      <c r="AA455" s="213"/>
      <c r="AB455" s="213"/>
      <c r="AC455" s="213"/>
      <c r="AD455" s="213"/>
      <c r="AE455" s="213"/>
      <c r="AF455" s="213"/>
      <c r="AG455" s="213" t="s">
        <v>226</v>
      </c>
      <c r="AH455" s="213"/>
      <c r="AI455" s="213"/>
      <c r="AJ455" s="213"/>
      <c r="AK455" s="213"/>
      <c r="AL455" s="213"/>
      <c r="AM455" s="213"/>
      <c r="AN455" s="213"/>
      <c r="AO455" s="213"/>
      <c r="AP455" s="213"/>
      <c r="AQ455" s="213"/>
      <c r="AR455" s="213"/>
      <c r="AS455" s="213"/>
      <c r="AT455" s="213"/>
      <c r="AU455" s="213"/>
      <c r="AV455" s="213"/>
      <c r="AW455" s="213"/>
      <c r="AX455" s="213"/>
      <c r="AY455" s="213"/>
      <c r="AZ455" s="213"/>
      <c r="BA455" s="213"/>
      <c r="BB455" s="213"/>
    </row>
    <row r="456" ht="12.75" customHeight="1" outlineLevel="1">
      <c r="A456" s="235"/>
      <c r="B456" s="236"/>
      <c r="C456" s="237" t="s">
        <v>1331</v>
      </c>
      <c r="D456" s="238"/>
      <c r="E456" s="239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3"/>
      <c r="Z456" s="213"/>
      <c r="AA456" s="213"/>
      <c r="AB456" s="213"/>
      <c r="AC456" s="213"/>
      <c r="AD456" s="213"/>
      <c r="AE456" s="213"/>
      <c r="AF456" s="213"/>
      <c r="AG456" s="213" t="s">
        <v>228</v>
      </c>
      <c r="AH456" s="213">
        <v>0.0</v>
      </c>
      <c r="AI456" s="213"/>
      <c r="AJ456" s="213"/>
      <c r="AK456" s="213"/>
      <c r="AL456" s="213"/>
      <c r="AM456" s="213"/>
      <c r="AN456" s="213"/>
      <c r="AO456" s="213"/>
      <c r="AP456" s="213"/>
      <c r="AQ456" s="213"/>
      <c r="AR456" s="213"/>
      <c r="AS456" s="213"/>
      <c r="AT456" s="213"/>
      <c r="AU456" s="213"/>
      <c r="AV456" s="213"/>
      <c r="AW456" s="213"/>
      <c r="AX456" s="213"/>
      <c r="AY456" s="213"/>
      <c r="AZ456" s="213"/>
      <c r="BA456" s="213"/>
      <c r="BB456" s="213"/>
    </row>
    <row r="457" ht="12.75" customHeight="1" outlineLevel="1">
      <c r="A457" s="235"/>
      <c r="B457" s="236"/>
      <c r="C457" s="237" t="s">
        <v>248</v>
      </c>
      <c r="D457" s="238"/>
      <c r="E457" s="239">
        <v>6.0</v>
      </c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3"/>
      <c r="Z457" s="213"/>
      <c r="AA457" s="213"/>
      <c r="AB457" s="213"/>
      <c r="AC457" s="213"/>
      <c r="AD457" s="213"/>
      <c r="AE457" s="213"/>
      <c r="AF457" s="213"/>
      <c r="AG457" s="213" t="s">
        <v>228</v>
      </c>
      <c r="AH457" s="213">
        <v>0.0</v>
      </c>
      <c r="AI457" s="213"/>
      <c r="AJ457" s="213"/>
      <c r="AK457" s="213"/>
      <c r="AL457" s="213"/>
      <c r="AM457" s="213"/>
      <c r="AN457" s="213"/>
      <c r="AO457" s="213"/>
      <c r="AP457" s="213"/>
      <c r="AQ457" s="213"/>
      <c r="AR457" s="213"/>
      <c r="AS457" s="213"/>
      <c r="AT457" s="213"/>
      <c r="AU457" s="213"/>
      <c r="AV457" s="213"/>
      <c r="AW457" s="213"/>
      <c r="AX457" s="213"/>
      <c r="AY457" s="213"/>
      <c r="AZ457" s="213"/>
      <c r="BA457" s="213"/>
      <c r="BB457" s="213"/>
    </row>
    <row r="458" ht="12.75" customHeight="1" outlineLevel="1">
      <c r="A458" s="235"/>
      <c r="B458" s="236"/>
      <c r="C458" s="237" t="s">
        <v>1333</v>
      </c>
      <c r="D458" s="238"/>
      <c r="E458" s="239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3"/>
      <c r="Z458" s="213"/>
      <c r="AA458" s="213"/>
      <c r="AB458" s="213"/>
      <c r="AC458" s="213"/>
      <c r="AD458" s="213"/>
      <c r="AE458" s="213"/>
      <c r="AF458" s="213"/>
      <c r="AG458" s="213" t="s">
        <v>228</v>
      </c>
      <c r="AH458" s="213">
        <v>0.0</v>
      </c>
      <c r="AI458" s="213"/>
      <c r="AJ458" s="213"/>
      <c r="AK458" s="213"/>
      <c r="AL458" s="213"/>
      <c r="AM458" s="213"/>
      <c r="AN458" s="213"/>
      <c r="AO458" s="213"/>
      <c r="AP458" s="213"/>
      <c r="AQ458" s="213"/>
      <c r="AR458" s="213"/>
      <c r="AS458" s="213"/>
      <c r="AT458" s="213"/>
      <c r="AU458" s="213"/>
      <c r="AV458" s="213"/>
      <c r="AW458" s="213"/>
      <c r="AX458" s="213"/>
      <c r="AY458" s="213"/>
      <c r="AZ458" s="213"/>
      <c r="BA458" s="213"/>
      <c r="BB458" s="213"/>
    </row>
    <row r="459" ht="12.75" customHeight="1" outlineLevel="1">
      <c r="A459" s="235"/>
      <c r="B459" s="236"/>
      <c r="C459" s="237" t="s">
        <v>456</v>
      </c>
      <c r="D459" s="238"/>
      <c r="E459" s="239">
        <v>2.0</v>
      </c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3"/>
      <c r="Z459" s="213"/>
      <c r="AA459" s="213"/>
      <c r="AB459" s="213"/>
      <c r="AC459" s="213"/>
      <c r="AD459" s="213"/>
      <c r="AE459" s="213"/>
      <c r="AF459" s="213"/>
      <c r="AG459" s="213" t="s">
        <v>228</v>
      </c>
      <c r="AH459" s="213">
        <v>0.0</v>
      </c>
      <c r="AI459" s="213"/>
      <c r="AJ459" s="213"/>
      <c r="AK459" s="213"/>
      <c r="AL459" s="213"/>
      <c r="AM459" s="213"/>
      <c r="AN459" s="213"/>
      <c r="AO459" s="213"/>
      <c r="AP459" s="213"/>
      <c r="AQ459" s="213"/>
      <c r="AR459" s="213"/>
      <c r="AS459" s="213"/>
      <c r="AT459" s="213"/>
      <c r="AU459" s="213"/>
      <c r="AV459" s="213"/>
      <c r="AW459" s="213"/>
      <c r="AX459" s="213"/>
      <c r="AY459" s="213"/>
      <c r="AZ459" s="213"/>
      <c r="BA459" s="213"/>
      <c r="BB459" s="213"/>
    </row>
    <row r="460" ht="12.75" customHeight="1" outlineLevel="1">
      <c r="A460" s="235"/>
      <c r="B460" s="236"/>
      <c r="C460" s="237" t="s">
        <v>1194</v>
      </c>
      <c r="D460" s="238"/>
      <c r="E460" s="239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3"/>
      <c r="Z460" s="213"/>
      <c r="AA460" s="213"/>
      <c r="AB460" s="213"/>
      <c r="AC460" s="213"/>
      <c r="AD460" s="213"/>
      <c r="AE460" s="213"/>
      <c r="AF460" s="213"/>
      <c r="AG460" s="213" t="s">
        <v>228</v>
      </c>
      <c r="AH460" s="213">
        <v>0.0</v>
      </c>
      <c r="AI460" s="213"/>
      <c r="AJ460" s="213"/>
      <c r="AK460" s="213"/>
      <c r="AL460" s="213"/>
      <c r="AM460" s="213"/>
      <c r="AN460" s="213"/>
      <c r="AO460" s="213"/>
      <c r="AP460" s="213"/>
      <c r="AQ460" s="213"/>
      <c r="AR460" s="213"/>
      <c r="AS460" s="213"/>
      <c r="AT460" s="213"/>
      <c r="AU460" s="213"/>
      <c r="AV460" s="213"/>
      <c r="AW460" s="213"/>
      <c r="AX460" s="213"/>
      <c r="AY460" s="213"/>
      <c r="AZ460" s="213"/>
      <c r="BA460" s="213"/>
      <c r="BB460" s="213"/>
    </row>
    <row r="461" ht="12.75" customHeight="1" outlineLevel="1">
      <c r="A461" s="235"/>
      <c r="B461" s="236"/>
      <c r="C461" s="237" t="s">
        <v>459</v>
      </c>
      <c r="D461" s="238"/>
      <c r="E461" s="239">
        <v>3.0</v>
      </c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3"/>
      <c r="Z461" s="213"/>
      <c r="AA461" s="213"/>
      <c r="AB461" s="213"/>
      <c r="AC461" s="213"/>
      <c r="AD461" s="213"/>
      <c r="AE461" s="213"/>
      <c r="AF461" s="213"/>
      <c r="AG461" s="213" t="s">
        <v>228</v>
      </c>
      <c r="AH461" s="213">
        <v>0.0</v>
      </c>
      <c r="AI461" s="213"/>
      <c r="AJ461" s="213"/>
      <c r="AK461" s="213"/>
      <c r="AL461" s="213"/>
      <c r="AM461" s="213"/>
      <c r="AN461" s="213"/>
      <c r="AO461" s="213"/>
      <c r="AP461" s="213"/>
      <c r="AQ461" s="213"/>
      <c r="AR461" s="213"/>
      <c r="AS461" s="213"/>
      <c r="AT461" s="213"/>
      <c r="AU461" s="213"/>
      <c r="AV461" s="213"/>
      <c r="AW461" s="213"/>
      <c r="AX461" s="213"/>
      <c r="AY461" s="213"/>
      <c r="AZ461" s="213"/>
      <c r="BA461" s="213"/>
      <c r="BB461" s="213"/>
    </row>
    <row r="462" ht="12.75" customHeight="1" outlineLevel="1">
      <c r="A462" s="214">
        <v>58.0</v>
      </c>
      <c r="B462" s="215" t="s">
        <v>587</v>
      </c>
      <c r="C462" s="216" t="s">
        <v>588</v>
      </c>
      <c r="D462" s="217" t="s">
        <v>372</v>
      </c>
      <c r="E462" s="218">
        <v>11.0</v>
      </c>
      <c r="F462" s="219">
        <v>4350.5</v>
      </c>
      <c r="G462" s="220">
        <f>ROUND(E462*F462,2)</f>
        <v>47855.5</v>
      </c>
      <c r="H462" s="211"/>
      <c r="I462" s="212">
        <f>ROUND(E462*H462,2)</f>
        <v>0</v>
      </c>
      <c r="J462" s="211"/>
      <c r="K462" s="212">
        <f>ROUND(E462*J462,2)</f>
        <v>0</v>
      </c>
      <c r="L462" s="212">
        <v>21.0</v>
      </c>
      <c r="M462" s="212">
        <f>G462*(1+L462/100)</f>
        <v>57905.155</v>
      </c>
      <c r="N462" s="212">
        <v>0.162</v>
      </c>
      <c r="O462" s="212">
        <f>ROUND(E462*N462,2)</f>
        <v>1.78</v>
      </c>
      <c r="P462" s="212">
        <v>0.0</v>
      </c>
      <c r="Q462" s="212">
        <f>ROUND(E462*P462,2)</f>
        <v>0</v>
      </c>
      <c r="R462" s="212" t="s">
        <v>322</v>
      </c>
      <c r="S462" s="212" t="s">
        <v>184</v>
      </c>
      <c r="T462" s="212" t="s">
        <v>184</v>
      </c>
      <c r="U462" s="212">
        <v>0.0</v>
      </c>
      <c r="V462" s="212">
        <f>ROUND(E462*U462,2)</f>
        <v>0</v>
      </c>
      <c r="W462" s="212"/>
      <c r="X462" s="212" t="s">
        <v>323</v>
      </c>
      <c r="Y462" s="213"/>
      <c r="Z462" s="213"/>
      <c r="AA462" s="213"/>
      <c r="AB462" s="213"/>
      <c r="AC462" s="213"/>
      <c r="AD462" s="213"/>
      <c r="AE462" s="213"/>
      <c r="AF462" s="213"/>
      <c r="AG462" s="213" t="s">
        <v>324</v>
      </c>
      <c r="AH462" s="213"/>
      <c r="AI462" s="213"/>
      <c r="AJ462" s="213"/>
      <c r="AK462" s="213"/>
      <c r="AL462" s="213"/>
      <c r="AM462" s="213"/>
      <c r="AN462" s="213"/>
      <c r="AO462" s="213"/>
      <c r="AP462" s="213"/>
      <c r="AQ462" s="213"/>
      <c r="AR462" s="213"/>
      <c r="AS462" s="213"/>
      <c r="AT462" s="213"/>
      <c r="AU462" s="213"/>
      <c r="AV462" s="213"/>
      <c r="AW462" s="213"/>
      <c r="AX462" s="213"/>
      <c r="AY462" s="213"/>
      <c r="AZ462" s="213"/>
      <c r="BA462" s="213"/>
      <c r="BB462" s="213"/>
    </row>
    <row r="463" ht="12.75" customHeight="1" outlineLevel="1">
      <c r="A463" s="235"/>
      <c r="B463" s="236"/>
      <c r="C463" s="237" t="s">
        <v>589</v>
      </c>
      <c r="D463" s="238"/>
      <c r="E463" s="239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3"/>
      <c r="Z463" s="213"/>
      <c r="AA463" s="213"/>
      <c r="AB463" s="213"/>
      <c r="AC463" s="213"/>
      <c r="AD463" s="213"/>
      <c r="AE463" s="213"/>
      <c r="AF463" s="213"/>
      <c r="AG463" s="213" t="s">
        <v>228</v>
      </c>
      <c r="AH463" s="213">
        <v>0.0</v>
      </c>
      <c r="AI463" s="213"/>
      <c r="AJ463" s="213"/>
      <c r="AK463" s="213"/>
      <c r="AL463" s="213"/>
      <c r="AM463" s="213"/>
      <c r="AN463" s="213"/>
      <c r="AO463" s="213"/>
      <c r="AP463" s="213"/>
      <c r="AQ463" s="213"/>
      <c r="AR463" s="213"/>
      <c r="AS463" s="213"/>
      <c r="AT463" s="213"/>
      <c r="AU463" s="213"/>
      <c r="AV463" s="213"/>
      <c r="AW463" s="213"/>
      <c r="AX463" s="213"/>
      <c r="AY463" s="213"/>
      <c r="AZ463" s="213"/>
      <c r="BA463" s="213"/>
      <c r="BB463" s="213"/>
    </row>
    <row r="464" ht="12.75" customHeight="1" outlineLevel="1">
      <c r="A464" s="235"/>
      <c r="B464" s="236"/>
      <c r="C464" s="237" t="s">
        <v>1331</v>
      </c>
      <c r="D464" s="238"/>
      <c r="E464" s="239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3"/>
      <c r="Z464" s="213"/>
      <c r="AA464" s="213"/>
      <c r="AB464" s="213"/>
      <c r="AC464" s="213"/>
      <c r="AD464" s="213"/>
      <c r="AE464" s="213"/>
      <c r="AF464" s="213"/>
      <c r="AG464" s="213" t="s">
        <v>228</v>
      </c>
      <c r="AH464" s="213">
        <v>0.0</v>
      </c>
      <c r="AI464" s="213"/>
      <c r="AJ464" s="213"/>
      <c r="AK464" s="213"/>
      <c r="AL464" s="213"/>
      <c r="AM464" s="213"/>
      <c r="AN464" s="213"/>
      <c r="AO464" s="213"/>
      <c r="AP464" s="213"/>
      <c r="AQ464" s="213"/>
      <c r="AR464" s="213"/>
      <c r="AS464" s="213"/>
      <c r="AT464" s="213"/>
      <c r="AU464" s="213"/>
      <c r="AV464" s="213"/>
      <c r="AW464" s="213"/>
      <c r="AX464" s="213"/>
      <c r="AY464" s="213"/>
      <c r="AZ464" s="213"/>
      <c r="BA464" s="213"/>
      <c r="BB464" s="213"/>
    </row>
    <row r="465" ht="12.75" customHeight="1" outlineLevel="1">
      <c r="A465" s="235"/>
      <c r="B465" s="236"/>
      <c r="C465" s="237" t="s">
        <v>248</v>
      </c>
      <c r="D465" s="238"/>
      <c r="E465" s="239">
        <v>6.0</v>
      </c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3"/>
      <c r="Z465" s="213"/>
      <c r="AA465" s="213"/>
      <c r="AB465" s="213"/>
      <c r="AC465" s="213"/>
      <c r="AD465" s="213"/>
      <c r="AE465" s="213"/>
      <c r="AF465" s="213"/>
      <c r="AG465" s="213" t="s">
        <v>228</v>
      </c>
      <c r="AH465" s="213">
        <v>0.0</v>
      </c>
      <c r="AI465" s="213"/>
      <c r="AJ465" s="213"/>
      <c r="AK465" s="213"/>
      <c r="AL465" s="213"/>
      <c r="AM465" s="213"/>
      <c r="AN465" s="213"/>
      <c r="AO465" s="213"/>
      <c r="AP465" s="213"/>
      <c r="AQ465" s="213"/>
      <c r="AR465" s="213"/>
      <c r="AS465" s="213"/>
      <c r="AT465" s="213"/>
      <c r="AU465" s="213"/>
      <c r="AV465" s="213"/>
      <c r="AW465" s="213"/>
      <c r="AX465" s="213"/>
      <c r="AY465" s="213"/>
      <c r="AZ465" s="213"/>
      <c r="BA465" s="213"/>
      <c r="BB465" s="213"/>
    </row>
    <row r="466" ht="12.75" customHeight="1" outlineLevel="1">
      <c r="A466" s="235"/>
      <c r="B466" s="236"/>
      <c r="C466" s="237" t="s">
        <v>1333</v>
      </c>
      <c r="D466" s="238"/>
      <c r="E466" s="239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3"/>
      <c r="Z466" s="213"/>
      <c r="AA466" s="213"/>
      <c r="AB466" s="213"/>
      <c r="AC466" s="213"/>
      <c r="AD466" s="213"/>
      <c r="AE466" s="213"/>
      <c r="AF466" s="213"/>
      <c r="AG466" s="213" t="s">
        <v>228</v>
      </c>
      <c r="AH466" s="213">
        <v>0.0</v>
      </c>
      <c r="AI466" s="213"/>
      <c r="AJ466" s="213"/>
      <c r="AK466" s="213"/>
      <c r="AL466" s="213"/>
      <c r="AM466" s="213"/>
      <c r="AN466" s="213"/>
      <c r="AO466" s="213"/>
      <c r="AP466" s="213"/>
      <c r="AQ466" s="213"/>
      <c r="AR466" s="213"/>
      <c r="AS466" s="213"/>
      <c r="AT466" s="213"/>
      <c r="AU466" s="213"/>
      <c r="AV466" s="213"/>
      <c r="AW466" s="213"/>
      <c r="AX466" s="213"/>
      <c r="AY466" s="213"/>
      <c r="AZ466" s="213"/>
      <c r="BA466" s="213"/>
      <c r="BB466" s="213"/>
    </row>
    <row r="467" ht="12.75" customHeight="1" outlineLevel="1">
      <c r="A467" s="235"/>
      <c r="B467" s="236"/>
      <c r="C467" s="237" t="s">
        <v>456</v>
      </c>
      <c r="D467" s="238"/>
      <c r="E467" s="239">
        <v>2.0</v>
      </c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3"/>
      <c r="Z467" s="213"/>
      <c r="AA467" s="213"/>
      <c r="AB467" s="213"/>
      <c r="AC467" s="213"/>
      <c r="AD467" s="213"/>
      <c r="AE467" s="213"/>
      <c r="AF467" s="213"/>
      <c r="AG467" s="213" t="s">
        <v>228</v>
      </c>
      <c r="AH467" s="213">
        <v>0.0</v>
      </c>
      <c r="AI467" s="213"/>
      <c r="AJ467" s="213"/>
      <c r="AK467" s="213"/>
      <c r="AL467" s="213"/>
      <c r="AM467" s="213"/>
      <c r="AN467" s="213"/>
      <c r="AO467" s="213"/>
      <c r="AP467" s="213"/>
      <c r="AQ467" s="213"/>
      <c r="AR467" s="213"/>
      <c r="AS467" s="213"/>
      <c r="AT467" s="213"/>
      <c r="AU467" s="213"/>
      <c r="AV467" s="213"/>
      <c r="AW467" s="213"/>
      <c r="AX467" s="213"/>
      <c r="AY467" s="213"/>
      <c r="AZ467" s="213"/>
      <c r="BA467" s="213"/>
      <c r="BB467" s="213"/>
    </row>
    <row r="468" ht="12.75" customHeight="1" outlineLevel="1">
      <c r="A468" s="235"/>
      <c r="B468" s="236"/>
      <c r="C468" s="237" t="s">
        <v>1194</v>
      </c>
      <c r="D468" s="238"/>
      <c r="E468" s="239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3"/>
      <c r="Z468" s="213"/>
      <c r="AA468" s="213"/>
      <c r="AB468" s="213"/>
      <c r="AC468" s="213"/>
      <c r="AD468" s="213"/>
      <c r="AE468" s="213"/>
      <c r="AF468" s="213"/>
      <c r="AG468" s="213" t="s">
        <v>228</v>
      </c>
      <c r="AH468" s="213">
        <v>0.0</v>
      </c>
      <c r="AI468" s="213"/>
      <c r="AJ468" s="213"/>
      <c r="AK468" s="213"/>
      <c r="AL468" s="213"/>
      <c r="AM468" s="213"/>
      <c r="AN468" s="213"/>
      <c r="AO468" s="213"/>
      <c r="AP468" s="213"/>
      <c r="AQ468" s="213"/>
      <c r="AR468" s="213"/>
      <c r="AS468" s="213"/>
      <c r="AT468" s="213"/>
      <c r="AU468" s="213"/>
      <c r="AV468" s="213"/>
      <c r="AW468" s="213"/>
      <c r="AX468" s="213"/>
      <c r="AY468" s="213"/>
      <c r="AZ468" s="213"/>
      <c r="BA468" s="213"/>
      <c r="BB468" s="213"/>
    </row>
    <row r="469" ht="12.75" customHeight="1" outlineLevel="1">
      <c r="A469" s="235"/>
      <c r="B469" s="236"/>
      <c r="C469" s="237" t="s">
        <v>459</v>
      </c>
      <c r="D469" s="238"/>
      <c r="E469" s="239">
        <v>3.0</v>
      </c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3"/>
      <c r="Z469" s="213"/>
      <c r="AA469" s="213"/>
      <c r="AB469" s="213"/>
      <c r="AC469" s="213"/>
      <c r="AD469" s="213"/>
      <c r="AE469" s="213"/>
      <c r="AF469" s="213"/>
      <c r="AG469" s="213" t="s">
        <v>228</v>
      </c>
      <c r="AH469" s="213">
        <v>0.0</v>
      </c>
      <c r="AI469" s="213"/>
      <c r="AJ469" s="213"/>
      <c r="AK469" s="213"/>
      <c r="AL469" s="213"/>
      <c r="AM469" s="213"/>
      <c r="AN469" s="213"/>
      <c r="AO469" s="213"/>
      <c r="AP469" s="213"/>
      <c r="AQ469" s="213"/>
      <c r="AR469" s="213"/>
      <c r="AS469" s="213"/>
      <c r="AT469" s="213"/>
      <c r="AU469" s="213"/>
      <c r="AV469" s="213"/>
      <c r="AW469" s="213"/>
      <c r="AX469" s="213"/>
      <c r="AY469" s="213"/>
      <c r="AZ469" s="213"/>
      <c r="BA469" s="213"/>
      <c r="BB469" s="213"/>
    </row>
    <row r="470" ht="12.75" customHeight="1" outlineLevel="1">
      <c r="A470" s="214">
        <v>59.0</v>
      </c>
      <c r="B470" s="215" t="s">
        <v>1341</v>
      </c>
      <c r="C470" s="216" t="s">
        <v>1342</v>
      </c>
      <c r="D470" s="217" t="s">
        <v>372</v>
      </c>
      <c r="E470" s="218">
        <v>5.0</v>
      </c>
      <c r="F470" s="219">
        <v>231.4</v>
      </c>
      <c r="G470" s="220">
        <f>ROUND(E470*F470,2)</f>
        <v>1157</v>
      </c>
      <c r="H470" s="211"/>
      <c r="I470" s="212">
        <f>ROUND(E470*H470,2)</f>
        <v>0</v>
      </c>
      <c r="J470" s="211"/>
      <c r="K470" s="212">
        <f>ROUND(E470*J470,2)</f>
        <v>0</v>
      </c>
      <c r="L470" s="212">
        <v>21.0</v>
      </c>
      <c r="M470" s="212">
        <f>G470*(1+L470/100)</f>
        <v>1399.97</v>
      </c>
      <c r="N470" s="212">
        <v>0.024</v>
      </c>
      <c r="O470" s="212">
        <f>ROUND(E470*N470,2)</f>
        <v>0.12</v>
      </c>
      <c r="P470" s="212">
        <v>0.0</v>
      </c>
      <c r="Q470" s="212">
        <f>ROUND(E470*P470,2)</f>
        <v>0</v>
      </c>
      <c r="R470" s="212" t="s">
        <v>322</v>
      </c>
      <c r="S470" s="212" t="s">
        <v>184</v>
      </c>
      <c r="T470" s="212" t="s">
        <v>184</v>
      </c>
      <c r="U470" s="212">
        <v>0.0</v>
      </c>
      <c r="V470" s="212">
        <f>ROUND(E470*U470,2)</f>
        <v>0</v>
      </c>
      <c r="W470" s="212"/>
      <c r="X470" s="212" t="s">
        <v>323</v>
      </c>
      <c r="Y470" s="213"/>
      <c r="Z470" s="213"/>
      <c r="AA470" s="213"/>
      <c r="AB470" s="213"/>
      <c r="AC470" s="213"/>
      <c r="AD470" s="213"/>
      <c r="AE470" s="213"/>
      <c r="AF470" s="213"/>
      <c r="AG470" s="213" t="s">
        <v>1094</v>
      </c>
      <c r="AH470" s="213"/>
      <c r="AI470" s="213"/>
      <c r="AJ470" s="213"/>
      <c r="AK470" s="213"/>
      <c r="AL470" s="213"/>
      <c r="AM470" s="213"/>
      <c r="AN470" s="213"/>
      <c r="AO470" s="213"/>
      <c r="AP470" s="213"/>
      <c r="AQ470" s="213"/>
      <c r="AR470" s="213"/>
      <c r="AS470" s="213"/>
      <c r="AT470" s="213"/>
      <c r="AU470" s="213"/>
      <c r="AV470" s="213"/>
      <c r="AW470" s="213"/>
      <c r="AX470" s="213"/>
      <c r="AY470" s="213"/>
      <c r="AZ470" s="213"/>
      <c r="BA470" s="213"/>
      <c r="BB470" s="213"/>
    </row>
    <row r="471" ht="12.75" customHeight="1" outlineLevel="1">
      <c r="A471" s="235"/>
      <c r="B471" s="236"/>
      <c r="C471" s="237" t="s">
        <v>1331</v>
      </c>
      <c r="D471" s="238"/>
      <c r="E471" s="239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3"/>
      <c r="Z471" s="213"/>
      <c r="AA471" s="213"/>
      <c r="AB471" s="213"/>
      <c r="AC471" s="213"/>
      <c r="AD471" s="213"/>
      <c r="AE471" s="213"/>
      <c r="AF471" s="213"/>
      <c r="AG471" s="213" t="s">
        <v>228</v>
      </c>
      <c r="AH471" s="213">
        <v>0.0</v>
      </c>
      <c r="AI471" s="213"/>
      <c r="AJ471" s="213"/>
      <c r="AK471" s="213"/>
      <c r="AL471" s="213"/>
      <c r="AM471" s="213"/>
      <c r="AN471" s="213"/>
      <c r="AO471" s="213"/>
      <c r="AP471" s="213"/>
      <c r="AQ471" s="213"/>
      <c r="AR471" s="213"/>
      <c r="AS471" s="213"/>
      <c r="AT471" s="213"/>
      <c r="AU471" s="213"/>
      <c r="AV471" s="213"/>
      <c r="AW471" s="213"/>
      <c r="AX471" s="213"/>
      <c r="AY471" s="213"/>
      <c r="AZ471" s="213"/>
      <c r="BA471" s="213"/>
      <c r="BB471" s="213"/>
    </row>
    <row r="472" ht="12.75" customHeight="1" outlineLevel="1">
      <c r="A472" s="235"/>
      <c r="B472" s="236"/>
      <c r="C472" s="237" t="s">
        <v>456</v>
      </c>
      <c r="D472" s="238"/>
      <c r="E472" s="239">
        <v>2.0</v>
      </c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3"/>
      <c r="Z472" s="213"/>
      <c r="AA472" s="213"/>
      <c r="AB472" s="213"/>
      <c r="AC472" s="213"/>
      <c r="AD472" s="213"/>
      <c r="AE472" s="213"/>
      <c r="AF472" s="213"/>
      <c r="AG472" s="213" t="s">
        <v>228</v>
      </c>
      <c r="AH472" s="213">
        <v>0.0</v>
      </c>
      <c r="AI472" s="213"/>
      <c r="AJ472" s="213"/>
      <c r="AK472" s="213"/>
      <c r="AL472" s="213"/>
      <c r="AM472" s="213"/>
      <c r="AN472" s="213"/>
      <c r="AO472" s="213"/>
      <c r="AP472" s="213"/>
      <c r="AQ472" s="213"/>
      <c r="AR472" s="213"/>
      <c r="AS472" s="213"/>
      <c r="AT472" s="213"/>
      <c r="AU472" s="213"/>
      <c r="AV472" s="213"/>
      <c r="AW472" s="213"/>
      <c r="AX472" s="213"/>
      <c r="AY472" s="213"/>
      <c r="AZ472" s="213"/>
      <c r="BA472" s="213"/>
      <c r="BB472" s="213"/>
    </row>
    <row r="473" ht="12.75" customHeight="1" outlineLevel="1">
      <c r="A473" s="235"/>
      <c r="B473" s="236"/>
      <c r="C473" s="237" t="s">
        <v>1333</v>
      </c>
      <c r="D473" s="238"/>
      <c r="E473" s="239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3"/>
      <c r="Z473" s="213"/>
      <c r="AA473" s="213"/>
      <c r="AB473" s="213"/>
      <c r="AC473" s="213"/>
      <c r="AD473" s="213"/>
      <c r="AE473" s="213"/>
      <c r="AF473" s="213"/>
      <c r="AG473" s="213" t="s">
        <v>228</v>
      </c>
      <c r="AH473" s="213">
        <v>0.0</v>
      </c>
      <c r="AI473" s="213"/>
      <c r="AJ473" s="213"/>
      <c r="AK473" s="213"/>
      <c r="AL473" s="213"/>
      <c r="AM473" s="213"/>
      <c r="AN473" s="213"/>
      <c r="AO473" s="213"/>
      <c r="AP473" s="213"/>
      <c r="AQ473" s="213"/>
      <c r="AR473" s="213"/>
      <c r="AS473" s="213"/>
      <c r="AT473" s="213"/>
      <c r="AU473" s="213"/>
      <c r="AV473" s="213"/>
      <c r="AW473" s="213"/>
      <c r="AX473" s="213"/>
      <c r="AY473" s="213"/>
      <c r="AZ473" s="213"/>
      <c r="BA473" s="213"/>
      <c r="BB473" s="213"/>
    </row>
    <row r="474" ht="12.75" customHeight="1" outlineLevel="1">
      <c r="A474" s="235"/>
      <c r="B474" s="236"/>
      <c r="C474" s="237" t="s">
        <v>456</v>
      </c>
      <c r="D474" s="238"/>
      <c r="E474" s="239">
        <v>2.0</v>
      </c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3"/>
      <c r="Z474" s="213"/>
      <c r="AA474" s="213"/>
      <c r="AB474" s="213"/>
      <c r="AC474" s="213"/>
      <c r="AD474" s="213"/>
      <c r="AE474" s="213"/>
      <c r="AF474" s="213"/>
      <c r="AG474" s="213" t="s">
        <v>228</v>
      </c>
      <c r="AH474" s="213">
        <v>0.0</v>
      </c>
      <c r="AI474" s="213"/>
      <c r="AJ474" s="213"/>
      <c r="AK474" s="213"/>
      <c r="AL474" s="213"/>
      <c r="AM474" s="213"/>
      <c r="AN474" s="213"/>
      <c r="AO474" s="213"/>
      <c r="AP474" s="213"/>
      <c r="AQ474" s="213"/>
      <c r="AR474" s="213"/>
      <c r="AS474" s="213"/>
      <c r="AT474" s="213"/>
      <c r="AU474" s="213"/>
      <c r="AV474" s="213"/>
      <c r="AW474" s="213"/>
      <c r="AX474" s="213"/>
      <c r="AY474" s="213"/>
      <c r="AZ474" s="213"/>
      <c r="BA474" s="213"/>
      <c r="BB474" s="213"/>
    </row>
    <row r="475" ht="12.75" customHeight="1" outlineLevel="1">
      <c r="A475" s="235"/>
      <c r="B475" s="236"/>
      <c r="C475" s="237" t="s">
        <v>1194</v>
      </c>
      <c r="D475" s="238"/>
      <c r="E475" s="239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3"/>
      <c r="Z475" s="213"/>
      <c r="AA475" s="213"/>
      <c r="AB475" s="213"/>
      <c r="AC475" s="213"/>
      <c r="AD475" s="213"/>
      <c r="AE475" s="213"/>
      <c r="AF475" s="213"/>
      <c r="AG475" s="213" t="s">
        <v>228</v>
      </c>
      <c r="AH475" s="213">
        <v>0.0</v>
      </c>
      <c r="AI475" s="213"/>
      <c r="AJ475" s="213"/>
      <c r="AK475" s="213"/>
      <c r="AL475" s="213"/>
      <c r="AM475" s="213"/>
      <c r="AN475" s="213"/>
      <c r="AO475" s="213"/>
      <c r="AP475" s="213"/>
      <c r="AQ475" s="213"/>
      <c r="AR475" s="213"/>
      <c r="AS475" s="213"/>
      <c r="AT475" s="213"/>
      <c r="AU475" s="213"/>
      <c r="AV475" s="213"/>
      <c r="AW475" s="213"/>
      <c r="AX475" s="213"/>
      <c r="AY475" s="213"/>
      <c r="AZ475" s="213"/>
      <c r="BA475" s="213"/>
      <c r="BB475" s="213"/>
    </row>
    <row r="476" ht="12.75" customHeight="1" outlineLevel="1">
      <c r="A476" s="235"/>
      <c r="B476" s="236"/>
      <c r="C476" s="237" t="s">
        <v>374</v>
      </c>
      <c r="D476" s="238"/>
      <c r="E476" s="239">
        <v>1.0</v>
      </c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3"/>
      <c r="Z476" s="213"/>
      <c r="AA476" s="213"/>
      <c r="AB476" s="213"/>
      <c r="AC476" s="213"/>
      <c r="AD476" s="213"/>
      <c r="AE476" s="213"/>
      <c r="AF476" s="213"/>
      <c r="AG476" s="213" t="s">
        <v>228</v>
      </c>
      <c r="AH476" s="213">
        <v>0.0</v>
      </c>
      <c r="AI476" s="213"/>
      <c r="AJ476" s="213"/>
      <c r="AK476" s="213"/>
      <c r="AL476" s="213"/>
      <c r="AM476" s="213"/>
      <c r="AN476" s="213"/>
      <c r="AO476" s="213"/>
      <c r="AP476" s="213"/>
      <c r="AQ476" s="213"/>
      <c r="AR476" s="213"/>
      <c r="AS476" s="213"/>
      <c r="AT476" s="213"/>
      <c r="AU476" s="213"/>
      <c r="AV476" s="213"/>
      <c r="AW476" s="213"/>
      <c r="AX476" s="213"/>
      <c r="AY476" s="213"/>
      <c r="AZ476" s="213"/>
      <c r="BA476" s="213"/>
      <c r="BB476" s="213"/>
    </row>
    <row r="477" ht="12.75" customHeight="1" outlineLevel="1">
      <c r="A477" s="204">
        <v>60.0</v>
      </c>
      <c r="B477" s="205" t="s">
        <v>1343</v>
      </c>
      <c r="C477" s="206" t="s">
        <v>1344</v>
      </c>
      <c r="D477" s="207" t="s">
        <v>372</v>
      </c>
      <c r="E477" s="208">
        <v>3.0</v>
      </c>
      <c r="F477" s="209">
        <v>231.7</v>
      </c>
      <c r="G477" s="210">
        <f t="shared" ref="G477:G479" si="15">ROUND(E477*F477,2)</f>
        <v>695.1</v>
      </c>
      <c r="H477" s="211"/>
      <c r="I477" s="212">
        <f t="shared" ref="I477:I479" si="16">ROUND(E477*H477,2)</f>
        <v>0</v>
      </c>
      <c r="J477" s="211"/>
      <c r="K477" s="212">
        <f t="shared" ref="K477:K479" si="17">ROUND(E477*J477,2)</f>
        <v>0</v>
      </c>
      <c r="L477" s="212">
        <v>21.0</v>
      </c>
      <c r="M477" s="212">
        <f t="shared" ref="M477:M479" si="18">G477*(1+L477/100)</f>
        <v>841.071</v>
      </c>
      <c r="N477" s="212">
        <v>0.039</v>
      </c>
      <c r="O477" s="212">
        <f t="shared" ref="O477:O479" si="19">ROUND(E477*N477,2)</f>
        <v>0.12</v>
      </c>
      <c r="P477" s="212">
        <v>0.0</v>
      </c>
      <c r="Q477" s="212">
        <f t="shared" ref="Q477:Q479" si="20">ROUND(E477*P477,2)</f>
        <v>0</v>
      </c>
      <c r="R477" s="212" t="s">
        <v>322</v>
      </c>
      <c r="S477" s="212" t="s">
        <v>184</v>
      </c>
      <c r="T477" s="212" t="s">
        <v>184</v>
      </c>
      <c r="U477" s="212">
        <v>0.0</v>
      </c>
      <c r="V477" s="212">
        <f t="shared" ref="V477:V479" si="21">ROUND(E477*U477,2)</f>
        <v>0</v>
      </c>
      <c r="W477" s="212"/>
      <c r="X477" s="212" t="s">
        <v>323</v>
      </c>
      <c r="Y477" s="213"/>
      <c r="Z477" s="213"/>
      <c r="AA477" s="213"/>
      <c r="AB477" s="213"/>
      <c r="AC477" s="213"/>
      <c r="AD477" s="213"/>
      <c r="AE477" s="213"/>
      <c r="AF477" s="213"/>
      <c r="AG477" s="213" t="s">
        <v>1094</v>
      </c>
      <c r="AH477" s="213"/>
      <c r="AI477" s="213"/>
      <c r="AJ477" s="213"/>
      <c r="AK477" s="213"/>
      <c r="AL477" s="213"/>
      <c r="AM477" s="213"/>
      <c r="AN477" s="213"/>
      <c r="AO477" s="213"/>
      <c r="AP477" s="213"/>
      <c r="AQ477" s="213"/>
      <c r="AR477" s="213"/>
      <c r="AS477" s="213"/>
      <c r="AT477" s="213"/>
      <c r="AU477" s="213"/>
      <c r="AV477" s="213"/>
      <c r="AW477" s="213"/>
      <c r="AX477" s="213"/>
      <c r="AY477" s="213"/>
      <c r="AZ477" s="213"/>
      <c r="BA477" s="213"/>
      <c r="BB477" s="213"/>
    </row>
    <row r="478" ht="12.75" customHeight="1" outlineLevel="1">
      <c r="A478" s="204">
        <v>61.0</v>
      </c>
      <c r="B478" s="205" t="s">
        <v>1092</v>
      </c>
      <c r="C478" s="206" t="s">
        <v>1093</v>
      </c>
      <c r="D478" s="207" t="s">
        <v>372</v>
      </c>
      <c r="E478" s="208">
        <v>2.0</v>
      </c>
      <c r="F478" s="209">
        <v>258.0</v>
      </c>
      <c r="G478" s="210">
        <f t="shared" si="15"/>
        <v>516</v>
      </c>
      <c r="H478" s="211"/>
      <c r="I478" s="212">
        <f t="shared" si="16"/>
        <v>0</v>
      </c>
      <c r="J478" s="211"/>
      <c r="K478" s="212">
        <f t="shared" si="17"/>
        <v>0</v>
      </c>
      <c r="L478" s="212">
        <v>21.0</v>
      </c>
      <c r="M478" s="212">
        <f t="shared" si="18"/>
        <v>624.36</v>
      </c>
      <c r="N478" s="212">
        <v>0.051</v>
      </c>
      <c r="O478" s="212">
        <f t="shared" si="19"/>
        <v>0.1</v>
      </c>
      <c r="P478" s="212">
        <v>0.0</v>
      </c>
      <c r="Q478" s="212">
        <f t="shared" si="20"/>
        <v>0</v>
      </c>
      <c r="R478" s="212" t="s">
        <v>322</v>
      </c>
      <c r="S478" s="212" t="s">
        <v>184</v>
      </c>
      <c r="T478" s="212" t="s">
        <v>184</v>
      </c>
      <c r="U478" s="212">
        <v>0.0</v>
      </c>
      <c r="V478" s="212">
        <f t="shared" si="21"/>
        <v>0</v>
      </c>
      <c r="W478" s="212"/>
      <c r="X478" s="212" t="s">
        <v>323</v>
      </c>
      <c r="Y478" s="213"/>
      <c r="Z478" s="213"/>
      <c r="AA478" s="213"/>
      <c r="AB478" s="213"/>
      <c r="AC478" s="213"/>
      <c r="AD478" s="213"/>
      <c r="AE478" s="213"/>
      <c r="AF478" s="213"/>
      <c r="AG478" s="213" t="s">
        <v>1094</v>
      </c>
      <c r="AH478" s="213"/>
      <c r="AI478" s="213"/>
      <c r="AJ478" s="213"/>
      <c r="AK478" s="213"/>
      <c r="AL478" s="213"/>
      <c r="AM478" s="213"/>
      <c r="AN478" s="213"/>
      <c r="AO478" s="213"/>
      <c r="AP478" s="213"/>
      <c r="AQ478" s="213"/>
      <c r="AR478" s="213"/>
      <c r="AS478" s="213"/>
      <c r="AT478" s="213"/>
      <c r="AU478" s="213"/>
      <c r="AV478" s="213"/>
      <c r="AW478" s="213"/>
      <c r="AX478" s="213"/>
      <c r="AY478" s="213"/>
      <c r="AZ478" s="213"/>
      <c r="BA478" s="213"/>
      <c r="BB478" s="213"/>
    </row>
    <row r="479" ht="12.75" customHeight="1" outlineLevel="1">
      <c r="A479" s="214">
        <v>62.0</v>
      </c>
      <c r="B479" s="215" t="s">
        <v>1095</v>
      </c>
      <c r="C479" s="216" t="s">
        <v>1096</v>
      </c>
      <c r="D479" s="217" t="s">
        <v>372</v>
      </c>
      <c r="E479" s="218">
        <v>3.0</v>
      </c>
      <c r="F479" s="219">
        <v>230.0</v>
      </c>
      <c r="G479" s="220">
        <f t="shared" si="15"/>
        <v>690</v>
      </c>
      <c r="H479" s="211"/>
      <c r="I479" s="212">
        <f t="shared" si="16"/>
        <v>0</v>
      </c>
      <c r="J479" s="211"/>
      <c r="K479" s="212">
        <f t="shared" si="17"/>
        <v>0</v>
      </c>
      <c r="L479" s="212">
        <v>21.0</v>
      </c>
      <c r="M479" s="212">
        <f t="shared" si="18"/>
        <v>834.9</v>
      </c>
      <c r="N479" s="212">
        <v>0.068</v>
      </c>
      <c r="O479" s="212">
        <f t="shared" si="19"/>
        <v>0.2</v>
      </c>
      <c r="P479" s="212">
        <v>0.0</v>
      </c>
      <c r="Q479" s="212">
        <f t="shared" si="20"/>
        <v>0</v>
      </c>
      <c r="R479" s="212" t="s">
        <v>322</v>
      </c>
      <c r="S479" s="212" t="s">
        <v>184</v>
      </c>
      <c r="T479" s="212" t="s">
        <v>184</v>
      </c>
      <c r="U479" s="212">
        <v>0.0</v>
      </c>
      <c r="V479" s="212">
        <f t="shared" si="21"/>
        <v>0</v>
      </c>
      <c r="W479" s="212"/>
      <c r="X479" s="212" t="s">
        <v>323</v>
      </c>
      <c r="Y479" s="213"/>
      <c r="Z479" s="213"/>
      <c r="AA479" s="213"/>
      <c r="AB479" s="213"/>
      <c r="AC479" s="213"/>
      <c r="AD479" s="213"/>
      <c r="AE479" s="213"/>
      <c r="AF479" s="213"/>
      <c r="AG479" s="213" t="s">
        <v>1094</v>
      </c>
      <c r="AH479" s="213"/>
      <c r="AI479" s="213"/>
      <c r="AJ479" s="213"/>
      <c r="AK479" s="213"/>
      <c r="AL479" s="213"/>
      <c r="AM479" s="213"/>
      <c r="AN479" s="213"/>
      <c r="AO479" s="213"/>
      <c r="AP479" s="213"/>
      <c r="AQ479" s="213"/>
      <c r="AR479" s="213"/>
      <c r="AS479" s="213"/>
      <c r="AT479" s="213"/>
      <c r="AU479" s="213"/>
      <c r="AV479" s="213"/>
      <c r="AW479" s="213"/>
      <c r="AX479" s="213"/>
      <c r="AY479" s="213"/>
      <c r="AZ479" s="213"/>
      <c r="BA479" s="213"/>
      <c r="BB479" s="213"/>
    </row>
    <row r="480" ht="12.75" customHeight="1" outlineLevel="1">
      <c r="A480" s="235"/>
      <c r="B480" s="236"/>
      <c r="C480" s="237" t="s">
        <v>1331</v>
      </c>
      <c r="D480" s="238"/>
      <c r="E480" s="239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3"/>
      <c r="Z480" s="213"/>
      <c r="AA480" s="213"/>
      <c r="AB480" s="213"/>
      <c r="AC480" s="213"/>
      <c r="AD480" s="213"/>
      <c r="AE480" s="213"/>
      <c r="AF480" s="213"/>
      <c r="AG480" s="213" t="s">
        <v>228</v>
      </c>
      <c r="AH480" s="213">
        <v>0.0</v>
      </c>
      <c r="AI480" s="213"/>
      <c r="AJ480" s="213"/>
      <c r="AK480" s="213"/>
      <c r="AL480" s="213"/>
      <c r="AM480" s="213"/>
      <c r="AN480" s="213"/>
      <c r="AO480" s="213"/>
      <c r="AP480" s="213"/>
      <c r="AQ480" s="213"/>
      <c r="AR480" s="213"/>
      <c r="AS480" s="213"/>
      <c r="AT480" s="213"/>
      <c r="AU480" s="213"/>
      <c r="AV480" s="213"/>
      <c r="AW480" s="213"/>
      <c r="AX480" s="213"/>
      <c r="AY480" s="213"/>
      <c r="AZ480" s="213"/>
      <c r="BA480" s="213"/>
      <c r="BB480" s="213"/>
    </row>
    <row r="481" ht="12.75" customHeight="1" outlineLevel="1">
      <c r="A481" s="235"/>
      <c r="B481" s="236"/>
      <c r="C481" s="237" t="s">
        <v>374</v>
      </c>
      <c r="D481" s="238"/>
      <c r="E481" s="239">
        <v>1.0</v>
      </c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3"/>
      <c r="Z481" s="213"/>
      <c r="AA481" s="213"/>
      <c r="AB481" s="213"/>
      <c r="AC481" s="213"/>
      <c r="AD481" s="213"/>
      <c r="AE481" s="213"/>
      <c r="AF481" s="213"/>
      <c r="AG481" s="213" t="s">
        <v>228</v>
      </c>
      <c r="AH481" s="213">
        <v>0.0</v>
      </c>
      <c r="AI481" s="213"/>
      <c r="AJ481" s="213"/>
      <c r="AK481" s="213"/>
      <c r="AL481" s="213"/>
      <c r="AM481" s="213"/>
      <c r="AN481" s="213"/>
      <c r="AO481" s="213"/>
      <c r="AP481" s="213"/>
      <c r="AQ481" s="213"/>
      <c r="AR481" s="213"/>
      <c r="AS481" s="213"/>
      <c r="AT481" s="213"/>
      <c r="AU481" s="213"/>
      <c r="AV481" s="213"/>
      <c r="AW481" s="213"/>
      <c r="AX481" s="213"/>
      <c r="AY481" s="213"/>
      <c r="AZ481" s="213"/>
      <c r="BA481" s="213"/>
      <c r="BB481" s="213"/>
    </row>
    <row r="482" ht="12.75" customHeight="1" outlineLevel="1">
      <c r="A482" s="235"/>
      <c r="B482" s="236"/>
      <c r="C482" s="237" t="s">
        <v>1194</v>
      </c>
      <c r="D482" s="238"/>
      <c r="E482" s="239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3"/>
      <c r="Z482" s="213"/>
      <c r="AA482" s="213"/>
      <c r="AB482" s="213"/>
      <c r="AC482" s="213"/>
      <c r="AD482" s="213"/>
      <c r="AE482" s="213"/>
      <c r="AF482" s="213"/>
      <c r="AG482" s="213" t="s">
        <v>228</v>
      </c>
      <c r="AH482" s="213">
        <v>0.0</v>
      </c>
      <c r="AI482" s="213"/>
      <c r="AJ482" s="213"/>
      <c r="AK482" s="213"/>
      <c r="AL482" s="213"/>
      <c r="AM482" s="213"/>
      <c r="AN482" s="213"/>
      <c r="AO482" s="213"/>
      <c r="AP482" s="213"/>
      <c r="AQ482" s="213"/>
      <c r="AR482" s="213"/>
      <c r="AS482" s="213"/>
      <c r="AT482" s="213"/>
      <c r="AU482" s="213"/>
      <c r="AV482" s="213"/>
      <c r="AW482" s="213"/>
      <c r="AX482" s="213"/>
      <c r="AY482" s="213"/>
      <c r="AZ482" s="213"/>
      <c r="BA482" s="213"/>
      <c r="BB482" s="213"/>
    </row>
    <row r="483" ht="12.75" customHeight="1" outlineLevel="1">
      <c r="A483" s="235"/>
      <c r="B483" s="236"/>
      <c r="C483" s="237" t="s">
        <v>1345</v>
      </c>
      <c r="D483" s="238"/>
      <c r="E483" s="239">
        <v>2.0</v>
      </c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3"/>
      <c r="Z483" s="213"/>
      <c r="AA483" s="213"/>
      <c r="AB483" s="213"/>
      <c r="AC483" s="213"/>
      <c r="AD483" s="213"/>
      <c r="AE483" s="213"/>
      <c r="AF483" s="213"/>
      <c r="AG483" s="213" t="s">
        <v>228</v>
      </c>
      <c r="AH483" s="213">
        <v>0.0</v>
      </c>
      <c r="AI483" s="213"/>
      <c r="AJ483" s="213"/>
      <c r="AK483" s="213"/>
      <c r="AL483" s="213"/>
      <c r="AM483" s="213"/>
      <c r="AN483" s="213"/>
      <c r="AO483" s="213"/>
      <c r="AP483" s="213"/>
      <c r="AQ483" s="213"/>
      <c r="AR483" s="213"/>
      <c r="AS483" s="213"/>
      <c r="AT483" s="213"/>
      <c r="AU483" s="213"/>
      <c r="AV483" s="213"/>
      <c r="AW483" s="213"/>
      <c r="AX483" s="213"/>
      <c r="AY483" s="213"/>
      <c r="AZ483" s="213"/>
      <c r="BA483" s="213"/>
      <c r="BB483" s="213"/>
    </row>
    <row r="484" ht="12.75" customHeight="1" outlineLevel="1">
      <c r="A484" s="214">
        <v>63.0</v>
      </c>
      <c r="B484" s="215" t="s">
        <v>1097</v>
      </c>
      <c r="C484" s="216" t="s">
        <v>1098</v>
      </c>
      <c r="D484" s="217" t="s">
        <v>372</v>
      </c>
      <c r="E484" s="218">
        <v>36.0</v>
      </c>
      <c r="F484" s="219">
        <v>263.5</v>
      </c>
      <c r="G484" s="220">
        <f>ROUND(E484*F484,2)</f>
        <v>9486</v>
      </c>
      <c r="H484" s="211"/>
      <c r="I484" s="212">
        <f>ROUND(E484*H484,2)</f>
        <v>0</v>
      </c>
      <c r="J484" s="211"/>
      <c r="K484" s="212">
        <f>ROUND(E484*J484,2)</f>
        <v>0</v>
      </c>
      <c r="L484" s="212">
        <v>21.0</v>
      </c>
      <c r="M484" s="212">
        <f>G484*(1+L484/100)</f>
        <v>11478.06</v>
      </c>
      <c r="N484" s="212">
        <v>0.08</v>
      </c>
      <c r="O484" s="212">
        <f>ROUND(E484*N484,2)</f>
        <v>2.88</v>
      </c>
      <c r="P484" s="212">
        <v>0.0</v>
      </c>
      <c r="Q484" s="212">
        <f>ROUND(E484*P484,2)</f>
        <v>0</v>
      </c>
      <c r="R484" s="212" t="s">
        <v>322</v>
      </c>
      <c r="S484" s="212" t="s">
        <v>184</v>
      </c>
      <c r="T484" s="212" t="s">
        <v>184</v>
      </c>
      <c r="U484" s="212">
        <v>0.0</v>
      </c>
      <c r="V484" s="212">
        <f>ROUND(E484*U484,2)</f>
        <v>0</v>
      </c>
      <c r="W484" s="212"/>
      <c r="X484" s="212" t="s">
        <v>323</v>
      </c>
      <c r="Y484" s="213"/>
      <c r="Z484" s="213"/>
      <c r="AA484" s="213"/>
      <c r="AB484" s="213"/>
      <c r="AC484" s="213"/>
      <c r="AD484" s="213"/>
      <c r="AE484" s="213"/>
      <c r="AF484" s="213"/>
      <c r="AG484" s="213" t="s">
        <v>1094</v>
      </c>
      <c r="AH484" s="213"/>
      <c r="AI484" s="213"/>
      <c r="AJ484" s="213"/>
      <c r="AK484" s="213"/>
      <c r="AL484" s="213"/>
      <c r="AM484" s="213"/>
      <c r="AN484" s="213"/>
      <c r="AO484" s="213"/>
      <c r="AP484" s="213"/>
      <c r="AQ484" s="213"/>
      <c r="AR484" s="213"/>
      <c r="AS484" s="213"/>
      <c r="AT484" s="213"/>
      <c r="AU484" s="213"/>
      <c r="AV484" s="213"/>
      <c r="AW484" s="213"/>
      <c r="AX484" s="213"/>
      <c r="AY484" s="213"/>
      <c r="AZ484" s="213"/>
      <c r="BA484" s="213"/>
      <c r="BB484" s="213"/>
    </row>
    <row r="485" ht="12.75" customHeight="1" outlineLevel="1">
      <c r="A485" s="235"/>
      <c r="B485" s="236"/>
      <c r="C485" s="237" t="s">
        <v>1331</v>
      </c>
      <c r="D485" s="238"/>
      <c r="E485" s="239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3"/>
      <c r="Z485" s="213"/>
      <c r="AA485" s="213"/>
      <c r="AB485" s="213"/>
      <c r="AC485" s="213"/>
      <c r="AD485" s="213"/>
      <c r="AE485" s="213"/>
      <c r="AF485" s="213"/>
      <c r="AG485" s="213" t="s">
        <v>228</v>
      </c>
      <c r="AH485" s="213">
        <v>0.0</v>
      </c>
      <c r="AI485" s="213"/>
      <c r="AJ485" s="213"/>
      <c r="AK485" s="213"/>
      <c r="AL485" s="213"/>
      <c r="AM485" s="213"/>
      <c r="AN485" s="213"/>
      <c r="AO485" s="213"/>
      <c r="AP485" s="213"/>
      <c r="AQ485" s="213"/>
      <c r="AR485" s="213"/>
      <c r="AS485" s="213"/>
      <c r="AT485" s="213"/>
      <c r="AU485" s="213"/>
      <c r="AV485" s="213"/>
      <c r="AW485" s="213"/>
      <c r="AX485" s="213"/>
      <c r="AY485" s="213"/>
      <c r="AZ485" s="213"/>
      <c r="BA485" s="213"/>
      <c r="BB485" s="213"/>
    </row>
    <row r="486" ht="12.75" customHeight="1" outlineLevel="1">
      <c r="A486" s="235"/>
      <c r="B486" s="236"/>
      <c r="C486" s="237" t="s">
        <v>456</v>
      </c>
      <c r="D486" s="238"/>
      <c r="E486" s="239">
        <v>2.0</v>
      </c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3"/>
      <c r="Z486" s="213"/>
      <c r="AA486" s="213"/>
      <c r="AB486" s="213"/>
      <c r="AC486" s="213"/>
      <c r="AD486" s="213"/>
      <c r="AE486" s="213"/>
      <c r="AF486" s="213"/>
      <c r="AG486" s="213" t="s">
        <v>228</v>
      </c>
      <c r="AH486" s="213">
        <v>0.0</v>
      </c>
      <c r="AI486" s="213"/>
      <c r="AJ486" s="213"/>
      <c r="AK486" s="213"/>
      <c r="AL486" s="213"/>
      <c r="AM486" s="213"/>
      <c r="AN486" s="213"/>
      <c r="AO486" s="213"/>
      <c r="AP486" s="213"/>
      <c r="AQ486" s="213"/>
      <c r="AR486" s="213"/>
      <c r="AS486" s="213"/>
      <c r="AT486" s="213"/>
      <c r="AU486" s="213"/>
      <c r="AV486" s="213"/>
      <c r="AW486" s="213"/>
      <c r="AX486" s="213"/>
      <c r="AY486" s="213"/>
      <c r="AZ486" s="213"/>
      <c r="BA486" s="213"/>
      <c r="BB486" s="213"/>
    </row>
    <row r="487" ht="12.75" customHeight="1" outlineLevel="1">
      <c r="A487" s="235"/>
      <c r="B487" s="236"/>
      <c r="C487" s="237" t="s">
        <v>1333</v>
      </c>
      <c r="D487" s="238"/>
      <c r="E487" s="239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3"/>
      <c r="Z487" s="213"/>
      <c r="AA487" s="213"/>
      <c r="AB487" s="213"/>
      <c r="AC487" s="213"/>
      <c r="AD487" s="213"/>
      <c r="AE487" s="213"/>
      <c r="AF487" s="213"/>
      <c r="AG487" s="213" t="s">
        <v>228</v>
      </c>
      <c r="AH487" s="213">
        <v>0.0</v>
      </c>
      <c r="AI487" s="213"/>
      <c r="AJ487" s="213"/>
      <c r="AK487" s="213"/>
      <c r="AL487" s="213"/>
      <c r="AM487" s="213"/>
      <c r="AN487" s="213"/>
      <c r="AO487" s="213"/>
      <c r="AP487" s="213"/>
      <c r="AQ487" s="213"/>
      <c r="AR487" s="213"/>
      <c r="AS487" s="213"/>
      <c r="AT487" s="213"/>
      <c r="AU487" s="213"/>
      <c r="AV487" s="213"/>
      <c r="AW487" s="213"/>
      <c r="AX487" s="213"/>
      <c r="AY487" s="213"/>
      <c r="AZ487" s="213"/>
      <c r="BA487" s="213"/>
      <c r="BB487" s="213"/>
    </row>
    <row r="488" ht="12.75" customHeight="1" outlineLevel="1">
      <c r="A488" s="235"/>
      <c r="B488" s="236"/>
      <c r="C488" s="237" t="s">
        <v>248</v>
      </c>
      <c r="D488" s="238"/>
      <c r="E488" s="239">
        <v>6.0</v>
      </c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3"/>
      <c r="Z488" s="213"/>
      <c r="AA488" s="213"/>
      <c r="AB488" s="213"/>
      <c r="AC488" s="213"/>
      <c r="AD488" s="213"/>
      <c r="AE488" s="213"/>
      <c r="AF488" s="213"/>
      <c r="AG488" s="213" t="s">
        <v>228</v>
      </c>
      <c r="AH488" s="213">
        <v>0.0</v>
      </c>
      <c r="AI488" s="213"/>
      <c r="AJ488" s="213"/>
      <c r="AK488" s="213"/>
      <c r="AL488" s="213"/>
      <c r="AM488" s="213"/>
      <c r="AN488" s="213"/>
      <c r="AO488" s="213"/>
      <c r="AP488" s="213"/>
      <c r="AQ488" s="213"/>
      <c r="AR488" s="213"/>
      <c r="AS488" s="213"/>
      <c r="AT488" s="213"/>
      <c r="AU488" s="213"/>
      <c r="AV488" s="213"/>
      <c r="AW488" s="213"/>
      <c r="AX488" s="213"/>
      <c r="AY488" s="213"/>
      <c r="AZ488" s="213"/>
      <c r="BA488" s="213"/>
      <c r="BB488" s="213"/>
    </row>
    <row r="489" ht="12.75" customHeight="1" outlineLevel="1">
      <c r="A489" s="235"/>
      <c r="B489" s="236"/>
      <c r="C489" s="237" t="s">
        <v>1194</v>
      </c>
      <c r="D489" s="238"/>
      <c r="E489" s="239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3"/>
      <c r="Z489" s="213"/>
      <c r="AA489" s="213"/>
      <c r="AB489" s="213"/>
      <c r="AC489" s="213"/>
      <c r="AD489" s="213"/>
      <c r="AE489" s="213"/>
      <c r="AF489" s="213"/>
      <c r="AG489" s="213" t="s">
        <v>228</v>
      </c>
      <c r="AH489" s="213">
        <v>0.0</v>
      </c>
      <c r="AI489" s="213"/>
      <c r="AJ489" s="213"/>
      <c r="AK489" s="213"/>
      <c r="AL489" s="213"/>
      <c r="AM489" s="213"/>
      <c r="AN489" s="213"/>
      <c r="AO489" s="213"/>
      <c r="AP489" s="213"/>
      <c r="AQ489" s="213"/>
      <c r="AR489" s="213"/>
      <c r="AS489" s="213"/>
      <c r="AT489" s="213"/>
      <c r="AU489" s="213"/>
      <c r="AV489" s="213"/>
      <c r="AW489" s="213"/>
      <c r="AX489" s="213"/>
      <c r="AY489" s="213"/>
      <c r="AZ489" s="213"/>
      <c r="BA489" s="213"/>
      <c r="BB489" s="213"/>
    </row>
    <row r="490" ht="12.75" customHeight="1" outlineLevel="1">
      <c r="A490" s="235"/>
      <c r="B490" s="236"/>
      <c r="C490" s="237" t="s">
        <v>1346</v>
      </c>
      <c r="D490" s="238"/>
      <c r="E490" s="239">
        <v>28.0</v>
      </c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3"/>
      <c r="Z490" s="213"/>
      <c r="AA490" s="213"/>
      <c r="AB490" s="213"/>
      <c r="AC490" s="213"/>
      <c r="AD490" s="213"/>
      <c r="AE490" s="213"/>
      <c r="AF490" s="213"/>
      <c r="AG490" s="213" t="s">
        <v>228</v>
      </c>
      <c r="AH490" s="213">
        <v>0.0</v>
      </c>
      <c r="AI490" s="213"/>
      <c r="AJ490" s="213"/>
      <c r="AK490" s="213"/>
      <c r="AL490" s="213"/>
      <c r="AM490" s="213"/>
      <c r="AN490" s="213"/>
      <c r="AO490" s="213"/>
      <c r="AP490" s="213"/>
      <c r="AQ490" s="213"/>
      <c r="AR490" s="213"/>
      <c r="AS490" s="213"/>
      <c r="AT490" s="213"/>
      <c r="AU490" s="213"/>
      <c r="AV490" s="213"/>
      <c r="AW490" s="213"/>
      <c r="AX490" s="213"/>
      <c r="AY490" s="213"/>
      <c r="AZ490" s="213"/>
      <c r="BA490" s="213"/>
      <c r="BB490" s="213"/>
    </row>
    <row r="491" ht="12.75" customHeight="1" outlineLevel="1">
      <c r="A491" s="214">
        <v>64.0</v>
      </c>
      <c r="B491" s="215" t="s">
        <v>590</v>
      </c>
      <c r="C491" s="216" t="s">
        <v>591</v>
      </c>
      <c r="D491" s="217" t="s">
        <v>372</v>
      </c>
      <c r="E491" s="218">
        <v>4.0</v>
      </c>
      <c r="F491" s="219">
        <v>1032.0</v>
      </c>
      <c r="G491" s="220">
        <f>ROUND(E491*F491,2)</f>
        <v>4128</v>
      </c>
      <c r="H491" s="211"/>
      <c r="I491" s="212">
        <f>ROUND(E491*H491,2)</f>
        <v>0</v>
      </c>
      <c r="J491" s="211"/>
      <c r="K491" s="212">
        <f>ROUND(E491*J491,2)</f>
        <v>0</v>
      </c>
      <c r="L491" s="212">
        <v>21.0</v>
      </c>
      <c r="M491" s="212">
        <f>G491*(1+L491/100)</f>
        <v>4994.88</v>
      </c>
      <c r="N491" s="212">
        <v>0.185</v>
      </c>
      <c r="O491" s="212">
        <f>ROUND(E491*N491,2)</f>
        <v>0.74</v>
      </c>
      <c r="P491" s="212">
        <v>0.0</v>
      </c>
      <c r="Q491" s="212">
        <f>ROUND(E491*P491,2)</f>
        <v>0</v>
      </c>
      <c r="R491" s="212" t="s">
        <v>322</v>
      </c>
      <c r="S491" s="212" t="s">
        <v>184</v>
      </c>
      <c r="T491" s="212" t="s">
        <v>184</v>
      </c>
      <c r="U491" s="212">
        <v>0.0</v>
      </c>
      <c r="V491" s="212">
        <f>ROUND(E491*U491,2)</f>
        <v>0</v>
      </c>
      <c r="W491" s="212"/>
      <c r="X491" s="212" t="s">
        <v>323</v>
      </c>
      <c r="Y491" s="213"/>
      <c r="Z491" s="213"/>
      <c r="AA491" s="213"/>
      <c r="AB491" s="213"/>
      <c r="AC491" s="213"/>
      <c r="AD491" s="213"/>
      <c r="AE491" s="213"/>
      <c r="AF491" s="213"/>
      <c r="AG491" s="213" t="s">
        <v>324</v>
      </c>
      <c r="AH491" s="213"/>
      <c r="AI491" s="213"/>
      <c r="AJ491" s="213"/>
      <c r="AK491" s="213"/>
      <c r="AL491" s="213"/>
      <c r="AM491" s="213"/>
      <c r="AN491" s="213"/>
      <c r="AO491" s="213"/>
      <c r="AP491" s="213"/>
      <c r="AQ491" s="213"/>
      <c r="AR491" s="213"/>
      <c r="AS491" s="213"/>
      <c r="AT491" s="213"/>
      <c r="AU491" s="213"/>
      <c r="AV491" s="213"/>
      <c r="AW491" s="213"/>
      <c r="AX491" s="213"/>
      <c r="AY491" s="213"/>
      <c r="AZ491" s="213"/>
      <c r="BA491" s="213"/>
      <c r="BB491" s="213"/>
    </row>
    <row r="492" ht="12.75" customHeight="1" outlineLevel="1">
      <c r="A492" s="235"/>
      <c r="B492" s="236"/>
      <c r="C492" s="237" t="s">
        <v>1331</v>
      </c>
      <c r="D492" s="238"/>
      <c r="E492" s="239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3"/>
      <c r="Z492" s="213"/>
      <c r="AA492" s="213"/>
      <c r="AB492" s="213"/>
      <c r="AC492" s="213"/>
      <c r="AD492" s="213"/>
      <c r="AE492" s="213"/>
      <c r="AF492" s="213"/>
      <c r="AG492" s="213" t="s">
        <v>228</v>
      </c>
      <c r="AH492" s="213">
        <v>0.0</v>
      </c>
      <c r="AI492" s="213"/>
      <c r="AJ492" s="213"/>
      <c r="AK492" s="213"/>
      <c r="AL492" s="213"/>
      <c r="AM492" s="213"/>
      <c r="AN492" s="213"/>
      <c r="AO492" s="213"/>
      <c r="AP492" s="213"/>
      <c r="AQ492" s="213"/>
      <c r="AR492" s="213"/>
      <c r="AS492" s="213"/>
      <c r="AT492" s="213"/>
      <c r="AU492" s="213"/>
      <c r="AV492" s="213"/>
      <c r="AW492" s="213"/>
      <c r="AX492" s="213"/>
      <c r="AY492" s="213"/>
      <c r="AZ492" s="213"/>
      <c r="BA492" s="213"/>
      <c r="BB492" s="213"/>
    </row>
    <row r="493" ht="12.75" customHeight="1" outlineLevel="1">
      <c r="A493" s="235"/>
      <c r="B493" s="236"/>
      <c r="C493" s="237" t="s">
        <v>459</v>
      </c>
      <c r="D493" s="238"/>
      <c r="E493" s="239">
        <v>3.0</v>
      </c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3"/>
      <c r="Z493" s="213"/>
      <c r="AA493" s="213"/>
      <c r="AB493" s="213"/>
      <c r="AC493" s="213"/>
      <c r="AD493" s="213"/>
      <c r="AE493" s="213"/>
      <c r="AF493" s="213"/>
      <c r="AG493" s="213" t="s">
        <v>228</v>
      </c>
      <c r="AH493" s="213">
        <v>0.0</v>
      </c>
      <c r="AI493" s="213"/>
      <c r="AJ493" s="213"/>
      <c r="AK493" s="213"/>
      <c r="AL493" s="213"/>
      <c r="AM493" s="213"/>
      <c r="AN493" s="213"/>
      <c r="AO493" s="213"/>
      <c r="AP493" s="213"/>
      <c r="AQ493" s="213"/>
      <c r="AR493" s="213"/>
      <c r="AS493" s="213"/>
      <c r="AT493" s="213"/>
      <c r="AU493" s="213"/>
      <c r="AV493" s="213"/>
      <c r="AW493" s="213"/>
      <c r="AX493" s="213"/>
      <c r="AY493" s="213"/>
      <c r="AZ493" s="213"/>
      <c r="BA493" s="213"/>
      <c r="BB493" s="213"/>
    </row>
    <row r="494" ht="12.75" customHeight="1" outlineLevel="1">
      <c r="A494" s="235"/>
      <c r="B494" s="236"/>
      <c r="C494" s="237" t="s">
        <v>1194</v>
      </c>
      <c r="D494" s="238"/>
      <c r="E494" s="239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3"/>
      <c r="Z494" s="213"/>
      <c r="AA494" s="213"/>
      <c r="AB494" s="213"/>
      <c r="AC494" s="213"/>
      <c r="AD494" s="213"/>
      <c r="AE494" s="213"/>
      <c r="AF494" s="213"/>
      <c r="AG494" s="213" t="s">
        <v>228</v>
      </c>
      <c r="AH494" s="213">
        <v>0.0</v>
      </c>
      <c r="AI494" s="213"/>
      <c r="AJ494" s="213"/>
      <c r="AK494" s="213"/>
      <c r="AL494" s="213"/>
      <c r="AM494" s="213"/>
      <c r="AN494" s="213"/>
      <c r="AO494" s="213"/>
      <c r="AP494" s="213"/>
      <c r="AQ494" s="213"/>
      <c r="AR494" s="213"/>
      <c r="AS494" s="213"/>
      <c r="AT494" s="213"/>
      <c r="AU494" s="213"/>
      <c r="AV494" s="213"/>
      <c r="AW494" s="213"/>
      <c r="AX494" s="213"/>
      <c r="AY494" s="213"/>
      <c r="AZ494" s="213"/>
      <c r="BA494" s="213"/>
      <c r="BB494" s="213"/>
    </row>
    <row r="495" ht="12.75" customHeight="1" outlineLevel="1">
      <c r="A495" s="235"/>
      <c r="B495" s="236"/>
      <c r="C495" s="237" t="s">
        <v>374</v>
      </c>
      <c r="D495" s="238"/>
      <c r="E495" s="239">
        <v>1.0</v>
      </c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3"/>
      <c r="Z495" s="213"/>
      <c r="AA495" s="213"/>
      <c r="AB495" s="213"/>
      <c r="AC495" s="213"/>
      <c r="AD495" s="213"/>
      <c r="AE495" s="213"/>
      <c r="AF495" s="213"/>
      <c r="AG495" s="213" t="s">
        <v>228</v>
      </c>
      <c r="AH495" s="213">
        <v>0.0</v>
      </c>
      <c r="AI495" s="213"/>
      <c r="AJ495" s="213"/>
      <c r="AK495" s="213"/>
      <c r="AL495" s="213"/>
      <c r="AM495" s="213"/>
      <c r="AN495" s="213"/>
      <c r="AO495" s="213"/>
      <c r="AP495" s="213"/>
      <c r="AQ495" s="213"/>
      <c r="AR495" s="213"/>
      <c r="AS495" s="213"/>
      <c r="AT495" s="213"/>
      <c r="AU495" s="213"/>
      <c r="AV495" s="213"/>
      <c r="AW495" s="213"/>
      <c r="AX495" s="213"/>
      <c r="AY495" s="213"/>
      <c r="AZ495" s="213"/>
      <c r="BA495" s="213"/>
      <c r="BB495" s="213"/>
    </row>
    <row r="496" ht="12.75" customHeight="1" outlineLevel="1">
      <c r="A496" s="214">
        <v>65.0</v>
      </c>
      <c r="B496" s="215" t="s">
        <v>1099</v>
      </c>
      <c r="C496" s="216" t="s">
        <v>1100</v>
      </c>
      <c r="D496" s="217" t="s">
        <v>372</v>
      </c>
      <c r="E496" s="218">
        <v>2.0</v>
      </c>
      <c r="F496" s="219">
        <v>1587.0</v>
      </c>
      <c r="G496" s="220">
        <f>ROUND(E496*F496,2)</f>
        <v>3174</v>
      </c>
      <c r="H496" s="211"/>
      <c r="I496" s="212">
        <f>ROUND(E496*H496,2)</f>
        <v>0</v>
      </c>
      <c r="J496" s="211"/>
      <c r="K496" s="212">
        <f>ROUND(E496*J496,2)</f>
        <v>0</v>
      </c>
      <c r="L496" s="212">
        <v>21.0</v>
      </c>
      <c r="M496" s="212">
        <f>G496*(1+L496/100)</f>
        <v>3840.54</v>
      </c>
      <c r="N496" s="212">
        <v>0.37</v>
      </c>
      <c r="O496" s="212">
        <f>ROUND(E496*N496,2)</f>
        <v>0.74</v>
      </c>
      <c r="P496" s="212">
        <v>0.0</v>
      </c>
      <c r="Q496" s="212">
        <f>ROUND(E496*P496,2)</f>
        <v>0</v>
      </c>
      <c r="R496" s="212" t="s">
        <v>322</v>
      </c>
      <c r="S496" s="212" t="s">
        <v>184</v>
      </c>
      <c r="T496" s="212" t="s">
        <v>184</v>
      </c>
      <c r="U496" s="212">
        <v>0.0</v>
      </c>
      <c r="V496" s="212">
        <f>ROUND(E496*U496,2)</f>
        <v>0</v>
      </c>
      <c r="W496" s="212"/>
      <c r="X496" s="212" t="s">
        <v>323</v>
      </c>
      <c r="Y496" s="213"/>
      <c r="Z496" s="213"/>
      <c r="AA496" s="213"/>
      <c r="AB496" s="213"/>
      <c r="AC496" s="213"/>
      <c r="AD496" s="213"/>
      <c r="AE496" s="213"/>
      <c r="AF496" s="213"/>
      <c r="AG496" s="213" t="s">
        <v>324</v>
      </c>
      <c r="AH496" s="213"/>
      <c r="AI496" s="213"/>
      <c r="AJ496" s="213"/>
      <c r="AK496" s="213"/>
      <c r="AL496" s="213"/>
      <c r="AM496" s="213"/>
      <c r="AN496" s="213"/>
      <c r="AO496" s="213"/>
      <c r="AP496" s="213"/>
      <c r="AQ496" s="213"/>
      <c r="AR496" s="213"/>
      <c r="AS496" s="213"/>
      <c r="AT496" s="213"/>
      <c r="AU496" s="213"/>
      <c r="AV496" s="213"/>
      <c r="AW496" s="213"/>
      <c r="AX496" s="213"/>
      <c r="AY496" s="213"/>
      <c r="AZ496" s="213"/>
      <c r="BA496" s="213"/>
      <c r="BB496" s="213"/>
    </row>
    <row r="497" ht="12.75" customHeight="1" outlineLevel="1">
      <c r="A497" s="235"/>
      <c r="B497" s="236"/>
      <c r="C497" s="237" t="s">
        <v>1331</v>
      </c>
      <c r="D497" s="238"/>
      <c r="E497" s="239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3"/>
      <c r="Z497" s="213"/>
      <c r="AA497" s="213"/>
      <c r="AB497" s="213"/>
      <c r="AC497" s="213"/>
      <c r="AD497" s="213"/>
      <c r="AE497" s="213"/>
      <c r="AF497" s="213"/>
      <c r="AG497" s="213" t="s">
        <v>228</v>
      </c>
      <c r="AH497" s="213">
        <v>0.0</v>
      </c>
      <c r="AI497" s="213"/>
      <c r="AJ497" s="213"/>
      <c r="AK497" s="213"/>
      <c r="AL497" s="213"/>
      <c r="AM497" s="213"/>
      <c r="AN497" s="213"/>
      <c r="AO497" s="213"/>
      <c r="AP497" s="213"/>
      <c r="AQ497" s="213"/>
      <c r="AR497" s="213"/>
      <c r="AS497" s="213"/>
      <c r="AT497" s="213"/>
      <c r="AU497" s="213"/>
      <c r="AV497" s="213"/>
      <c r="AW497" s="213"/>
      <c r="AX497" s="213"/>
      <c r="AY497" s="213"/>
      <c r="AZ497" s="213"/>
      <c r="BA497" s="213"/>
      <c r="BB497" s="213"/>
    </row>
    <row r="498" ht="12.75" customHeight="1" outlineLevel="1">
      <c r="A498" s="235"/>
      <c r="B498" s="236"/>
      <c r="C498" s="237" t="s">
        <v>374</v>
      </c>
      <c r="D498" s="238"/>
      <c r="E498" s="239">
        <v>1.0</v>
      </c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3"/>
      <c r="Z498" s="213"/>
      <c r="AA498" s="213"/>
      <c r="AB498" s="213"/>
      <c r="AC498" s="213"/>
      <c r="AD498" s="213"/>
      <c r="AE498" s="213"/>
      <c r="AF498" s="213"/>
      <c r="AG498" s="213" t="s">
        <v>228</v>
      </c>
      <c r="AH498" s="213">
        <v>0.0</v>
      </c>
      <c r="AI498" s="213"/>
      <c r="AJ498" s="213"/>
      <c r="AK498" s="213"/>
      <c r="AL498" s="213"/>
      <c r="AM498" s="213"/>
      <c r="AN498" s="213"/>
      <c r="AO498" s="213"/>
      <c r="AP498" s="213"/>
      <c r="AQ498" s="213"/>
      <c r="AR498" s="213"/>
      <c r="AS498" s="213"/>
      <c r="AT498" s="213"/>
      <c r="AU498" s="213"/>
      <c r="AV498" s="213"/>
      <c r="AW498" s="213"/>
      <c r="AX498" s="213"/>
      <c r="AY498" s="213"/>
      <c r="AZ498" s="213"/>
      <c r="BA498" s="213"/>
      <c r="BB498" s="213"/>
    </row>
    <row r="499" ht="12.75" customHeight="1" outlineLevel="1">
      <c r="A499" s="235"/>
      <c r="B499" s="236"/>
      <c r="C499" s="237" t="s">
        <v>1194</v>
      </c>
      <c r="D499" s="238"/>
      <c r="E499" s="239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3"/>
      <c r="Z499" s="213"/>
      <c r="AA499" s="213"/>
      <c r="AB499" s="213"/>
      <c r="AC499" s="213"/>
      <c r="AD499" s="213"/>
      <c r="AE499" s="213"/>
      <c r="AF499" s="213"/>
      <c r="AG499" s="213" t="s">
        <v>228</v>
      </c>
      <c r="AH499" s="213">
        <v>0.0</v>
      </c>
      <c r="AI499" s="213"/>
      <c r="AJ499" s="213"/>
      <c r="AK499" s="213"/>
      <c r="AL499" s="213"/>
      <c r="AM499" s="213"/>
      <c r="AN499" s="213"/>
      <c r="AO499" s="213"/>
      <c r="AP499" s="213"/>
      <c r="AQ499" s="213"/>
      <c r="AR499" s="213"/>
      <c r="AS499" s="213"/>
      <c r="AT499" s="213"/>
      <c r="AU499" s="213"/>
      <c r="AV499" s="213"/>
      <c r="AW499" s="213"/>
      <c r="AX499" s="213"/>
      <c r="AY499" s="213"/>
      <c r="AZ499" s="213"/>
      <c r="BA499" s="213"/>
      <c r="BB499" s="213"/>
    </row>
    <row r="500" ht="12.75" customHeight="1" outlineLevel="1">
      <c r="A500" s="235"/>
      <c r="B500" s="236"/>
      <c r="C500" s="237" t="s">
        <v>374</v>
      </c>
      <c r="D500" s="238"/>
      <c r="E500" s="239">
        <v>1.0</v>
      </c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3"/>
      <c r="Z500" s="213"/>
      <c r="AA500" s="213"/>
      <c r="AB500" s="213"/>
      <c r="AC500" s="213"/>
      <c r="AD500" s="213"/>
      <c r="AE500" s="213"/>
      <c r="AF500" s="213"/>
      <c r="AG500" s="213" t="s">
        <v>228</v>
      </c>
      <c r="AH500" s="213">
        <v>0.0</v>
      </c>
      <c r="AI500" s="213"/>
      <c r="AJ500" s="213"/>
      <c r="AK500" s="213"/>
      <c r="AL500" s="213"/>
      <c r="AM500" s="213"/>
      <c r="AN500" s="213"/>
      <c r="AO500" s="213"/>
      <c r="AP500" s="213"/>
      <c r="AQ500" s="213"/>
      <c r="AR500" s="213"/>
      <c r="AS500" s="213"/>
      <c r="AT500" s="213"/>
      <c r="AU500" s="213"/>
      <c r="AV500" s="213"/>
      <c r="AW500" s="213"/>
      <c r="AX500" s="213"/>
      <c r="AY500" s="213"/>
      <c r="AZ500" s="213"/>
      <c r="BA500" s="213"/>
      <c r="BB500" s="213"/>
    </row>
    <row r="501" ht="12.75" customHeight="1" outlineLevel="1">
      <c r="A501" s="214">
        <v>66.0</v>
      </c>
      <c r="B501" s="215" t="s">
        <v>592</v>
      </c>
      <c r="C501" s="216" t="s">
        <v>593</v>
      </c>
      <c r="D501" s="217" t="s">
        <v>372</v>
      </c>
      <c r="E501" s="218">
        <v>3.0</v>
      </c>
      <c r="F501" s="219">
        <v>2115.0</v>
      </c>
      <c r="G501" s="220">
        <f>ROUND(E501*F501,2)</f>
        <v>6345</v>
      </c>
      <c r="H501" s="211"/>
      <c r="I501" s="212">
        <f>ROUND(E501*H501,2)</f>
        <v>0</v>
      </c>
      <c r="J501" s="211"/>
      <c r="K501" s="212">
        <f>ROUND(E501*J501,2)</f>
        <v>0</v>
      </c>
      <c r="L501" s="212">
        <v>21.0</v>
      </c>
      <c r="M501" s="212">
        <f>G501*(1+L501/100)</f>
        <v>7677.45</v>
      </c>
      <c r="N501" s="212">
        <v>0.74</v>
      </c>
      <c r="O501" s="212">
        <f>ROUND(E501*N501,2)</f>
        <v>2.22</v>
      </c>
      <c r="P501" s="212">
        <v>0.0</v>
      </c>
      <c r="Q501" s="212">
        <f>ROUND(E501*P501,2)</f>
        <v>0</v>
      </c>
      <c r="R501" s="212" t="s">
        <v>322</v>
      </c>
      <c r="S501" s="212" t="s">
        <v>184</v>
      </c>
      <c r="T501" s="212" t="s">
        <v>184</v>
      </c>
      <c r="U501" s="212">
        <v>0.0</v>
      </c>
      <c r="V501" s="212">
        <f>ROUND(E501*U501,2)</f>
        <v>0</v>
      </c>
      <c r="W501" s="212"/>
      <c r="X501" s="212" t="s">
        <v>323</v>
      </c>
      <c r="Y501" s="213"/>
      <c r="Z501" s="213"/>
      <c r="AA501" s="213"/>
      <c r="AB501" s="213"/>
      <c r="AC501" s="213"/>
      <c r="AD501" s="213"/>
      <c r="AE501" s="213"/>
      <c r="AF501" s="213"/>
      <c r="AG501" s="213" t="s">
        <v>324</v>
      </c>
      <c r="AH501" s="213"/>
      <c r="AI501" s="213"/>
      <c r="AJ501" s="213"/>
      <c r="AK501" s="213"/>
      <c r="AL501" s="213"/>
      <c r="AM501" s="213"/>
      <c r="AN501" s="213"/>
      <c r="AO501" s="213"/>
      <c r="AP501" s="213"/>
      <c r="AQ501" s="213"/>
      <c r="AR501" s="213"/>
      <c r="AS501" s="213"/>
      <c r="AT501" s="213"/>
      <c r="AU501" s="213"/>
      <c r="AV501" s="213"/>
      <c r="AW501" s="213"/>
      <c r="AX501" s="213"/>
      <c r="AY501" s="213"/>
      <c r="AZ501" s="213"/>
      <c r="BA501" s="213"/>
      <c r="BB501" s="213"/>
    </row>
    <row r="502" ht="12.75" customHeight="1" outlineLevel="1">
      <c r="A502" s="235"/>
      <c r="B502" s="236"/>
      <c r="C502" s="237" t="s">
        <v>1331</v>
      </c>
      <c r="D502" s="238"/>
      <c r="E502" s="239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3"/>
      <c r="Z502" s="213"/>
      <c r="AA502" s="213"/>
      <c r="AB502" s="213"/>
      <c r="AC502" s="213"/>
      <c r="AD502" s="213"/>
      <c r="AE502" s="213"/>
      <c r="AF502" s="213"/>
      <c r="AG502" s="213" t="s">
        <v>228</v>
      </c>
      <c r="AH502" s="213">
        <v>0.0</v>
      </c>
      <c r="AI502" s="213"/>
      <c r="AJ502" s="213"/>
      <c r="AK502" s="213"/>
      <c r="AL502" s="213"/>
      <c r="AM502" s="213"/>
      <c r="AN502" s="213"/>
      <c r="AO502" s="213"/>
      <c r="AP502" s="213"/>
      <c r="AQ502" s="213"/>
      <c r="AR502" s="213"/>
      <c r="AS502" s="213"/>
      <c r="AT502" s="213"/>
      <c r="AU502" s="213"/>
      <c r="AV502" s="213"/>
      <c r="AW502" s="213"/>
      <c r="AX502" s="213"/>
      <c r="AY502" s="213"/>
      <c r="AZ502" s="213"/>
      <c r="BA502" s="213"/>
      <c r="BB502" s="213"/>
    </row>
    <row r="503" ht="12.75" customHeight="1" outlineLevel="1">
      <c r="A503" s="235"/>
      <c r="B503" s="236"/>
      <c r="C503" s="237" t="s">
        <v>374</v>
      </c>
      <c r="D503" s="238"/>
      <c r="E503" s="239">
        <v>1.0</v>
      </c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3"/>
      <c r="Z503" s="213"/>
      <c r="AA503" s="213"/>
      <c r="AB503" s="213"/>
      <c r="AC503" s="213"/>
      <c r="AD503" s="213"/>
      <c r="AE503" s="213"/>
      <c r="AF503" s="213"/>
      <c r="AG503" s="213" t="s">
        <v>228</v>
      </c>
      <c r="AH503" s="213">
        <v>0.0</v>
      </c>
      <c r="AI503" s="213"/>
      <c r="AJ503" s="213"/>
      <c r="AK503" s="213"/>
      <c r="AL503" s="213"/>
      <c r="AM503" s="213"/>
      <c r="AN503" s="213"/>
      <c r="AO503" s="213"/>
      <c r="AP503" s="213"/>
      <c r="AQ503" s="213"/>
      <c r="AR503" s="213"/>
      <c r="AS503" s="213"/>
      <c r="AT503" s="213"/>
      <c r="AU503" s="213"/>
      <c r="AV503" s="213"/>
      <c r="AW503" s="213"/>
      <c r="AX503" s="213"/>
      <c r="AY503" s="213"/>
      <c r="AZ503" s="213"/>
      <c r="BA503" s="213"/>
      <c r="BB503" s="213"/>
    </row>
    <row r="504" ht="12.75" customHeight="1" outlineLevel="1">
      <c r="A504" s="235"/>
      <c r="B504" s="236"/>
      <c r="C504" s="237" t="s">
        <v>1194</v>
      </c>
      <c r="D504" s="238"/>
      <c r="E504" s="239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3"/>
      <c r="Z504" s="213"/>
      <c r="AA504" s="213"/>
      <c r="AB504" s="213"/>
      <c r="AC504" s="213"/>
      <c r="AD504" s="213"/>
      <c r="AE504" s="213"/>
      <c r="AF504" s="213"/>
      <c r="AG504" s="213" t="s">
        <v>228</v>
      </c>
      <c r="AH504" s="213">
        <v>0.0</v>
      </c>
      <c r="AI504" s="213"/>
      <c r="AJ504" s="213"/>
      <c r="AK504" s="213"/>
      <c r="AL504" s="213"/>
      <c r="AM504" s="213"/>
      <c r="AN504" s="213"/>
      <c r="AO504" s="213"/>
      <c r="AP504" s="213"/>
      <c r="AQ504" s="213"/>
      <c r="AR504" s="213"/>
      <c r="AS504" s="213"/>
      <c r="AT504" s="213"/>
      <c r="AU504" s="213"/>
      <c r="AV504" s="213"/>
      <c r="AW504" s="213"/>
      <c r="AX504" s="213"/>
      <c r="AY504" s="213"/>
      <c r="AZ504" s="213"/>
      <c r="BA504" s="213"/>
      <c r="BB504" s="213"/>
    </row>
    <row r="505" ht="12.75" customHeight="1" outlineLevel="1">
      <c r="A505" s="235"/>
      <c r="B505" s="236"/>
      <c r="C505" s="237" t="s">
        <v>456</v>
      </c>
      <c r="D505" s="238"/>
      <c r="E505" s="239">
        <v>2.0</v>
      </c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3"/>
      <c r="Z505" s="213"/>
      <c r="AA505" s="213"/>
      <c r="AB505" s="213"/>
      <c r="AC505" s="213"/>
      <c r="AD505" s="213"/>
      <c r="AE505" s="213"/>
      <c r="AF505" s="213"/>
      <c r="AG505" s="213" t="s">
        <v>228</v>
      </c>
      <c r="AH505" s="213">
        <v>0.0</v>
      </c>
      <c r="AI505" s="213"/>
      <c r="AJ505" s="213"/>
      <c r="AK505" s="213"/>
      <c r="AL505" s="213"/>
      <c r="AM505" s="213"/>
      <c r="AN505" s="213"/>
      <c r="AO505" s="213"/>
      <c r="AP505" s="213"/>
      <c r="AQ505" s="213"/>
      <c r="AR505" s="213"/>
      <c r="AS505" s="213"/>
      <c r="AT505" s="213"/>
      <c r="AU505" s="213"/>
      <c r="AV505" s="213"/>
      <c r="AW505" s="213"/>
      <c r="AX505" s="213"/>
      <c r="AY505" s="213"/>
      <c r="AZ505" s="213"/>
      <c r="BA505" s="213"/>
      <c r="BB505" s="213"/>
    </row>
    <row r="506" ht="12.75" customHeight="1" outlineLevel="1">
      <c r="A506" s="214">
        <v>67.0</v>
      </c>
      <c r="B506" s="215" t="s">
        <v>596</v>
      </c>
      <c r="C506" s="216" t="s">
        <v>597</v>
      </c>
      <c r="D506" s="217" t="s">
        <v>372</v>
      </c>
      <c r="E506" s="218">
        <v>7.0</v>
      </c>
      <c r="F506" s="219">
        <v>1727.0</v>
      </c>
      <c r="G506" s="220">
        <f>ROUND(E506*F506,2)</f>
        <v>12089</v>
      </c>
      <c r="H506" s="211"/>
      <c r="I506" s="212">
        <f>ROUND(E506*H506,2)</f>
        <v>0</v>
      </c>
      <c r="J506" s="211"/>
      <c r="K506" s="212">
        <f>ROUND(E506*J506,2)</f>
        <v>0</v>
      </c>
      <c r="L506" s="212">
        <v>21.0</v>
      </c>
      <c r="M506" s="212">
        <f>G506*(1+L506/100)</f>
        <v>14627.69</v>
      </c>
      <c r="N506" s="212">
        <v>0.585</v>
      </c>
      <c r="O506" s="212">
        <f>ROUND(E506*N506,2)</f>
        <v>4.1</v>
      </c>
      <c r="P506" s="212">
        <v>0.0</v>
      </c>
      <c r="Q506" s="212">
        <f>ROUND(E506*P506,2)</f>
        <v>0</v>
      </c>
      <c r="R506" s="212" t="s">
        <v>322</v>
      </c>
      <c r="S506" s="212" t="s">
        <v>184</v>
      </c>
      <c r="T506" s="212" t="s">
        <v>184</v>
      </c>
      <c r="U506" s="212">
        <v>0.0</v>
      </c>
      <c r="V506" s="212">
        <f>ROUND(E506*U506,2)</f>
        <v>0</v>
      </c>
      <c r="W506" s="212"/>
      <c r="X506" s="212" t="s">
        <v>323</v>
      </c>
      <c r="Y506" s="213"/>
      <c r="Z506" s="213"/>
      <c r="AA506" s="213"/>
      <c r="AB506" s="213"/>
      <c r="AC506" s="213"/>
      <c r="AD506" s="213"/>
      <c r="AE506" s="213"/>
      <c r="AF506" s="213"/>
      <c r="AG506" s="213" t="s">
        <v>324</v>
      </c>
      <c r="AH506" s="213"/>
      <c r="AI506" s="213"/>
      <c r="AJ506" s="213"/>
      <c r="AK506" s="213"/>
      <c r="AL506" s="213"/>
      <c r="AM506" s="213"/>
      <c r="AN506" s="213"/>
      <c r="AO506" s="213"/>
      <c r="AP506" s="213"/>
      <c r="AQ506" s="213"/>
      <c r="AR506" s="213"/>
      <c r="AS506" s="213"/>
      <c r="AT506" s="213"/>
      <c r="AU506" s="213"/>
      <c r="AV506" s="213"/>
      <c r="AW506" s="213"/>
      <c r="AX506" s="213"/>
      <c r="AY506" s="213"/>
      <c r="AZ506" s="213"/>
      <c r="BA506" s="213"/>
      <c r="BB506" s="213"/>
    </row>
    <row r="507" ht="12.75" customHeight="1" outlineLevel="1">
      <c r="A507" s="235"/>
      <c r="B507" s="236"/>
      <c r="C507" s="237" t="s">
        <v>1331</v>
      </c>
      <c r="D507" s="238"/>
      <c r="E507" s="239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3"/>
      <c r="Z507" s="213"/>
      <c r="AA507" s="213"/>
      <c r="AB507" s="213"/>
      <c r="AC507" s="213"/>
      <c r="AD507" s="213"/>
      <c r="AE507" s="213"/>
      <c r="AF507" s="213"/>
      <c r="AG507" s="213" t="s">
        <v>228</v>
      </c>
      <c r="AH507" s="213">
        <v>0.0</v>
      </c>
      <c r="AI507" s="213"/>
      <c r="AJ507" s="213"/>
      <c r="AK507" s="213"/>
      <c r="AL507" s="213"/>
      <c r="AM507" s="213"/>
      <c r="AN507" s="213"/>
      <c r="AO507" s="213"/>
      <c r="AP507" s="213"/>
      <c r="AQ507" s="213"/>
      <c r="AR507" s="213"/>
      <c r="AS507" s="213"/>
      <c r="AT507" s="213"/>
      <c r="AU507" s="213"/>
      <c r="AV507" s="213"/>
      <c r="AW507" s="213"/>
      <c r="AX507" s="213"/>
      <c r="AY507" s="213"/>
      <c r="AZ507" s="213"/>
      <c r="BA507" s="213"/>
      <c r="BB507" s="213"/>
    </row>
    <row r="508" ht="12.75" customHeight="1" outlineLevel="1">
      <c r="A508" s="235"/>
      <c r="B508" s="236"/>
      <c r="C508" s="237" t="s">
        <v>584</v>
      </c>
      <c r="D508" s="238"/>
      <c r="E508" s="239">
        <v>4.0</v>
      </c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3"/>
      <c r="Z508" s="213"/>
      <c r="AA508" s="213"/>
      <c r="AB508" s="213"/>
      <c r="AC508" s="213"/>
      <c r="AD508" s="213"/>
      <c r="AE508" s="213"/>
      <c r="AF508" s="213"/>
      <c r="AG508" s="213" t="s">
        <v>228</v>
      </c>
      <c r="AH508" s="213">
        <v>0.0</v>
      </c>
      <c r="AI508" s="213"/>
      <c r="AJ508" s="213"/>
      <c r="AK508" s="213"/>
      <c r="AL508" s="213"/>
      <c r="AM508" s="213"/>
      <c r="AN508" s="213"/>
      <c r="AO508" s="213"/>
      <c r="AP508" s="213"/>
      <c r="AQ508" s="213"/>
      <c r="AR508" s="213"/>
      <c r="AS508" s="213"/>
      <c r="AT508" s="213"/>
      <c r="AU508" s="213"/>
      <c r="AV508" s="213"/>
      <c r="AW508" s="213"/>
      <c r="AX508" s="213"/>
      <c r="AY508" s="213"/>
      <c r="AZ508" s="213"/>
      <c r="BA508" s="213"/>
      <c r="BB508" s="213"/>
    </row>
    <row r="509" ht="12.75" customHeight="1" outlineLevel="1">
      <c r="A509" s="235"/>
      <c r="B509" s="236"/>
      <c r="C509" s="237" t="s">
        <v>1333</v>
      </c>
      <c r="D509" s="238"/>
      <c r="E509" s="239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3"/>
      <c r="Z509" s="213"/>
      <c r="AA509" s="213"/>
      <c r="AB509" s="213"/>
      <c r="AC509" s="213"/>
      <c r="AD509" s="213"/>
      <c r="AE509" s="213"/>
      <c r="AF509" s="213"/>
      <c r="AG509" s="213" t="s">
        <v>228</v>
      </c>
      <c r="AH509" s="213">
        <v>0.0</v>
      </c>
      <c r="AI509" s="213"/>
      <c r="AJ509" s="213"/>
      <c r="AK509" s="213"/>
      <c r="AL509" s="213"/>
      <c r="AM509" s="213"/>
      <c r="AN509" s="213"/>
      <c r="AO509" s="213"/>
      <c r="AP509" s="213"/>
      <c r="AQ509" s="213"/>
      <c r="AR509" s="213"/>
      <c r="AS509" s="213"/>
      <c r="AT509" s="213"/>
      <c r="AU509" s="213"/>
      <c r="AV509" s="213"/>
      <c r="AW509" s="213"/>
      <c r="AX509" s="213"/>
      <c r="AY509" s="213"/>
      <c r="AZ509" s="213"/>
      <c r="BA509" s="213"/>
      <c r="BB509" s="213"/>
    </row>
    <row r="510" ht="12.75" customHeight="1" outlineLevel="1">
      <c r="A510" s="235"/>
      <c r="B510" s="236"/>
      <c r="C510" s="237" t="s">
        <v>456</v>
      </c>
      <c r="D510" s="238"/>
      <c r="E510" s="239">
        <v>2.0</v>
      </c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3"/>
      <c r="Z510" s="213"/>
      <c r="AA510" s="213"/>
      <c r="AB510" s="213"/>
      <c r="AC510" s="213"/>
      <c r="AD510" s="213"/>
      <c r="AE510" s="213"/>
      <c r="AF510" s="213"/>
      <c r="AG510" s="213" t="s">
        <v>228</v>
      </c>
      <c r="AH510" s="213">
        <v>0.0</v>
      </c>
      <c r="AI510" s="213"/>
      <c r="AJ510" s="213"/>
      <c r="AK510" s="213"/>
      <c r="AL510" s="213"/>
      <c r="AM510" s="213"/>
      <c r="AN510" s="213"/>
      <c r="AO510" s="213"/>
      <c r="AP510" s="213"/>
      <c r="AQ510" s="213"/>
      <c r="AR510" s="213"/>
      <c r="AS510" s="213"/>
      <c r="AT510" s="213"/>
      <c r="AU510" s="213"/>
      <c r="AV510" s="213"/>
      <c r="AW510" s="213"/>
      <c r="AX510" s="213"/>
      <c r="AY510" s="213"/>
      <c r="AZ510" s="213"/>
      <c r="BA510" s="213"/>
      <c r="BB510" s="213"/>
    </row>
    <row r="511" ht="12.75" customHeight="1" outlineLevel="1">
      <c r="A511" s="235"/>
      <c r="B511" s="236"/>
      <c r="C511" s="237" t="s">
        <v>1194</v>
      </c>
      <c r="D511" s="238"/>
      <c r="E511" s="239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3"/>
      <c r="Z511" s="213"/>
      <c r="AA511" s="213"/>
      <c r="AB511" s="213"/>
      <c r="AC511" s="213"/>
      <c r="AD511" s="213"/>
      <c r="AE511" s="213"/>
      <c r="AF511" s="213"/>
      <c r="AG511" s="213" t="s">
        <v>228</v>
      </c>
      <c r="AH511" s="213">
        <v>0.0</v>
      </c>
      <c r="AI511" s="213"/>
      <c r="AJ511" s="213"/>
      <c r="AK511" s="213"/>
      <c r="AL511" s="213"/>
      <c r="AM511" s="213"/>
      <c r="AN511" s="213"/>
      <c r="AO511" s="213"/>
      <c r="AP511" s="213"/>
      <c r="AQ511" s="213"/>
      <c r="AR511" s="213"/>
      <c r="AS511" s="213"/>
      <c r="AT511" s="213"/>
      <c r="AU511" s="213"/>
      <c r="AV511" s="213"/>
      <c r="AW511" s="213"/>
      <c r="AX511" s="213"/>
      <c r="AY511" s="213"/>
      <c r="AZ511" s="213"/>
      <c r="BA511" s="213"/>
      <c r="BB511" s="213"/>
    </row>
    <row r="512" ht="12.75" customHeight="1" outlineLevel="1">
      <c r="A512" s="235"/>
      <c r="B512" s="236"/>
      <c r="C512" s="237" t="s">
        <v>374</v>
      </c>
      <c r="D512" s="238"/>
      <c r="E512" s="239">
        <v>1.0</v>
      </c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3"/>
      <c r="Z512" s="213"/>
      <c r="AA512" s="213"/>
      <c r="AB512" s="213"/>
      <c r="AC512" s="213"/>
      <c r="AD512" s="213"/>
      <c r="AE512" s="213"/>
      <c r="AF512" s="213"/>
      <c r="AG512" s="213" t="s">
        <v>228</v>
      </c>
      <c r="AH512" s="213">
        <v>0.0</v>
      </c>
      <c r="AI512" s="213"/>
      <c r="AJ512" s="213"/>
      <c r="AK512" s="213"/>
      <c r="AL512" s="213"/>
      <c r="AM512" s="213"/>
      <c r="AN512" s="213"/>
      <c r="AO512" s="213"/>
      <c r="AP512" s="213"/>
      <c r="AQ512" s="213"/>
      <c r="AR512" s="213"/>
      <c r="AS512" s="213"/>
      <c r="AT512" s="213"/>
      <c r="AU512" s="213"/>
      <c r="AV512" s="213"/>
      <c r="AW512" s="213"/>
      <c r="AX512" s="213"/>
      <c r="AY512" s="213"/>
      <c r="AZ512" s="213"/>
      <c r="BA512" s="213"/>
      <c r="BB512" s="213"/>
    </row>
    <row r="513" ht="12.75" customHeight="1" outlineLevel="1">
      <c r="A513" s="204">
        <v>68.0</v>
      </c>
      <c r="B513" s="205" t="s">
        <v>1347</v>
      </c>
      <c r="C513" s="206" t="s">
        <v>1348</v>
      </c>
      <c r="D513" s="207" t="s">
        <v>372</v>
      </c>
      <c r="E513" s="208">
        <v>2.0</v>
      </c>
      <c r="F513" s="209">
        <v>3797.4</v>
      </c>
      <c r="G513" s="210">
        <f t="shared" ref="G513:G515" si="22">ROUND(E513*F513,2)</f>
        <v>7594.8</v>
      </c>
      <c r="H513" s="211"/>
      <c r="I513" s="212">
        <f t="shared" ref="I513:I515" si="23">ROUND(E513*H513,2)</f>
        <v>0</v>
      </c>
      <c r="J513" s="211"/>
      <c r="K513" s="212">
        <f t="shared" ref="K513:K515" si="24">ROUND(E513*J513,2)</f>
        <v>0</v>
      </c>
      <c r="L513" s="212">
        <v>21.0</v>
      </c>
      <c r="M513" s="212">
        <f t="shared" ref="M513:M515" si="25">G513*(1+L513/100)</f>
        <v>9189.708</v>
      </c>
      <c r="N513" s="212">
        <v>0.449</v>
      </c>
      <c r="O513" s="212">
        <f t="shared" ref="O513:O515" si="26">ROUND(E513*N513,2)</f>
        <v>0.9</v>
      </c>
      <c r="P513" s="212">
        <v>0.0</v>
      </c>
      <c r="Q513" s="212">
        <f t="shared" ref="Q513:Q515" si="27">ROUND(E513*P513,2)</f>
        <v>0</v>
      </c>
      <c r="R513" s="212" t="s">
        <v>322</v>
      </c>
      <c r="S513" s="212" t="s">
        <v>184</v>
      </c>
      <c r="T513" s="212" t="s">
        <v>184</v>
      </c>
      <c r="U513" s="212">
        <v>0.0</v>
      </c>
      <c r="V513" s="212">
        <f t="shared" ref="V513:V515" si="28">ROUND(E513*U513,2)</f>
        <v>0</v>
      </c>
      <c r="W513" s="212"/>
      <c r="X513" s="212" t="s">
        <v>323</v>
      </c>
      <c r="Y513" s="213"/>
      <c r="Z513" s="213"/>
      <c r="AA513" s="213"/>
      <c r="AB513" s="213"/>
      <c r="AC513" s="213"/>
      <c r="AD513" s="213"/>
      <c r="AE513" s="213"/>
      <c r="AF513" s="213"/>
      <c r="AG513" s="213" t="s">
        <v>324</v>
      </c>
      <c r="AH513" s="213"/>
      <c r="AI513" s="213"/>
      <c r="AJ513" s="213"/>
      <c r="AK513" s="213"/>
      <c r="AL513" s="213"/>
      <c r="AM513" s="213"/>
      <c r="AN513" s="213"/>
      <c r="AO513" s="213"/>
      <c r="AP513" s="213"/>
      <c r="AQ513" s="213"/>
      <c r="AR513" s="213"/>
      <c r="AS513" s="213"/>
      <c r="AT513" s="213"/>
      <c r="AU513" s="213"/>
      <c r="AV513" s="213"/>
      <c r="AW513" s="213"/>
      <c r="AX513" s="213"/>
      <c r="AY513" s="213"/>
      <c r="AZ513" s="213"/>
      <c r="BA513" s="213"/>
      <c r="BB513" s="213"/>
    </row>
    <row r="514" ht="12.75" customHeight="1" outlineLevel="1">
      <c r="A514" s="204">
        <v>69.0</v>
      </c>
      <c r="B514" s="205" t="s">
        <v>598</v>
      </c>
      <c r="C514" s="206" t="s">
        <v>599</v>
      </c>
      <c r="D514" s="207" t="s">
        <v>372</v>
      </c>
      <c r="E514" s="208">
        <v>6.0</v>
      </c>
      <c r="F514" s="209">
        <v>9915.0</v>
      </c>
      <c r="G514" s="210">
        <f t="shared" si="22"/>
        <v>59490</v>
      </c>
      <c r="H514" s="211"/>
      <c r="I514" s="212">
        <f t="shared" si="23"/>
        <v>0</v>
      </c>
      <c r="J514" s="211"/>
      <c r="K514" s="212">
        <f t="shared" si="24"/>
        <v>0</v>
      </c>
      <c r="L514" s="212">
        <v>21.0</v>
      </c>
      <c r="M514" s="212">
        <f t="shared" si="25"/>
        <v>71982.9</v>
      </c>
      <c r="N514" s="212">
        <v>1.6</v>
      </c>
      <c r="O514" s="212">
        <f t="shared" si="26"/>
        <v>9.6</v>
      </c>
      <c r="P514" s="212">
        <v>0.0</v>
      </c>
      <c r="Q514" s="212">
        <f t="shared" si="27"/>
        <v>0</v>
      </c>
      <c r="R514" s="212" t="s">
        <v>322</v>
      </c>
      <c r="S514" s="212" t="s">
        <v>184</v>
      </c>
      <c r="T514" s="212" t="s">
        <v>184</v>
      </c>
      <c r="U514" s="212">
        <v>0.0</v>
      </c>
      <c r="V514" s="212">
        <f t="shared" si="28"/>
        <v>0</v>
      </c>
      <c r="W514" s="212"/>
      <c r="X514" s="212" t="s">
        <v>323</v>
      </c>
      <c r="Y514" s="213"/>
      <c r="Z514" s="213"/>
      <c r="AA514" s="213"/>
      <c r="AB514" s="213"/>
      <c r="AC514" s="213"/>
      <c r="AD514" s="213"/>
      <c r="AE514" s="213"/>
      <c r="AF514" s="213"/>
      <c r="AG514" s="213" t="s">
        <v>324</v>
      </c>
      <c r="AH514" s="213"/>
      <c r="AI514" s="213"/>
      <c r="AJ514" s="213"/>
      <c r="AK514" s="213"/>
      <c r="AL514" s="213"/>
      <c r="AM514" s="213"/>
      <c r="AN514" s="213"/>
      <c r="AO514" s="213"/>
      <c r="AP514" s="213"/>
      <c r="AQ514" s="213"/>
      <c r="AR514" s="213"/>
      <c r="AS514" s="213"/>
      <c r="AT514" s="213"/>
      <c r="AU514" s="213"/>
      <c r="AV514" s="213"/>
      <c r="AW514" s="213"/>
      <c r="AX514" s="213"/>
      <c r="AY514" s="213"/>
      <c r="AZ514" s="213"/>
      <c r="BA514" s="213"/>
      <c r="BB514" s="213"/>
    </row>
    <row r="515" ht="12.75" customHeight="1" outlineLevel="1">
      <c r="A515" s="204">
        <v>70.0</v>
      </c>
      <c r="B515" s="205" t="s">
        <v>600</v>
      </c>
      <c r="C515" s="206" t="s">
        <v>601</v>
      </c>
      <c r="D515" s="207" t="s">
        <v>372</v>
      </c>
      <c r="E515" s="208">
        <v>16.0</v>
      </c>
      <c r="F515" s="209">
        <v>208.0</v>
      </c>
      <c r="G515" s="210">
        <f t="shared" si="22"/>
        <v>3328</v>
      </c>
      <c r="H515" s="211"/>
      <c r="I515" s="212">
        <f t="shared" si="23"/>
        <v>0</v>
      </c>
      <c r="J515" s="211"/>
      <c r="K515" s="212">
        <f t="shared" si="24"/>
        <v>0</v>
      </c>
      <c r="L515" s="212">
        <v>21.0</v>
      </c>
      <c r="M515" s="212">
        <f t="shared" si="25"/>
        <v>4026.88</v>
      </c>
      <c r="N515" s="212">
        <v>0.002</v>
      </c>
      <c r="O515" s="212">
        <f t="shared" si="26"/>
        <v>0.03</v>
      </c>
      <c r="P515" s="212">
        <v>0.0</v>
      </c>
      <c r="Q515" s="212">
        <f t="shared" si="27"/>
        <v>0</v>
      </c>
      <c r="R515" s="212" t="s">
        <v>322</v>
      </c>
      <c r="S515" s="212" t="s">
        <v>184</v>
      </c>
      <c r="T515" s="212" t="s">
        <v>184</v>
      </c>
      <c r="U515" s="212">
        <v>0.0</v>
      </c>
      <c r="V515" s="212">
        <f t="shared" si="28"/>
        <v>0</v>
      </c>
      <c r="W515" s="212"/>
      <c r="X515" s="212" t="s">
        <v>323</v>
      </c>
      <c r="Y515" s="213"/>
      <c r="Z515" s="213"/>
      <c r="AA515" s="213"/>
      <c r="AB515" s="213"/>
      <c r="AC515" s="213"/>
      <c r="AD515" s="213"/>
      <c r="AE515" s="213"/>
      <c r="AF515" s="213"/>
      <c r="AG515" s="213" t="s">
        <v>324</v>
      </c>
      <c r="AH515" s="213"/>
      <c r="AI515" s="213"/>
      <c r="AJ515" s="213"/>
      <c r="AK515" s="213"/>
      <c r="AL515" s="213"/>
      <c r="AM515" s="213"/>
      <c r="AN515" s="213"/>
      <c r="AO515" s="213"/>
      <c r="AP515" s="213"/>
      <c r="AQ515" s="213"/>
      <c r="AR515" s="213"/>
      <c r="AS515" s="213"/>
      <c r="AT515" s="213"/>
      <c r="AU515" s="213"/>
      <c r="AV515" s="213"/>
      <c r="AW515" s="213"/>
      <c r="AX515" s="213"/>
      <c r="AY515" s="213"/>
      <c r="AZ515" s="213"/>
      <c r="BA515" s="213"/>
      <c r="BB515" s="213"/>
    </row>
    <row r="516" ht="12.75" customHeight="1">
      <c r="A516" s="196" t="s">
        <v>173</v>
      </c>
      <c r="B516" s="197" t="s">
        <v>110</v>
      </c>
      <c r="C516" s="198" t="s">
        <v>111</v>
      </c>
      <c r="D516" s="199"/>
      <c r="E516" s="200"/>
      <c r="F516" s="201"/>
      <c r="G516" s="202">
        <f>SUMIF(AG517:AG524,"&lt;&gt;NOR",G517:G524)</f>
        <v>760350</v>
      </c>
      <c r="H516" s="203"/>
      <c r="I516" s="203">
        <f>SUM(I517:I524)</f>
        <v>0</v>
      </c>
      <c r="J516" s="203"/>
      <c r="K516" s="203">
        <f>SUM(K517:K524)</f>
        <v>0</v>
      </c>
      <c r="L516" s="203"/>
      <c r="M516" s="203">
        <f>SUM(M517:M524)</f>
        <v>920023.5</v>
      </c>
      <c r="N516" s="203"/>
      <c r="O516" s="203">
        <f>SUM(O517:O524)</f>
        <v>46</v>
      </c>
      <c r="P516" s="203"/>
      <c r="Q516" s="203">
        <f>SUM(Q517:Q524)</f>
        <v>0</v>
      </c>
      <c r="R516" s="203"/>
      <c r="S516" s="203"/>
      <c r="T516" s="203"/>
      <c r="U516" s="203"/>
      <c r="V516" s="203">
        <f>SUM(V517:V524)</f>
        <v>0</v>
      </c>
      <c r="W516" s="203"/>
      <c r="X516" s="203"/>
      <c r="AG516" s="184" t="s">
        <v>174</v>
      </c>
    </row>
    <row r="517" ht="12.75" customHeight="1" outlineLevel="1">
      <c r="A517" s="214">
        <v>71.0</v>
      </c>
      <c r="B517" s="215" t="s">
        <v>1349</v>
      </c>
      <c r="C517" s="216" t="s">
        <v>1350</v>
      </c>
      <c r="D517" s="217" t="s">
        <v>372</v>
      </c>
      <c r="E517" s="218">
        <v>1.0</v>
      </c>
      <c r="F517" s="219">
        <v>760350.0</v>
      </c>
      <c r="G517" s="220">
        <f>ROUND(E517*F517,2)</f>
        <v>760350</v>
      </c>
      <c r="H517" s="211"/>
      <c r="I517" s="212">
        <f>ROUND(E517*H517,2)</f>
        <v>0</v>
      </c>
      <c r="J517" s="211"/>
      <c r="K517" s="212">
        <f>ROUND(E517*J517,2)</f>
        <v>0</v>
      </c>
      <c r="L517" s="212">
        <v>21.0</v>
      </c>
      <c r="M517" s="212">
        <f>G517*(1+L517/100)</f>
        <v>920023.5</v>
      </c>
      <c r="N517" s="212">
        <v>46.0</v>
      </c>
      <c r="O517" s="212">
        <f>ROUND(E517*N517,2)</f>
        <v>46</v>
      </c>
      <c r="P517" s="212">
        <v>0.0</v>
      </c>
      <c r="Q517" s="212">
        <f>ROUND(E517*P517,2)</f>
        <v>0</v>
      </c>
      <c r="R517" s="212"/>
      <c r="S517" s="212" t="s">
        <v>178</v>
      </c>
      <c r="T517" s="212" t="s">
        <v>179</v>
      </c>
      <c r="U517" s="212">
        <v>0.0</v>
      </c>
      <c r="V517" s="212">
        <f>ROUND(E517*U517,2)</f>
        <v>0</v>
      </c>
      <c r="W517" s="212"/>
      <c r="X517" s="212" t="s">
        <v>225</v>
      </c>
      <c r="Y517" s="213"/>
      <c r="Z517" s="213"/>
      <c r="AA517" s="213"/>
      <c r="AB517" s="213"/>
      <c r="AC517" s="213"/>
      <c r="AD517" s="213"/>
      <c r="AE517" s="213"/>
      <c r="AF517" s="213"/>
      <c r="AG517" s="213" t="s">
        <v>226</v>
      </c>
      <c r="AH517" s="213"/>
      <c r="AI517" s="213"/>
      <c r="AJ517" s="213"/>
      <c r="AK517" s="213"/>
      <c r="AL517" s="213"/>
      <c r="AM517" s="213"/>
      <c r="AN517" s="213"/>
      <c r="AO517" s="213"/>
      <c r="AP517" s="213"/>
      <c r="AQ517" s="213"/>
      <c r="AR517" s="213"/>
      <c r="AS517" s="213"/>
      <c r="AT517" s="213"/>
      <c r="AU517" s="213"/>
      <c r="AV517" s="213"/>
      <c r="AW517" s="213"/>
      <c r="AX517" s="213"/>
      <c r="AY517" s="213"/>
      <c r="AZ517" s="213"/>
      <c r="BA517" s="213"/>
      <c r="BB517" s="213"/>
    </row>
    <row r="518" ht="12.75" customHeight="1" outlineLevel="1">
      <c r="A518" s="235"/>
      <c r="B518" s="236"/>
      <c r="C518" s="237" t="s">
        <v>1351</v>
      </c>
      <c r="D518" s="238"/>
      <c r="E518" s="239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3"/>
      <c r="Z518" s="213"/>
      <c r="AA518" s="213"/>
      <c r="AB518" s="213"/>
      <c r="AC518" s="213"/>
      <c r="AD518" s="213"/>
      <c r="AE518" s="213"/>
      <c r="AF518" s="213"/>
      <c r="AG518" s="213" t="s">
        <v>228</v>
      </c>
      <c r="AH518" s="213">
        <v>0.0</v>
      </c>
      <c r="AI518" s="213"/>
      <c r="AJ518" s="213"/>
      <c r="AK518" s="213"/>
      <c r="AL518" s="213"/>
      <c r="AM518" s="213"/>
      <c r="AN518" s="213"/>
      <c r="AO518" s="213"/>
      <c r="AP518" s="213"/>
      <c r="AQ518" s="213"/>
      <c r="AR518" s="213"/>
      <c r="AS518" s="213"/>
      <c r="AT518" s="213"/>
      <c r="AU518" s="213"/>
      <c r="AV518" s="213"/>
      <c r="AW518" s="213"/>
      <c r="AX518" s="213"/>
      <c r="AY518" s="213"/>
      <c r="AZ518" s="213"/>
      <c r="BA518" s="213"/>
      <c r="BB518" s="213"/>
    </row>
    <row r="519" ht="12.75" customHeight="1" outlineLevel="1">
      <c r="A519" s="235"/>
      <c r="B519" s="236"/>
      <c r="C519" s="237" t="s">
        <v>1352</v>
      </c>
      <c r="D519" s="238"/>
      <c r="E519" s="239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3"/>
      <c r="Z519" s="213"/>
      <c r="AA519" s="213"/>
      <c r="AB519" s="213"/>
      <c r="AC519" s="213"/>
      <c r="AD519" s="213"/>
      <c r="AE519" s="213"/>
      <c r="AF519" s="213"/>
      <c r="AG519" s="213" t="s">
        <v>228</v>
      </c>
      <c r="AH519" s="213">
        <v>0.0</v>
      </c>
      <c r="AI519" s="213"/>
      <c r="AJ519" s="213"/>
      <c r="AK519" s="213"/>
      <c r="AL519" s="213"/>
      <c r="AM519" s="213"/>
      <c r="AN519" s="213"/>
      <c r="AO519" s="213"/>
      <c r="AP519" s="213"/>
      <c r="AQ519" s="213"/>
      <c r="AR519" s="213"/>
      <c r="AS519" s="213"/>
      <c r="AT519" s="213"/>
      <c r="AU519" s="213"/>
      <c r="AV519" s="213"/>
      <c r="AW519" s="213"/>
      <c r="AX519" s="213"/>
      <c r="AY519" s="213"/>
      <c r="AZ519" s="213"/>
      <c r="BA519" s="213"/>
      <c r="BB519" s="213"/>
    </row>
    <row r="520" ht="12.75" customHeight="1" outlineLevel="1">
      <c r="A520" s="235"/>
      <c r="B520" s="236"/>
      <c r="C520" s="237" t="s">
        <v>1353</v>
      </c>
      <c r="D520" s="238"/>
      <c r="E520" s="239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3"/>
      <c r="Z520" s="213"/>
      <c r="AA520" s="213"/>
      <c r="AB520" s="213"/>
      <c r="AC520" s="213"/>
      <c r="AD520" s="213"/>
      <c r="AE520" s="213"/>
      <c r="AF520" s="213"/>
      <c r="AG520" s="213" t="s">
        <v>228</v>
      </c>
      <c r="AH520" s="213">
        <v>0.0</v>
      </c>
      <c r="AI520" s="213"/>
      <c r="AJ520" s="213"/>
      <c r="AK520" s="213"/>
      <c r="AL520" s="213"/>
      <c r="AM520" s="213"/>
      <c r="AN520" s="213"/>
      <c r="AO520" s="213"/>
      <c r="AP520" s="213"/>
      <c r="AQ520" s="213"/>
      <c r="AR520" s="213"/>
      <c r="AS520" s="213"/>
      <c r="AT520" s="213"/>
      <c r="AU520" s="213"/>
      <c r="AV520" s="213"/>
      <c r="AW520" s="213"/>
      <c r="AX520" s="213"/>
      <c r="AY520" s="213"/>
      <c r="AZ520" s="213"/>
      <c r="BA520" s="213"/>
      <c r="BB520" s="213"/>
    </row>
    <row r="521" ht="12.75" customHeight="1" outlineLevel="1">
      <c r="A521" s="235"/>
      <c r="B521" s="236"/>
      <c r="C521" s="237" t="s">
        <v>1354</v>
      </c>
      <c r="D521" s="238"/>
      <c r="E521" s="239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3"/>
      <c r="Z521" s="213"/>
      <c r="AA521" s="213"/>
      <c r="AB521" s="213"/>
      <c r="AC521" s="213"/>
      <c r="AD521" s="213"/>
      <c r="AE521" s="213"/>
      <c r="AF521" s="213"/>
      <c r="AG521" s="213" t="s">
        <v>228</v>
      </c>
      <c r="AH521" s="213">
        <v>0.0</v>
      </c>
      <c r="AI521" s="213"/>
      <c r="AJ521" s="213"/>
      <c r="AK521" s="213"/>
      <c r="AL521" s="213"/>
      <c r="AM521" s="213"/>
      <c r="AN521" s="213"/>
      <c r="AO521" s="213"/>
      <c r="AP521" s="213"/>
      <c r="AQ521" s="213"/>
      <c r="AR521" s="213"/>
      <c r="AS521" s="213"/>
      <c r="AT521" s="213"/>
      <c r="AU521" s="213"/>
      <c r="AV521" s="213"/>
      <c r="AW521" s="213"/>
      <c r="AX521" s="213"/>
      <c r="AY521" s="213"/>
      <c r="AZ521" s="213"/>
      <c r="BA521" s="213"/>
      <c r="BB521" s="213"/>
    </row>
    <row r="522" ht="12.75" customHeight="1" outlineLevel="1">
      <c r="A522" s="235"/>
      <c r="B522" s="236"/>
      <c r="C522" s="237" t="s">
        <v>1355</v>
      </c>
      <c r="D522" s="238"/>
      <c r="E522" s="239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3"/>
      <c r="Z522" s="213"/>
      <c r="AA522" s="213"/>
      <c r="AB522" s="213"/>
      <c r="AC522" s="213"/>
      <c r="AD522" s="213"/>
      <c r="AE522" s="213"/>
      <c r="AF522" s="213"/>
      <c r="AG522" s="213" t="s">
        <v>228</v>
      </c>
      <c r="AH522" s="213">
        <v>0.0</v>
      </c>
      <c r="AI522" s="213"/>
      <c r="AJ522" s="213"/>
      <c r="AK522" s="213"/>
      <c r="AL522" s="213"/>
      <c r="AM522" s="213"/>
      <c r="AN522" s="213"/>
      <c r="AO522" s="213"/>
      <c r="AP522" s="213"/>
      <c r="AQ522" s="213"/>
      <c r="AR522" s="213"/>
      <c r="AS522" s="213"/>
      <c r="AT522" s="213"/>
      <c r="AU522" s="213"/>
      <c r="AV522" s="213"/>
      <c r="AW522" s="213"/>
      <c r="AX522" s="213"/>
      <c r="AY522" s="213"/>
      <c r="AZ522" s="213"/>
      <c r="BA522" s="213"/>
      <c r="BB522" s="213"/>
    </row>
    <row r="523" ht="12.75" customHeight="1" outlineLevel="1">
      <c r="A523" s="235"/>
      <c r="B523" s="236"/>
      <c r="C523" s="237" t="s">
        <v>1356</v>
      </c>
      <c r="D523" s="238"/>
      <c r="E523" s="239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3"/>
      <c r="Z523" s="213"/>
      <c r="AA523" s="213"/>
      <c r="AB523" s="213"/>
      <c r="AC523" s="213"/>
      <c r="AD523" s="213"/>
      <c r="AE523" s="213"/>
      <c r="AF523" s="213"/>
      <c r="AG523" s="213" t="s">
        <v>228</v>
      </c>
      <c r="AH523" s="213">
        <v>0.0</v>
      </c>
      <c r="AI523" s="213"/>
      <c r="AJ523" s="213"/>
      <c r="AK523" s="213"/>
      <c r="AL523" s="213"/>
      <c r="AM523" s="213"/>
      <c r="AN523" s="213"/>
      <c r="AO523" s="213"/>
      <c r="AP523" s="213"/>
      <c r="AQ523" s="213"/>
      <c r="AR523" s="213"/>
      <c r="AS523" s="213"/>
      <c r="AT523" s="213"/>
      <c r="AU523" s="213"/>
      <c r="AV523" s="213"/>
      <c r="AW523" s="213"/>
      <c r="AX523" s="213"/>
      <c r="AY523" s="213"/>
      <c r="AZ523" s="213"/>
      <c r="BA523" s="213"/>
      <c r="BB523" s="213"/>
    </row>
    <row r="524" ht="12.75" customHeight="1" outlineLevel="1">
      <c r="A524" s="235"/>
      <c r="B524" s="236"/>
      <c r="C524" s="237" t="s">
        <v>374</v>
      </c>
      <c r="D524" s="238"/>
      <c r="E524" s="239">
        <v>1.0</v>
      </c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3"/>
      <c r="Z524" s="213"/>
      <c r="AA524" s="213"/>
      <c r="AB524" s="213"/>
      <c r="AC524" s="213"/>
      <c r="AD524" s="213"/>
      <c r="AE524" s="213"/>
      <c r="AF524" s="213"/>
      <c r="AG524" s="213" t="s">
        <v>228</v>
      </c>
      <c r="AH524" s="213">
        <v>0.0</v>
      </c>
      <c r="AI524" s="213"/>
      <c r="AJ524" s="213"/>
      <c r="AK524" s="213"/>
      <c r="AL524" s="213"/>
      <c r="AM524" s="213"/>
      <c r="AN524" s="213"/>
      <c r="AO524" s="213"/>
      <c r="AP524" s="213"/>
      <c r="AQ524" s="213"/>
      <c r="AR524" s="213"/>
      <c r="AS524" s="213"/>
      <c r="AT524" s="213"/>
      <c r="AU524" s="213"/>
      <c r="AV524" s="213"/>
      <c r="AW524" s="213"/>
      <c r="AX524" s="213"/>
      <c r="AY524" s="213"/>
      <c r="AZ524" s="213"/>
      <c r="BA524" s="213"/>
      <c r="BB524" s="213"/>
    </row>
    <row r="525" ht="12.75" customHeight="1">
      <c r="A525" s="196" t="s">
        <v>173</v>
      </c>
      <c r="B525" s="197" t="s">
        <v>112</v>
      </c>
      <c r="C525" s="198" t="s">
        <v>113</v>
      </c>
      <c r="D525" s="199"/>
      <c r="E525" s="200"/>
      <c r="F525" s="201"/>
      <c r="G525" s="202">
        <f>SUMIF(AG526:AG551,"&lt;&gt;NOR",G526:G551)</f>
        <v>469339.7</v>
      </c>
      <c r="H525" s="203"/>
      <c r="I525" s="203">
        <f>SUM(I526:I551)</f>
        <v>0</v>
      </c>
      <c r="J525" s="203"/>
      <c r="K525" s="203">
        <f>SUM(K526:K551)</f>
        <v>0</v>
      </c>
      <c r="L525" s="203"/>
      <c r="M525" s="203">
        <f>SUM(M526:M551)</f>
        <v>567901.037</v>
      </c>
      <c r="N525" s="203"/>
      <c r="O525" s="203">
        <f>SUM(O526:O551)</f>
        <v>8</v>
      </c>
      <c r="P525" s="203"/>
      <c r="Q525" s="203">
        <f>SUM(Q526:Q551)</f>
        <v>0</v>
      </c>
      <c r="R525" s="203"/>
      <c r="S525" s="203"/>
      <c r="T525" s="203"/>
      <c r="U525" s="203"/>
      <c r="V525" s="203">
        <f>SUM(V526:V551)</f>
        <v>0</v>
      </c>
      <c r="W525" s="203"/>
      <c r="X525" s="203"/>
      <c r="AG525" s="184" t="s">
        <v>174</v>
      </c>
    </row>
    <row r="526" ht="12.75" customHeight="1" outlineLevel="1">
      <c r="A526" s="214">
        <v>72.0</v>
      </c>
      <c r="B526" s="215" t="s">
        <v>1357</v>
      </c>
      <c r="C526" s="216" t="s">
        <v>1358</v>
      </c>
      <c r="D526" s="217" t="s">
        <v>372</v>
      </c>
      <c r="E526" s="218">
        <v>1.0</v>
      </c>
      <c r="F526" s="219">
        <v>210547.0</v>
      </c>
      <c r="G526" s="220">
        <f>ROUND(E526*F526,2)</f>
        <v>210547</v>
      </c>
      <c r="H526" s="211"/>
      <c r="I526" s="212">
        <f>ROUND(E526*H526,2)</f>
        <v>0</v>
      </c>
      <c r="J526" s="211"/>
      <c r="K526" s="212">
        <f>ROUND(E526*J526,2)</f>
        <v>0</v>
      </c>
      <c r="L526" s="212">
        <v>21.0</v>
      </c>
      <c r="M526" s="212">
        <f>G526*(1+L526/100)</f>
        <v>254761.87</v>
      </c>
      <c r="N526" s="212">
        <v>8.0</v>
      </c>
      <c r="O526" s="212">
        <f>ROUND(E526*N526,2)</f>
        <v>8</v>
      </c>
      <c r="P526" s="212">
        <v>0.0</v>
      </c>
      <c r="Q526" s="212">
        <f>ROUND(E526*P526,2)</f>
        <v>0</v>
      </c>
      <c r="R526" s="212"/>
      <c r="S526" s="212" t="s">
        <v>178</v>
      </c>
      <c r="T526" s="212" t="s">
        <v>179</v>
      </c>
      <c r="U526" s="212">
        <v>0.0</v>
      </c>
      <c r="V526" s="212">
        <f>ROUND(E526*U526,2)</f>
        <v>0</v>
      </c>
      <c r="W526" s="212"/>
      <c r="X526" s="212" t="s">
        <v>225</v>
      </c>
      <c r="Y526" s="213"/>
      <c r="Z526" s="213"/>
      <c r="AA526" s="213"/>
      <c r="AB526" s="213"/>
      <c r="AC526" s="213"/>
      <c r="AD526" s="213"/>
      <c r="AE526" s="213"/>
      <c r="AF526" s="213"/>
      <c r="AG526" s="213" t="s">
        <v>226</v>
      </c>
      <c r="AH526" s="213"/>
      <c r="AI526" s="213"/>
      <c r="AJ526" s="213"/>
      <c r="AK526" s="213"/>
      <c r="AL526" s="213"/>
      <c r="AM526" s="213"/>
      <c r="AN526" s="213"/>
      <c r="AO526" s="213"/>
      <c r="AP526" s="213"/>
      <c r="AQ526" s="213"/>
      <c r="AR526" s="213"/>
      <c r="AS526" s="213"/>
      <c r="AT526" s="213"/>
      <c r="AU526" s="213"/>
      <c r="AV526" s="213"/>
      <c r="AW526" s="213"/>
      <c r="AX526" s="213"/>
      <c r="AY526" s="213"/>
      <c r="AZ526" s="213"/>
      <c r="BA526" s="213"/>
      <c r="BB526" s="213"/>
    </row>
    <row r="527" ht="12.75" customHeight="1" outlineLevel="1">
      <c r="A527" s="235"/>
      <c r="B527" s="236"/>
      <c r="C527" s="237" t="s">
        <v>627</v>
      </c>
      <c r="D527" s="238"/>
      <c r="E527" s="239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3"/>
      <c r="Z527" s="213"/>
      <c r="AA527" s="213"/>
      <c r="AB527" s="213"/>
      <c r="AC527" s="213"/>
      <c r="AD527" s="213"/>
      <c r="AE527" s="213"/>
      <c r="AF527" s="213"/>
      <c r="AG527" s="213" t="s">
        <v>228</v>
      </c>
      <c r="AH527" s="213">
        <v>0.0</v>
      </c>
      <c r="AI527" s="213"/>
      <c r="AJ527" s="213"/>
      <c r="AK527" s="213"/>
      <c r="AL527" s="213"/>
      <c r="AM527" s="213"/>
      <c r="AN527" s="213"/>
      <c r="AO527" s="213"/>
      <c r="AP527" s="213"/>
      <c r="AQ527" s="213"/>
      <c r="AR527" s="213"/>
      <c r="AS527" s="213"/>
      <c r="AT527" s="213"/>
      <c r="AU527" s="213"/>
      <c r="AV527" s="213"/>
      <c r="AW527" s="213"/>
      <c r="AX527" s="213"/>
      <c r="AY527" s="213"/>
      <c r="AZ527" s="213"/>
      <c r="BA527" s="213"/>
      <c r="BB527" s="213"/>
    </row>
    <row r="528" ht="12.75" customHeight="1" outlineLevel="1">
      <c r="A528" s="235"/>
      <c r="B528" s="236"/>
      <c r="C528" s="237" t="s">
        <v>1359</v>
      </c>
      <c r="D528" s="238"/>
      <c r="E528" s="239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3"/>
      <c r="Z528" s="213"/>
      <c r="AA528" s="213"/>
      <c r="AB528" s="213"/>
      <c r="AC528" s="213"/>
      <c r="AD528" s="213"/>
      <c r="AE528" s="213"/>
      <c r="AF528" s="213"/>
      <c r="AG528" s="213" t="s">
        <v>228</v>
      </c>
      <c r="AH528" s="213">
        <v>0.0</v>
      </c>
      <c r="AI528" s="213"/>
      <c r="AJ528" s="213"/>
      <c r="AK528" s="213"/>
      <c r="AL528" s="213"/>
      <c r="AM528" s="213"/>
      <c r="AN528" s="213"/>
      <c r="AO528" s="213"/>
      <c r="AP528" s="213"/>
      <c r="AQ528" s="213"/>
      <c r="AR528" s="213"/>
      <c r="AS528" s="213"/>
      <c r="AT528" s="213"/>
      <c r="AU528" s="213"/>
      <c r="AV528" s="213"/>
      <c r="AW528" s="213"/>
      <c r="AX528" s="213"/>
      <c r="AY528" s="213"/>
      <c r="AZ528" s="213"/>
      <c r="BA528" s="213"/>
      <c r="BB528" s="213"/>
    </row>
    <row r="529" ht="12.75" customHeight="1" outlineLevel="1">
      <c r="A529" s="235"/>
      <c r="B529" s="236"/>
      <c r="C529" s="237" t="s">
        <v>1352</v>
      </c>
      <c r="D529" s="238"/>
      <c r="E529" s="239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3"/>
      <c r="Z529" s="213"/>
      <c r="AA529" s="213"/>
      <c r="AB529" s="213"/>
      <c r="AC529" s="213"/>
      <c r="AD529" s="213"/>
      <c r="AE529" s="213"/>
      <c r="AF529" s="213"/>
      <c r="AG529" s="213" t="s">
        <v>228</v>
      </c>
      <c r="AH529" s="213">
        <v>0.0</v>
      </c>
      <c r="AI529" s="213"/>
      <c r="AJ529" s="213"/>
      <c r="AK529" s="213"/>
      <c r="AL529" s="213"/>
      <c r="AM529" s="213"/>
      <c r="AN529" s="213"/>
      <c r="AO529" s="213"/>
      <c r="AP529" s="213"/>
      <c r="AQ529" s="213"/>
      <c r="AR529" s="213"/>
      <c r="AS529" s="213"/>
      <c r="AT529" s="213"/>
      <c r="AU529" s="213"/>
      <c r="AV529" s="213"/>
      <c r="AW529" s="213"/>
      <c r="AX529" s="213"/>
      <c r="AY529" s="213"/>
      <c r="AZ529" s="213"/>
      <c r="BA529" s="213"/>
      <c r="BB529" s="213"/>
    </row>
    <row r="530" ht="12.75" customHeight="1" outlineLevel="1">
      <c r="A530" s="235"/>
      <c r="B530" s="236"/>
      <c r="C530" s="237" t="s">
        <v>1360</v>
      </c>
      <c r="D530" s="238"/>
      <c r="E530" s="239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3"/>
      <c r="Z530" s="213"/>
      <c r="AA530" s="213"/>
      <c r="AB530" s="213"/>
      <c r="AC530" s="213"/>
      <c r="AD530" s="213"/>
      <c r="AE530" s="213"/>
      <c r="AF530" s="213"/>
      <c r="AG530" s="213" t="s">
        <v>228</v>
      </c>
      <c r="AH530" s="213">
        <v>0.0</v>
      </c>
      <c r="AI530" s="213"/>
      <c r="AJ530" s="213"/>
      <c r="AK530" s="213"/>
      <c r="AL530" s="213"/>
      <c r="AM530" s="213"/>
      <c r="AN530" s="213"/>
      <c r="AO530" s="213"/>
      <c r="AP530" s="213"/>
      <c r="AQ530" s="213"/>
      <c r="AR530" s="213"/>
      <c r="AS530" s="213"/>
      <c r="AT530" s="213"/>
      <c r="AU530" s="213"/>
      <c r="AV530" s="213"/>
      <c r="AW530" s="213"/>
      <c r="AX530" s="213"/>
      <c r="AY530" s="213"/>
      <c r="AZ530" s="213"/>
      <c r="BA530" s="213"/>
      <c r="BB530" s="213"/>
    </row>
    <row r="531" ht="12.75" customHeight="1" outlineLevel="1">
      <c r="A531" s="235"/>
      <c r="B531" s="236"/>
      <c r="C531" s="237" t="s">
        <v>1354</v>
      </c>
      <c r="D531" s="238"/>
      <c r="E531" s="239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3"/>
      <c r="Z531" s="213"/>
      <c r="AA531" s="213"/>
      <c r="AB531" s="213"/>
      <c r="AC531" s="213"/>
      <c r="AD531" s="213"/>
      <c r="AE531" s="213"/>
      <c r="AF531" s="213"/>
      <c r="AG531" s="213" t="s">
        <v>228</v>
      </c>
      <c r="AH531" s="213">
        <v>0.0</v>
      </c>
      <c r="AI531" s="213"/>
      <c r="AJ531" s="213"/>
      <c r="AK531" s="213"/>
      <c r="AL531" s="213"/>
      <c r="AM531" s="213"/>
      <c r="AN531" s="213"/>
      <c r="AO531" s="213"/>
      <c r="AP531" s="213"/>
      <c r="AQ531" s="213"/>
      <c r="AR531" s="213"/>
      <c r="AS531" s="213"/>
      <c r="AT531" s="213"/>
      <c r="AU531" s="213"/>
      <c r="AV531" s="213"/>
      <c r="AW531" s="213"/>
      <c r="AX531" s="213"/>
      <c r="AY531" s="213"/>
      <c r="AZ531" s="213"/>
      <c r="BA531" s="213"/>
      <c r="BB531" s="213"/>
    </row>
    <row r="532" ht="12.75" customHeight="1" outlineLevel="1">
      <c r="A532" s="235"/>
      <c r="B532" s="236"/>
      <c r="C532" s="237" t="s">
        <v>1355</v>
      </c>
      <c r="D532" s="238"/>
      <c r="E532" s="239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3"/>
      <c r="Z532" s="213"/>
      <c r="AA532" s="213"/>
      <c r="AB532" s="213"/>
      <c r="AC532" s="213"/>
      <c r="AD532" s="213"/>
      <c r="AE532" s="213"/>
      <c r="AF532" s="213"/>
      <c r="AG532" s="213" t="s">
        <v>228</v>
      </c>
      <c r="AH532" s="213">
        <v>0.0</v>
      </c>
      <c r="AI532" s="213"/>
      <c r="AJ532" s="213"/>
      <c r="AK532" s="213"/>
      <c r="AL532" s="213"/>
      <c r="AM532" s="213"/>
      <c r="AN532" s="213"/>
      <c r="AO532" s="213"/>
      <c r="AP532" s="213"/>
      <c r="AQ532" s="213"/>
      <c r="AR532" s="213"/>
      <c r="AS532" s="213"/>
      <c r="AT532" s="213"/>
      <c r="AU532" s="213"/>
      <c r="AV532" s="213"/>
      <c r="AW532" s="213"/>
      <c r="AX532" s="213"/>
      <c r="AY532" s="213"/>
      <c r="AZ532" s="213"/>
      <c r="BA532" s="213"/>
      <c r="BB532" s="213"/>
    </row>
    <row r="533" ht="12.75" customHeight="1" outlineLevel="1">
      <c r="A533" s="235"/>
      <c r="B533" s="236"/>
      <c r="C533" s="237" t="s">
        <v>1356</v>
      </c>
      <c r="D533" s="238"/>
      <c r="E533" s="239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3"/>
      <c r="Z533" s="213"/>
      <c r="AA533" s="213"/>
      <c r="AB533" s="213"/>
      <c r="AC533" s="213"/>
      <c r="AD533" s="213"/>
      <c r="AE533" s="213"/>
      <c r="AF533" s="213"/>
      <c r="AG533" s="213" t="s">
        <v>228</v>
      </c>
      <c r="AH533" s="213">
        <v>0.0</v>
      </c>
      <c r="AI533" s="213"/>
      <c r="AJ533" s="213"/>
      <c r="AK533" s="213"/>
      <c r="AL533" s="213"/>
      <c r="AM533" s="213"/>
      <c r="AN533" s="213"/>
      <c r="AO533" s="213"/>
      <c r="AP533" s="213"/>
      <c r="AQ533" s="213"/>
      <c r="AR533" s="213"/>
      <c r="AS533" s="213"/>
      <c r="AT533" s="213"/>
      <c r="AU533" s="213"/>
      <c r="AV533" s="213"/>
      <c r="AW533" s="213"/>
      <c r="AX533" s="213"/>
      <c r="AY533" s="213"/>
      <c r="AZ533" s="213"/>
      <c r="BA533" s="213"/>
      <c r="BB533" s="213"/>
    </row>
    <row r="534" ht="12.75" customHeight="1" outlineLevel="1">
      <c r="A534" s="235"/>
      <c r="B534" s="236"/>
      <c r="C534" s="237" t="s">
        <v>374</v>
      </c>
      <c r="D534" s="238"/>
      <c r="E534" s="239">
        <v>1.0</v>
      </c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3"/>
      <c r="Z534" s="213"/>
      <c r="AA534" s="213"/>
      <c r="AB534" s="213"/>
      <c r="AC534" s="213"/>
      <c r="AD534" s="213"/>
      <c r="AE534" s="213"/>
      <c r="AF534" s="213"/>
      <c r="AG534" s="213" t="s">
        <v>228</v>
      </c>
      <c r="AH534" s="213">
        <v>0.0</v>
      </c>
      <c r="AI534" s="213"/>
      <c r="AJ534" s="213"/>
      <c r="AK534" s="213"/>
      <c r="AL534" s="213"/>
      <c r="AM534" s="213"/>
      <c r="AN534" s="213"/>
      <c r="AO534" s="213"/>
      <c r="AP534" s="213"/>
      <c r="AQ534" s="213"/>
      <c r="AR534" s="213"/>
      <c r="AS534" s="213"/>
      <c r="AT534" s="213"/>
      <c r="AU534" s="213"/>
      <c r="AV534" s="213"/>
      <c r="AW534" s="213"/>
      <c r="AX534" s="213"/>
      <c r="AY534" s="213"/>
      <c r="AZ534" s="213"/>
      <c r="BA534" s="213"/>
      <c r="BB534" s="213"/>
    </row>
    <row r="535" ht="12.75" customHeight="1" outlineLevel="1">
      <c r="A535" s="214">
        <v>73.0</v>
      </c>
      <c r="B535" s="215" t="s">
        <v>1361</v>
      </c>
      <c r="C535" s="216" t="s">
        <v>1362</v>
      </c>
      <c r="D535" s="217" t="s">
        <v>372</v>
      </c>
      <c r="E535" s="218">
        <v>2.0</v>
      </c>
      <c r="F535" s="219">
        <v>36392.3</v>
      </c>
      <c r="G535" s="220">
        <f>ROUND(E535*F535,2)</f>
        <v>72784.6</v>
      </c>
      <c r="H535" s="211"/>
      <c r="I535" s="212">
        <f>ROUND(E535*H535,2)</f>
        <v>0</v>
      </c>
      <c r="J535" s="211"/>
      <c r="K535" s="212">
        <f>ROUND(E535*J535,2)</f>
        <v>0</v>
      </c>
      <c r="L535" s="212">
        <v>21.0</v>
      </c>
      <c r="M535" s="212">
        <f>G535*(1+L535/100)</f>
        <v>88069.366</v>
      </c>
      <c r="N535" s="212">
        <v>0.0</v>
      </c>
      <c r="O535" s="212">
        <f>ROUND(E535*N535,2)</f>
        <v>0</v>
      </c>
      <c r="P535" s="212">
        <v>0.0</v>
      </c>
      <c r="Q535" s="212">
        <f>ROUND(E535*P535,2)</f>
        <v>0</v>
      </c>
      <c r="R535" s="212"/>
      <c r="S535" s="212" t="s">
        <v>178</v>
      </c>
      <c r="T535" s="212" t="s">
        <v>179</v>
      </c>
      <c r="U535" s="212">
        <v>0.0</v>
      </c>
      <c r="V535" s="212">
        <f>ROUND(E535*U535,2)</f>
        <v>0</v>
      </c>
      <c r="W535" s="212"/>
      <c r="X535" s="212" t="s">
        <v>225</v>
      </c>
      <c r="Y535" s="213"/>
      <c r="Z535" s="213"/>
      <c r="AA535" s="213"/>
      <c r="AB535" s="213"/>
      <c r="AC535" s="213"/>
      <c r="AD535" s="213"/>
      <c r="AE535" s="213"/>
      <c r="AF535" s="213"/>
      <c r="AG535" s="213" t="s">
        <v>226</v>
      </c>
      <c r="AH535" s="213"/>
      <c r="AI535" s="213"/>
      <c r="AJ535" s="213"/>
      <c r="AK535" s="213"/>
      <c r="AL535" s="213"/>
      <c r="AM535" s="213"/>
      <c r="AN535" s="213"/>
      <c r="AO535" s="213"/>
      <c r="AP535" s="213"/>
      <c r="AQ535" s="213"/>
      <c r="AR535" s="213"/>
      <c r="AS535" s="213"/>
      <c r="AT535" s="213"/>
      <c r="AU535" s="213"/>
      <c r="AV535" s="213"/>
      <c r="AW535" s="213"/>
      <c r="AX535" s="213"/>
      <c r="AY535" s="213"/>
      <c r="AZ535" s="213"/>
      <c r="BA535" s="213"/>
      <c r="BB535" s="213"/>
    </row>
    <row r="536" ht="12.75" customHeight="1" outlineLevel="1">
      <c r="A536" s="235"/>
      <c r="B536" s="236"/>
      <c r="C536" s="237" t="s">
        <v>627</v>
      </c>
      <c r="D536" s="238"/>
      <c r="E536" s="239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3"/>
      <c r="Z536" s="213"/>
      <c r="AA536" s="213"/>
      <c r="AB536" s="213"/>
      <c r="AC536" s="213"/>
      <c r="AD536" s="213"/>
      <c r="AE536" s="213"/>
      <c r="AF536" s="213"/>
      <c r="AG536" s="213" t="s">
        <v>228</v>
      </c>
      <c r="AH536" s="213">
        <v>0.0</v>
      </c>
      <c r="AI536" s="213"/>
      <c r="AJ536" s="213"/>
      <c r="AK536" s="213"/>
      <c r="AL536" s="213"/>
      <c r="AM536" s="213"/>
      <c r="AN536" s="213"/>
      <c r="AO536" s="213"/>
      <c r="AP536" s="213"/>
      <c r="AQ536" s="213"/>
      <c r="AR536" s="213"/>
      <c r="AS536" s="213"/>
      <c r="AT536" s="213"/>
      <c r="AU536" s="213"/>
      <c r="AV536" s="213"/>
      <c r="AW536" s="213"/>
      <c r="AX536" s="213"/>
      <c r="AY536" s="213"/>
      <c r="AZ536" s="213"/>
      <c r="BA536" s="213"/>
      <c r="BB536" s="213"/>
    </row>
    <row r="537" ht="12.75" customHeight="1" outlineLevel="1">
      <c r="A537" s="235"/>
      <c r="B537" s="236"/>
      <c r="C537" s="237" t="s">
        <v>456</v>
      </c>
      <c r="D537" s="238"/>
      <c r="E537" s="239">
        <v>2.0</v>
      </c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3"/>
      <c r="Z537" s="213"/>
      <c r="AA537" s="213"/>
      <c r="AB537" s="213"/>
      <c r="AC537" s="213"/>
      <c r="AD537" s="213"/>
      <c r="AE537" s="213"/>
      <c r="AF537" s="213"/>
      <c r="AG537" s="213" t="s">
        <v>228</v>
      </c>
      <c r="AH537" s="213">
        <v>0.0</v>
      </c>
      <c r="AI537" s="213"/>
      <c r="AJ537" s="213"/>
      <c r="AK537" s="213"/>
      <c r="AL537" s="213"/>
      <c r="AM537" s="213"/>
      <c r="AN537" s="213"/>
      <c r="AO537" s="213"/>
      <c r="AP537" s="213"/>
      <c r="AQ537" s="213"/>
      <c r="AR537" s="213"/>
      <c r="AS537" s="213"/>
      <c r="AT537" s="213"/>
      <c r="AU537" s="213"/>
      <c r="AV537" s="213"/>
      <c r="AW537" s="213"/>
      <c r="AX537" s="213"/>
      <c r="AY537" s="213"/>
      <c r="AZ537" s="213"/>
      <c r="BA537" s="213"/>
      <c r="BB537" s="213"/>
    </row>
    <row r="538" ht="12.75" customHeight="1" outlineLevel="1">
      <c r="A538" s="204">
        <v>74.0</v>
      </c>
      <c r="B538" s="205" t="s">
        <v>1363</v>
      </c>
      <c r="C538" s="206" t="s">
        <v>1364</v>
      </c>
      <c r="D538" s="207" t="s">
        <v>1365</v>
      </c>
      <c r="E538" s="208">
        <v>1.0</v>
      </c>
      <c r="F538" s="209">
        <v>4889.0</v>
      </c>
      <c r="G538" s="210">
        <f t="shared" ref="G538:G545" si="29">ROUND(E538*F538,2)</f>
        <v>4889</v>
      </c>
      <c r="H538" s="211"/>
      <c r="I538" s="212">
        <f t="shared" ref="I538:I545" si="30">ROUND(E538*H538,2)</f>
        <v>0</v>
      </c>
      <c r="J538" s="211"/>
      <c r="K538" s="212">
        <f t="shared" ref="K538:K545" si="31">ROUND(E538*J538,2)</f>
        <v>0</v>
      </c>
      <c r="L538" s="212">
        <v>21.0</v>
      </c>
      <c r="M538" s="212">
        <f t="shared" ref="M538:M545" si="32">G538*(1+L538/100)</f>
        <v>5915.69</v>
      </c>
      <c r="N538" s="212">
        <v>0.0</v>
      </c>
      <c r="O538" s="212">
        <f t="shared" ref="O538:O545" si="33">ROUND(E538*N538,2)</f>
        <v>0</v>
      </c>
      <c r="P538" s="212">
        <v>0.0</v>
      </c>
      <c r="Q538" s="212">
        <f t="shared" ref="Q538:Q545" si="34">ROUND(E538*P538,2)</f>
        <v>0</v>
      </c>
      <c r="R538" s="212"/>
      <c r="S538" s="212" t="s">
        <v>178</v>
      </c>
      <c r="T538" s="212" t="s">
        <v>179</v>
      </c>
      <c r="U538" s="212">
        <v>0.0</v>
      </c>
      <c r="V538" s="212">
        <f t="shared" ref="V538:V545" si="35">ROUND(E538*U538,2)</f>
        <v>0</v>
      </c>
      <c r="W538" s="212"/>
      <c r="X538" s="212" t="s">
        <v>225</v>
      </c>
      <c r="Y538" s="213"/>
      <c r="Z538" s="213"/>
      <c r="AA538" s="213"/>
      <c r="AB538" s="213"/>
      <c r="AC538" s="213"/>
      <c r="AD538" s="213"/>
      <c r="AE538" s="213"/>
      <c r="AF538" s="213"/>
      <c r="AG538" s="213" t="s">
        <v>226</v>
      </c>
      <c r="AH538" s="213"/>
      <c r="AI538" s="213"/>
      <c r="AJ538" s="213"/>
      <c r="AK538" s="213"/>
      <c r="AL538" s="213"/>
      <c r="AM538" s="213"/>
      <c r="AN538" s="213"/>
      <c r="AO538" s="213"/>
      <c r="AP538" s="213"/>
      <c r="AQ538" s="213"/>
      <c r="AR538" s="213"/>
      <c r="AS538" s="213"/>
      <c r="AT538" s="213"/>
      <c r="AU538" s="213"/>
      <c r="AV538" s="213"/>
      <c r="AW538" s="213"/>
      <c r="AX538" s="213"/>
      <c r="AY538" s="213"/>
      <c r="AZ538" s="213"/>
      <c r="BA538" s="213"/>
      <c r="BB538" s="213"/>
    </row>
    <row r="539" ht="12.75" customHeight="1" outlineLevel="1">
      <c r="A539" s="204">
        <v>75.0</v>
      </c>
      <c r="B539" s="205" t="s">
        <v>1366</v>
      </c>
      <c r="C539" s="206" t="s">
        <v>1367</v>
      </c>
      <c r="D539" s="207" t="s">
        <v>1365</v>
      </c>
      <c r="E539" s="208">
        <v>1.0</v>
      </c>
      <c r="F539" s="209">
        <v>3409.8</v>
      </c>
      <c r="G539" s="210">
        <f t="shared" si="29"/>
        <v>3409.8</v>
      </c>
      <c r="H539" s="211"/>
      <c r="I539" s="212">
        <f t="shared" si="30"/>
        <v>0</v>
      </c>
      <c r="J539" s="211"/>
      <c r="K539" s="212">
        <f t="shared" si="31"/>
        <v>0</v>
      </c>
      <c r="L539" s="212">
        <v>21.0</v>
      </c>
      <c r="M539" s="212">
        <f t="shared" si="32"/>
        <v>4125.858</v>
      </c>
      <c r="N539" s="212">
        <v>0.0</v>
      </c>
      <c r="O539" s="212">
        <f t="shared" si="33"/>
        <v>0</v>
      </c>
      <c r="P539" s="212">
        <v>0.0</v>
      </c>
      <c r="Q539" s="212">
        <f t="shared" si="34"/>
        <v>0</v>
      </c>
      <c r="R539" s="212"/>
      <c r="S539" s="212" t="s">
        <v>178</v>
      </c>
      <c r="T539" s="212" t="s">
        <v>179</v>
      </c>
      <c r="U539" s="212">
        <v>0.0</v>
      </c>
      <c r="V539" s="212">
        <f t="shared" si="35"/>
        <v>0</v>
      </c>
      <c r="W539" s="212"/>
      <c r="X539" s="212" t="s">
        <v>225</v>
      </c>
      <c r="Y539" s="213"/>
      <c r="Z539" s="213"/>
      <c r="AA539" s="213"/>
      <c r="AB539" s="213"/>
      <c r="AC539" s="213"/>
      <c r="AD539" s="213"/>
      <c r="AE539" s="213"/>
      <c r="AF539" s="213"/>
      <c r="AG539" s="213" t="s">
        <v>226</v>
      </c>
      <c r="AH539" s="213"/>
      <c r="AI539" s="213"/>
      <c r="AJ539" s="213"/>
      <c r="AK539" s="213"/>
      <c r="AL539" s="213"/>
      <c r="AM539" s="213"/>
      <c r="AN539" s="213"/>
      <c r="AO539" s="213"/>
      <c r="AP539" s="213"/>
      <c r="AQ539" s="213"/>
      <c r="AR539" s="213"/>
      <c r="AS539" s="213"/>
      <c r="AT539" s="213"/>
      <c r="AU539" s="213"/>
      <c r="AV539" s="213"/>
      <c r="AW539" s="213"/>
      <c r="AX539" s="213"/>
      <c r="AY539" s="213"/>
      <c r="AZ539" s="213"/>
      <c r="BA539" s="213"/>
      <c r="BB539" s="213"/>
    </row>
    <row r="540" ht="12.75" customHeight="1" outlineLevel="1">
      <c r="A540" s="204">
        <v>76.0</v>
      </c>
      <c r="B540" s="205" t="s">
        <v>1368</v>
      </c>
      <c r="C540" s="206" t="s">
        <v>1369</v>
      </c>
      <c r="D540" s="207" t="s">
        <v>1365</v>
      </c>
      <c r="E540" s="208">
        <v>1.0</v>
      </c>
      <c r="F540" s="209">
        <v>5439.6</v>
      </c>
      <c r="G540" s="210">
        <f t="shared" si="29"/>
        <v>5439.6</v>
      </c>
      <c r="H540" s="211"/>
      <c r="I540" s="212">
        <f t="shared" si="30"/>
        <v>0</v>
      </c>
      <c r="J540" s="211"/>
      <c r="K540" s="212">
        <f t="shared" si="31"/>
        <v>0</v>
      </c>
      <c r="L540" s="212">
        <v>21.0</v>
      </c>
      <c r="M540" s="212">
        <f t="shared" si="32"/>
        <v>6581.916</v>
      </c>
      <c r="N540" s="212">
        <v>0.0</v>
      </c>
      <c r="O540" s="212">
        <f t="shared" si="33"/>
        <v>0</v>
      </c>
      <c r="P540" s="212">
        <v>0.0</v>
      </c>
      <c r="Q540" s="212">
        <f t="shared" si="34"/>
        <v>0</v>
      </c>
      <c r="R540" s="212"/>
      <c r="S540" s="212" t="s">
        <v>178</v>
      </c>
      <c r="T540" s="212" t="s">
        <v>179</v>
      </c>
      <c r="U540" s="212">
        <v>0.0</v>
      </c>
      <c r="V540" s="212">
        <f t="shared" si="35"/>
        <v>0</v>
      </c>
      <c r="W540" s="212"/>
      <c r="X540" s="212" t="s">
        <v>225</v>
      </c>
      <c r="Y540" s="213"/>
      <c r="Z540" s="213"/>
      <c r="AA540" s="213"/>
      <c r="AB540" s="213"/>
      <c r="AC540" s="213"/>
      <c r="AD540" s="213"/>
      <c r="AE540" s="213"/>
      <c r="AF540" s="213"/>
      <c r="AG540" s="213" t="s">
        <v>226</v>
      </c>
      <c r="AH540" s="213"/>
      <c r="AI540" s="213"/>
      <c r="AJ540" s="213"/>
      <c r="AK540" s="213"/>
      <c r="AL540" s="213"/>
      <c r="AM540" s="213"/>
      <c r="AN540" s="213"/>
      <c r="AO540" s="213"/>
      <c r="AP540" s="213"/>
      <c r="AQ540" s="213"/>
      <c r="AR540" s="213"/>
      <c r="AS540" s="213"/>
      <c r="AT540" s="213"/>
      <c r="AU540" s="213"/>
      <c r="AV540" s="213"/>
      <c r="AW540" s="213"/>
      <c r="AX540" s="213"/>
      <c r="AY540" s="213"/>
      <c r="AZ540" s="213"/>
      <c r="BA540" s="213"/>
      <c r="BB540" s="213"/>
    </row>
    <row r="541" ht="12.75" customHeight="1" outlineLevel="1">
      <c r="A541" s="204">
        <v>77.0</v>
      </c>
      <c r="B541" s="205" t="s">
        <v>1370</v>
      </c>
      <c r="C541" s="206" t="s">
        <v>1371</v>
      </c>
      <c r="D541" s="207" t="s">
        <v>372</v>
      </c>
      <c r="E541" s="208">
        <v>2.0</v>
      </c>
      <c r="F541" s="209">
        <v>13825.2</v>
      </c>
      <c r="G541" s="210">
        <f t="shared" si="29"/>
        <v>27650.4</v>
      </c>
      <c r="H541" s="211"/>
      <c r="I541" s="212">
        <f t="shared" si="30"/>
        <v>0</v>
      </c>
      <c r="J541" s="211"/>
      <c r="K541" s="212">
        <f t="shared" si="31"/>
        <v>0</v>
      </c>
      <c r="L541" s="212">
        <v>21.0</v>
      </c>
      <c r="M541" s="212">
        <f t="shared" si="32"/>
        <v>33456.984</v>
      </c>
      <c r="N541" s="212">
        <v>0.0</v>
      </c>
      <c r="O541" s="212">
        <f t="shared" si="33"/>
        <v>0</v>
      </c>
      <c r="P541" s="212">
        <v>0.0</v>
      </c>
      <c r="Q541" s="212">
        <f t="shared" si="34"/>
        <v>0</v>
      </c>
      <c r="R541" s="212"/>
      <c r="S541" s="212" t="s">
        <v>178</v>
      </c>
      <c r="T541" s="212" t="s">
        <v>179</v>
      </c>
      <c r="U541" s="212">
        <v>0.0</v>
      </c>
      <c r="V541" s="212">
        <f t="shared" si="35"/>
        <v>0</v>
      </c>
      <c r="W541" s="212"/>
      <c r="X541" s="212" t="s">
        <v>225</v>
      </c>
      <c r="Y541" s="213"/>
      <c r="Z541" s="213"/>
      <c r="AA541" s="213"/>
      <c r="AB541" s="213"/>
      <c r="AC541" s="213"/>
      <c r="AD541" s="213"/>
      <c r="AE541" s="213"/>
      <c r="AF541" s="213"/>
      <c r="AG541" s="213" t="s">
        <v>226</v>
      </c>
      <c r="AH541" s="213"/>
      <c r="AI541" s="213"/>
      <c r="AJ541" s="213"/>
      <c r="AK541" s="213"/>
      <c r="AL541" s="213"/>
      <c r="AM541" s="213"/>
      <c r="AN541" s="213"/>
      <c r="AO541" s="213"/>
      <c r="AP541" s="213"/>
      <c r="AQ541" s="213"/>
      <c r="AR541" s="213"/>
      <c r="AS541" s="213"/>
      <c r="AT541" s="213"/>
      <c r="AU541" s="213"/>
      <c r="AV541" s="213"/>
      <c r="AW541" s="213"/>
      <c r="AX541" s="213"/>
      <c r="AY541" s="213"/>
      <c r="AZ541" s="213"/>
      <c r="BA541" s="213"/>
      <c r="BB541" s="213"/>
    </row>
    <row r="542" ht="12.75" customHeight="1" outlineLevel="1">
      <c r="A542" s="204">
        <v>78.0</v>
      </c>
      <c r="B542" s="205" t="s">
        <v>1372</v>
      </c>
      <c r="C542" s="206" t="s">
        <v>1373</v>
      </c>
      <c r="D542" s="207" t="s">
        <v>1365</v>
      </c>
      <c r="E542" s="208">
        <v>1.0</v>
      </c>
      <c r="F542" s="209">
        <v>10338.9</v>
      </c>
      <c r="G542" s="210">
        <f t="shared" si="29"/>
        <v>10338.9</v>
      </c>
      <c r="H542" s="211"/>
      <c r="I542" s="212">
        <f t="shared" si="30"/>
        <v>0</v>
      </c>
      <c r="J542" s="211"/>
      <c r="K542" s="212">
        <f t="shared" si="31"/>
        <v>0</v>
      </c>
      <c r="L542" s="212">
        <v>21.0</v>
      </c>
      <c r="M542" s="212">
        <f t="shared" si="32"/>
        <v>12510.069</v>
      </c>
      <c r="N542" s="212">
        <v>0.0</v>
      </c>
      <c r="O542" s="212">
        <f t="shared" si="33"/>
        <v>0</v>
      </c>
      <c r="P542" s="212">
        <v>0.0</v>
      </c>
      <c r="Q542" s="212">
        <f t="shared" si="34"/>
        <v>0</v>
      </c>
      <c r="R542" s="212"/>
      <c r="S542" s="212" t="s">
        <v>178</v>
      </c>
      <c r="T542" s="212" t="s">
        <v>179</v>
      </c>
      <c r="U542" s="212">
        <v>0.0</v>
      </c>
      <c r="V542" s="212">
        <f t="shared" si="35"/>
        <v>0</v>
      </c>
      <c r="W542" s="212"/>
      <c r="X542" s="212" t="s">
        <v>225</v>
      </c>
      <c r="Y542" s="213"/>
      <c r="Z542" s="213"/>
      <c r="AA542" s="213"/>
      <c r="AB542" s="213"/>
      <c r="AC542" s="213"/>
      <c r="AD542" s="213"/>
      <c r="AE542" s="213"/>
      <c r="AF542" s="213"/>
      <c r="AG542" s="213" t="s">
        <v>226</v>
      </c>
      <c r="AH542" s="213"/>
      <c r="AI542" s="213"/>
      <c r="AJ542" s="213"/>
      <c r="AK542" s="213"/>
      <c r="AL542" s="213"/>
      <c r="AM542" s="213"/>
      <c r="AN542" s="213"/>
      <c r="AO542" s="213"/>
      <c r="AP542" s="213"/>
      <c r="AQ542" s="213"/>
      <c r="AR542" s="213"/>
      <c r="AS542" s="213"/>
      <c r="AT542" s="213"/>
      <c r="AU542" s="213"/>
      <c r="AV542" s="213"/>
      <c r="AW542" s="213"/>
      <c r="AX542" s="213"/>
      <c r="AY542" s="213"/>
      <c r="AZ542" s="213"/>
      <c r="BA542" s="213"/>
      <c r="BB542" s="213"/>
    </row>
    <row r="543" ht="12.75" customHeight="1" outlineLevel="1">
      <c r="A543" s="204">
        <v>79.0</v>
      </c>
      <c r="B543" s="205" t="s">
        <v>1374</v>
      </c>
      <c r="C543" s="206" t="s">
        <v>1375</v>
      </c>
      <c r="D543" s="207" t="s">
        <v>1365</v>
      </c>
      <c r="E543" s="208">
        <v>1.0</v>
      </c>
      <c r="F543" s="209">
        <v>1356.1</v>
      </c>
      <c r="G543" s="210">
        <f t="shared" si="29"/>
        <v>1356.1</v>
      </c>
      <c r="H543" s="211"/>
      <c r="I543" s="212">
        <f t="shared" si="30"/>
        <v>0</v>
      </c>
      <c r="J543" s="211"/>
      <c r="K543" s="212">
        <f t="shared" si="31"/>
        <v>0</v>
      </c>
      <c r="L543" s="212">
        <v>21.0</v>
      </c>
      <c r="M543" s="212">
        <f t="shared" si="32"/>
        <v>1640.881</v>
      </c>
      <c r="N543" s="212">
        <v>0.0</v>
      </c>
      <c r="O543" s="212">
        <f t="shared" si="33"/>
        <v>0</v>
      </c>
      <c r="P543" s="212">
        <v>0.0</v>
      </c>
      <c r="Q543" s="212">
        <f t="shared" si="34"/>
        <v>0</v>
      </c>
      <c r="R543" s="212"/>
      <c r="S543" s="212" t="s">
        <v>178</v>
      </c>
      <c r="T543" s="212" t="s">
        <v>179</v>
      </c>
      <c r="U543" s="212">
        <v>0.0</v>
      </c>
      <c r="V543" s="212">
        <f t="shared" si="35"/>
        <v>0</v>
      </c>
      <c r="W543" s="212"/>
      <c r="X543" s="212" t="s">
        <v>225</v>
      </c>
      <c r="Y543" s="213"/>
      <c r="Z543" s="213"/>
      <c r="AA543" s="213"/>
      <c r="AB543" s="213"/>
      <c r="AC543" s="213"/>
      <c r="AD543" s="213"/>
      <c r="AE543" s="213"/>
      <c r="AF543" s="213"/>
      <c r="AG543" s="213" t="s">
        <v>226</v>
      </c>
      <c r="AH543" s="213"/>
      <c r="AI543" s="213"/>
      <c r="AJ543" s="213"/>
      <c r="AK543" s="213"/>
      <c r="AL543" s="213"/>
      <c r="AM543" s="213"/>
      <c r="AN543" s="213"/>
      <c r="AO543" s="213"/>
      <c r="AP543" s="213"/>
      <c r="AQ543" s="213"/>
      <c r="AR543" s="213"/>
      <c r="AS543" s="213"/>
      <c r="AT543" s="213"/>
      <c r="AU543" s="213"/>
      <c r="AV543" s="213"/>
      <c r="AW543" s="213"/>
      <c r="AX543" s="213"/>
      <c r="AY543" s="213"/>
      <c r="AZ543" s="213"/>
      <c r="BA543" s="213"/>
      <c r="BB543" s="213"/>
    </row>
    <row r="544" ht="12.75" customHeight="1" outlineLevel="1">
      <c r="A544" s="204">
        <v>80.0</v>
      </c>
      <c r="B544" s="205" t="s">
        <v>1376</v>
      </c>
      <c r="C544" s="206" t="s">
        <v>1377</v>
      </c>
      <c r="D544" s="207" t="s">
        <v>1365</v>
      </c>
      <c r="E544" s="208">
        <v>1.0</v>
      </c>
      <c r="F544" s="209">
        <v>2270.9</v>
      </c>
      <c r="G544" s="210">
        <f t="shared" si="29"/>
        <v>2270.9</v>
      </c>
      <c r="H544" s="211"/>
      <c r="I544" s="212">
        <f t="shared" si="30"/>
        <v>0</v>
      </c>
      <c r="J544" s="211"/>
      <c r="K544" s="212">
        <f t="shared" si="31"/>
        <v>0</v>
      </c>
      <c r="L544" s="212">
        <v>21.0</v>
      </c>
      <c r="M544" s="212">
        <f t="shared" si="32"/>
        <v>2747.789</v>
      </c>
      <c r="N544" s="212">
        <v>0.0</v>
      </c>
      <c r="O544" s="212">
        <f t="shared" si="33"/>
        <v>0</v>
      </c>
      <c r="P544" s="212">
        <v>0.0</v>
      </c>
      <c r="Q544" s="212">
        <f t="shared" si="34"/>
        <v>0</v>
      </c>
      <c r="R544" s="212"/>
      <c r="S544" s="212" t="s">
        <v>178</v>
      </c>
      <c r="T544" s="212" t="s">
        <v>179</v>
      </c>
      <c r="U544" s="212">
        <v>0.0</v>
      </c>
      <c r="V544" s="212">
        <f t="shared" si="35"/>
        <v>0</v>
      </c>
      <c r="W544" s="212"/>
      <c r="X544" s="212" t="s">
        <v>225</v>
      </c>
      <c r="Y544" s="213"/>
      <c r="Z544" s="213"/>
      <c r="AA544" s="213"/>
      <c r="AB544" s="213"/>
      <c r="AC544" s="213"/>
      <c r="AD544" s="213"/>
      <c r="AE544" s="213"/>
      <c r="AF544" s="213"/>
      <c r="AG544" s="213" t="s">
        <v>226</v>
      </c>
      <c r="AH544" s="213"/>
      <c r="AI544" s="213"/>
      <c r="AJ544" s="213"/>
      <c r="AK544" s="213"/>
      <c r="AL544" s="213"/>
      <c r="AM544" s="213"/>
      <c r="AN544" s="213"/>
      <c r="AO544" s="213"/>
      <c r="AP544" s="213"/>
      <c r="AQ544" s="213"/>
      <c r="AR544" s="213"/>
      <c r="AS544" s="213"/>
      <c r="AT544" s="213"/>
      <c r="AU544" s="213"/>
      <c r="AV544" s="213"/>
      <c r="AW544" s="213"/>
      <c r="AX544" s="213"/>
      <c r="AY544" s="213"/>
      <c r="AZ544" s="213"/>
      <c r="BA544" s="213"/>
      <c r="BB544" s="213"/>
    </row>
    <row r="545" ht="12.75" customHeight="1" outlineLevel="1">
      <c r="A545" s="214">
        <v>81.0</v>
      </c>
      <c r="B545" s="215" t="s">
        <v>1378</v>
      </c>
      <c r="C545" s="216" t="s">
        <v>1379</v>
      </c>
      <c r="D545" s="217" t="s">
        <v>1365</v>
      </c>
      <c r="E545" s="218">
        <v>1.0</v>
      </c>
      <c r="F545" s="219">
        <v>58630.0</v>
      </c>
      <c r="G545" s="220">
        <f t="shared" si="29"/>
        <v>58630</v>
      </c>
      <c r="H545" s="211"/>
      <c r="I545" s="212">
        <f t="shared" si="30"/>
        <v>0</v>
      </c>
      <c r="J545" s="211"/>
      <c r="K545" s="212">
        <f t="shared" si="31"/>
        <v>0</v>
      </c>
      <c r="L545" s="212">
        <v>21.0</v>
      </c>
      <c r="M545" s="212">
        <f t="shared" si="32"/>
        <v>70942.3</v>
      </c>
      <c r="N545" s="212">
        <v>0.0</v>
      </c>
      <c r="O545" s="212">
        <f t="shared" si="33"/>
        <v>0</v>
      </c>
      <c r="P545" s="212">
        <v>0.0</v>
      </c>
      <c r="Q545" s="212">
        <f t="shared" si="34"/>
        <v>0</v>
      </c>
      <c r="R545" s="212"/>
      <c r="S545" s="212" t="s">
        <v>178</v>
      </c>
      <c r="T545" s="212" t="s">
        <v>179</v>
      </c>
      <c r="U545" s="212">
        <v>0.0</v>
      </c>
      <c r="V545" s="212">
        <f t="shared" si="35"/>
        <v>0</v>
      </c>
      <c r="W545" s="212"/>
      <c r="X545" s="212" t="s">
        <v>225</v>
      </c>
      <c r="Y545" s="213"/>
      <c r="Z545" s="213"/>
      <c r="AA545" s="213"/>
      <c r="AB545" s="213"/>
      <c r="AC545" s="213"/>
      <c r="AD545" s="213"/>
      <c r="AE545" s="213"/>
      <c r="AF545" s="213"/>
      <c r="AG545" s="213" t="s">
        <v>226</v>
      </c>
      <c r="AH545" s="213"/>
      <c r="AI545" s="213"/>
      <c r="AJ545" s="213"/>
      <c r="AK545" s="213"/>
      <c r="AL545" s="213"/>
      <c r="AM545" s="213"/>
      <c r="AN545" s="213"/>
      <c r="AO545" s="213"/>
      <c r="AP545" s="213"/>
      <c r="AQ545" s="213"/>
      <c r="AR545" s="213"/>
      <c r="AS545" s="213"/>
      <c r="AT545" s="213"/>
      <c r="AU545" s="213"/>
      <c r="AV545" s="213"/>
      <c r="AW545" s="213"/>
      <c r="AX545" s="213"/>
      <c r="AY545" s="213"/>
      <c r="AZ545" s="213"/>
      <c r="BA545" s="213"/>
      <c r="BB545" s="213"/>
    </row>
    <row r="546" ht="12.75" customHeight="1" outlineLevel="1">
      <c r="A546" s="235"/>
      <c r="B546" s="236"/>
      <c r="C546" s="237" t="s">
        <v>627</v>
      </c>
      <c r="D546" s="238"/>
      <c r="E546" s="239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3"/>
      <c r="Z546" s="213"/>
      <c r="AA546" s="213"/>
      <c r="AB546" s="213"/>
      <c r="AC546" s="213"/>
      <c r="AD546" s="213"/>
      <c r="AE546" s="213"/>
      <c r="AF546" s="213"/>
      <c r="AG546" s="213" t="s">
        <v>228</v>
      </c>
      <c r="AH546" s="213">
        <v>0.0</v>
      </c>
      <c r="AI546" s="213"/>
      <c r="AJ546" s="213"/>
      <c r="AK546" s="213"/>
      <c r="AL546" s="213"/>
      <c r="AM546" s="213"/>
      <c r="AN546" s="213"/>
      <c r="AO546" s="213"/>
      <c r="AP546" s="213"/>
      <c r="AQ546" s="213"/>
      <c r="AR546" s="213"/>
      <c r="AS546" s="213"/>
      <c r="AT546" s="213"/>
      <c r="AU546" s="213"/>
      <c r="AV546" s="213"/>
      <c r="AW546" s="213"/>
      <c r="AX546" s="213"/>
      <c r="AY546" s="213"/>
      <c r="AZ546" s="213"/>
      <c r="BA546" s="213"/>
      <c r="BB546" s="213"/>
    </row>
    <row r="547" ht="12.75" customHeight="1" outlineLevel="1">
      <c r="A547" s="235"/>
      <c r="B547" s="236"/>
      <c r="C547" s="237" t="s">
        <v>374</v>
      </c>
      <c r="D547" s="238"/>
      <c r="E547" s="239">
        <v>1.0</v>
      </c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3"/>
      <c r="Z547" s="213"/>
      <c r="AA547" s="213"/>
      <c r="AB547" s="213"/>
      <c r="AC547" s="213"/>
      <c r="AD547" s="213"/>
      <c r="AE547" s="213"/>
      <c r="AF547" s="213"/>
      <c r="AG547" s="213" t="s">
        <v>228</v>
      </c>
      <c r="AH547" s="213">
        <v>0.0</v>
      </c>
      <c r="AI547" s="213"/>
      <c r="AJ547" s="213"/>
      <c r="AK547" s="213"/>
      <c r="AL547" s="213"/>
      <c r="AM547" s="213"/>
      <c r="AN547" s="213"/>
      <c r="AO547" s="213"/>
      <c r="AP547" s="213"/>
      <c r="AQ547" s="213"/>
      <c r="AR547" s="213"/>
      <c r="AS547" s="213"/>
      <c r="AT547" s="213"/>
      <c r="AU547" s="213"/>
      <c r="AV547" s="213"/>
      <c r="AW547" s="213"/>
      <c r="AX547" s="213"/>
      <c r="AY547" s="213"/>
      <c r="AZ547" s="213"/>
      <c r="BA547" s="213"/>
      <c r="BB547" s="213"/>
    </row>
    <row r="548" ht="12.75" customHeight="1" outlineLevel="1">
      <c r="A548" s="214">
        <v>82.0</v>
      </c>
      <c r="B548" s="215" t="s">
        <v>1380</v>
      </c>
      <c r="C548" s="216" t="s">
        <v>1381</v>
      </c>
      <c r="D548" s="217" t="s">
        <v>372</v>
      </c>
      <c r="E548" s="218">
        <v>1.0</v>
      </c>
      <c r="F548" s="219">
        <v>47655.6</v>
      </c>
      <c r="G548" s="220">
        <f>ROUND(E548*F548,2)</f>
        <v>47655.6</v>
      </c>
      <c r="H548" s="211"/>
      <c r="I548" s="212">
        <f>ROUND(E548*H548,2)</f>
        <v>0</v>
      </c>
      <c r="J548" s="211"/>
      <c r="K548" s="212">
        <f>ROUND(E548*J548,2)</f>
        <v>0</v>
      </c>
      <c r="L548" s="212">
        <v>21.0</v>
      </c>
      <c r="M548" s="212">
        <f>G548*(1+L548/100)</f>
        <v>57663.276</v>
      </c>
      <c r="N548" s="212">
        <v>0.0</v>
      </c>
      <c r="O548" s="212">
        <f>ROUND(E548*N548,2)</f>
        <v>0</v>
      </c>
      <c r="P548" s="212">
        <v>0.0</v>
      </c>
      <c r="Q548" s="212">
        <f>ROUND(E548*P548,2)</f>
        <v>0</v>
      </c>
      <c r="R548" s="212"/>
      <c r="S548" s="212" t="s">
        <v>178</v>
      </c>
      <c r="T548" s="212" t="s">
        <v>179</v>
      </c>
      <c r="U548" s="212">
        <v>0.0</v>
      </c>
      <c r="V548" s="212">
        <f>ROUND(E548*U548,2)</f>
        <v>0</v>
      </c>
      <c r="W548" s="212"/>
      <c r="X548" s="212" t="s">
        <v>225</v>
      </c>
      <c r="Y548" s="213"/>
      <c r="Z548" s="213"/>
      <c r="AA548" s="213"/>
      <c r="AB548" s="213"/>
      <c r="AC548" s="213"/>
      <c r="AD548" s="213"/>
      <c r="AE548" s="213"/>
      <c r="AF548" s="213"/>
      <c r="AG548" s="213" t="s">
        <v>226</v>
      </c>
      <c r="AH548" s="213"/>
      <c r="AI548" s="213"/>
      <c r="AJ548" s="213"/>
      <c r="AK548" s="213"/>
      <c r="AL548" s="213"/>
      <c r="AM548" s="213"/>
      <c r="AN548" s="213"/>
      <c r="AO548" s="213"/>
      <c r="AP548" s="213"/>
      <c r="AQ548" s="213"/>
      <c r="AR548" s="213"/>
      <c r="AS548" s="213"/>
      <c r="AT548" s="213"/>
      <c r="AU548" s="213"/>
      <c r="AV548" s="213"/>
      <c r="AW548" s="213"/>
      <c r="AX548" s="213"/>
      <c r="AY548" s="213"/>
      <c r="AZ548" s="213"/>
      <c r="BA548" s="213"/>
      <c r="BB548" s="213"/>
    </row>
    <row r="549" ht="12.75" customHeight="1" outlineLevel="1">
      <c r="A549" s="235"/>
      <c r="B549" s="236"/>
      <c r="C549" s="237" t="s">
        <v>627</v>
      </c>
      <c r="D549" s="238"/>
      <c r="E549" s="239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3"/>
      <c r="Z549" s="213"/>
      <c r="AA549" s="213"/>
      <c r="AB549" s="213"/>
      <c r="AC549" s="213"/>
      <c r="AD549" s="213"/>
      <c r="AE549" s="213"/>
      <c r="AF549" s="213"/>
      <c r="AG549" s="213" t="s">
        <v>228</v>
      </c>
      <c r="AH549" s="213">
        <v>0.0</v>
      </c>
      <c r="AI549" s="213"/>
      <c r="AJ549" s="213"/>
      <c r="AK549" s="213"/>
      <c r="AL549" s="213"/>
      <c r="AM549" s="213"/>
      <c r="AN549" s="213"/>
      <c r="AO549" s="213"/>
      <c r="AP549" s="213"/>
      <c r="AQ549" s="213"/>
      <c r="AR549" s="213"/>
      <c r="AS549" s="213"/>
      <c r="AT549" s="213"/>
      <c r="AU549" s="213"/>
      <c r="AV549" s="213"/>
      <c r="AW549" s="213"/>
      <c r="AX549" s="213"/>
      <c r="AY549" s="213"/>
      <c r="AZ549" s="213"/>
      <c r="BA549" s="213"/>
      <c r="BB549" s="213"/>
    </row>
    <row r="550" ht="12.75" customHeight="1" outlineLevel="1">
      <c r="A550" s="235"/>
      <c r="B550" s="236"/>
      <c r="C550" s="237" t="s">
        <v>374</v>
      </c>
      <c r="D550" s="238"/>
      <c r="E550" s="239">
        <v>1.0</v>
      </c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3"/>
      <c r="Z550" s="213"/>
      <c r="AA550" s="213"/>
      <c r="AB550" s="213"/>
      <c r="AC550" s="213"/>
      <c r="AD550" s="213"/>
      <c r="AE550" s="213"/>
      <c r="AF550" s="213"/>
      <c r="AG550" s="213" t="s">
        <v>228</v>
      </c>
      <c r="AH550" s="213">
        <v>0.0</v>
      </c>
      <c r="AI550" s="213"/>
      <c r="AJ550" s="213"/>
      <c r="AK550" s="213"/>
      <c r="AL550" s="213"/>
      <c r="AM550" s="213"/>
      <c r="AN550" s="213"/>
      <c r="AO550" s="213"/>
      <c r="AP550" s="213"/>
      <c r="AQ550" s="213"/>
      <c r="AR550" s="213"/>
      <c r="AS550" s="213"/>
      <c r="AT550" s="213"/>
      <c r="AU550" s="213"/>
      <c r="AV550" s="213"/>
      <c r="AW550" s="213"/>
      <c r="AX550" s="213"/>
      <c r="AY550" s="213"/>
      <c r="AZ550" s="213"/>
      <c r="BA550" s="213"/>
      <c r="BB550" s="213"/>
    </row>
    <row r="551" ht="12.75" customHeight="1" outlineLevel="1">
      <c r="A551" s="204">
        <v>83.0</v>
      </c>
      <c r="B551" s="205" t="s">
        <v>1382</v>
      </c>
      <c r="C551" s="206" t="s">
        <v>1383</v>
      </c>
      <c r="D551" s="207" t="s">
        <v>372</v>
      </c>
      <c r="E551" s="208">
        <v>2.0</v>
      </c>
      <c r="F551" s="209">
        <v>12183.9</v>
      </c>
      <c r="G551" s="210">
        <f>ROUND(E551*F551,2)</f>
        <v>24367.8</v>
      </c>
      <c r="H551" s="211"/>
      <c r="I551" s="212">
        <f>ROUND(E551*H551,2)</f>
        <v>0</v>
      </c>
      <c r="J551" s="211"/>
      <c r="K551" s="212">
        <f>ROUND(E551*J551,2)</f>
        <v>0</v>
      </c>
      <c r="L551" s="212">
        <v>21.0</v>
      </c>
      <c r="M551" s="212">
        <f>G551*(1+L551/100)</f>
        <v>29485.038</v>
      </c>
      <c r="N551" s="212">
        <v>0.0</v>
      </c>
      <c r="O551" s="212">
        <f>ROUND(E551*N551,2)</f>
        <v>0</v>
      </c>
      <c r="P551" s="212">
        <v>0.0</v>
      </c>
      <c r="Q551" s="212">
        <f>ROUND(E551*P551,2)</f>
        <v>0</v>
      </c>
      <c r="R551" s="212"/>
      <c r="S551" s="212" t="s">
        <v>178</v>
      </c>
      <c r="T551" s="212" t="s">
        <v>179</v>
      </c>
      <c r="U551" s="212">
        <v>0.0</v>
      </c>
      <c r="V551" s="212">
        <f>ROUND(E551*U551,2)</f>
        <v>0</v>
      </c>
      <c r="W551" s="212"/>
      <c r="X551" s="212" t="s">
        <v>225</v>
      </c>
      <c r="Y551" s="213"/>
      <c r="Z551" s="213"/>
      <c r="AA551" s="213"/>
      <c r="AB551" s="213"/>
      <c r="AC551" s="213"/>
      <c r="AD551" s="213"/>
      <c r="AE551" s="213"/>
      <c r="AF551" s="213"/>
      <c r="AG551" s="213" t="s">
        <v>226</v>
      </c>
      <c r="AH551" s="213"/>
      <c r="AI551" s="213"/>
      <c r="AJ551" s="213"/>
      <c r="AK551" s="213"/>
      <c r="AL551" s="213"/>
      <c r="AM551" s="213"/>
      <c r="AN551" s="213"/>
      <c r="AO551" s="213"/>
      <c r="AP551" s="213"/>
      <c r="AQ551" s="213"/>
      <c r="AR551" s="213"/>
      <c r="AS551" s="213"/>
      <c r="AT551" s="213"/>
      <c r="AU551" s="213"/>
      <c r="AV551" s="213"/>
      <c r="AW551" s="213"/>
      <c r="AX551" s="213"/>
      <c r="AY551" s="213"/>
      <c r="AZ551" s="213"/>
      <c r="BA551" s="213"/>
      <c r="BB551" s="213"/>
    </row>
    <row r="552" ht="12.75" customHeight="1">
      <c r="A552" s="196" t="s">
        <v>173</v>
      </c>
      <c r="B552" s="197" t="s">
        <v>122</v>
      </c>
      <c r="C552" s="198" t="s">
        <v>123</v>
      </c>
      <c r="D552" s="199"/>
      <c r="E552" s="200"/>
      <c r="F552" s="201"/>
      <c r="G552" s="202">
        <f>SUMIF(AG553:AG557,"&lt;&gt;NOR",G553:G557)</f>
        <v>88568.18</v>
      </c>
      <c r="H552" s="203"/>
      <c r="I552" s="203">
        <f>SUM(I553:I557)</f>
        <v>0</v>
      </c>
      <c r="J552" s="203"/>
      <c r="K552" s="203">
        <f>SUM(K553:K557)</f>
        <v>0</v>
      </c>
      <c r="L552" s="203"/>
      <c r="M552" s="203">
        <f>SUM(M553:M557)</f>
        <v>107167.4978</v>
      </c>
      <c r="N552" s="203"/>
      <c r="O552" s="203">
        <f>SUM(O553:O557)</f>
        <v>0</v>
      </c>
      <c r="P552" s="203"/>
      <c r="Q552" s="203">
        <f>SUM(Q553:Q557)</f>
        <v>0</v>
      </c>
      <c r="R552" s="203"/>
      <c r="S552" s="203"/>
      <c r="T552" s="203"/>
      <c r="U552" s="203"/>
      <c r="V552" s="203">
        <f>SUM(V553:V557)</f>
        <v>324.82</v>
      </c>
      <c r="W552" s="203"/>
      <c r="X552" s="203"/>
      <c r="AG552" s="184" t="s">
        <v>174</v>
      </c>
    </row>
    <row r="553" ht="12.75" customHeight="1" outlineLevel="1">
      <c r="A553" s="214">
        <v>84.0</v>
      </c>
      <c r="B553" s="215" t="s">
        <v>395</v>
      </c>
      <c r="C553" s="216" t="s">
        <v>396</v>
      </c>
      <c r="D553" s="217" t="s">
        <v>316</v>
      </c>
      <c r="E553" s="218">
        <v>718.95594</v>
      </c>
      <c r="F553" s="219">
        <v>123.19</v>
      </c>
      <c r="G553" s="220">
        <f>ROUND(E553*F553,2)</f>
        <v>88568.18</v>
      </c>
      <c r="H553" s="211"/>
      <c r="I553" s="212">
        <f>ROUND(E553*H553,2)</f>
        <v>0</v>
      </c>
      <c r="J553" s="211"/>
      <c r="K553" s="212">
        <f>ROUND(E553*J553,2)</f>
        <v>0</v>
      </c>
      <c r="L553" s="212">
        <v>21.0</v>
      </c>
      <c r="M553" s="212">
        <f>G553*(1+L553/100)</f>
        <v>107167.4978</v>
      </c>
      <c r="N553" s="212">
        <v>0.0</v>
      </c>
      <c r="O553" s="212">
        <f>ROUND(E553*N553,2)</f>
        <v>0</v>
      </c>
      <c r="P553" s="212">
        <v>0.0</v>
      </c>
      <c r="Q553" s="212">
        <f>ROUND(E553*P553,2)</f>
        <v>0</v>
      </c>
      <c r="R553" s="212"/>
      <c r="S553" s="212" t="s">
        <v>184</v>
      </c>
      <c r="T553" s="212" t="s">
        <v>184</v>
      </c>
      <c r="U553" s="212">
        <v>0.4518</v>
      </c>
      <c r="V553" s="212">
        <f>ROUND(E553*U553,2)</f>
        <v>324.82</v>
      </c>
      <c r="W553" s="212"/>
      <c r="X553" s="212" t="s">
        <v>397</v>
      </c>
      <c r="Y553" s="213"/>
      <c r="Z553" s="213"/>
      <c r="AA553" s="213"/>
      <c r="AB553" s="213"/>
      <c r="AC553" s="213"/>
      <c r="AD553" s="213"/>
      <c r="AE553" s="213"/>
      <c r="AF553" s="213"/>
      <c r="AG553" s="213" t="s">
        <v>398</v>
      </c>
      <c r="AH553" s="213"/>
      <c r="AI553" s="213"/>
      <c r="AJ553" s="213"/>
      <c r="AK553" s="213"/>
      <c r="AL553" s="213"/>
      <c r="AM553" s="213"/>
      <c r="AN553" s="213"/>
      <c r="AO553" s="213"/>
      <c r="AP553" s="213"/>
      <c r="AQ553" s="213"/>
      <c r="AR553" s="213"/>
      <c r="AS553" s="213"/>
      <c r="AT553" s="213"/>
      <c r="AU553" s="213"/>
      <c r="AV553" s="213"/>
      <c r="AW553" s="213"/>
      <c r="AX553" s="213"/>
      <c r="AY553" s="213"/>
      <c r="AZ553" s="213"/>
      <c r="BA553" s="213"/>
      <c r="BB553" s="213"/>
    </row>
    <row r="554" ht="12.75" customHeight="1" outlineLevel="1">
      <c r="A554" s="235"/>
      <c r="B554" s="236"/>
      <c r="C554" s="237" t="s">
        <v>399</v>
      </c>
      <c r="D554" s="238"/>
      <c r="E554" s="239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3"/>
      <c r="Z554" s="213"/>
      <c r="AA554" s="213"/>
      <c r="AB554" s="213"/>
      <c r="AC554" s="213"/>
      <c r="AD554" s="213"/>
      <c r="AE554" s="213"/>
      <c r="AF554" s="213"/>
      <c r="AG554" s="213" t="s">
        <v>228</v>
      </c>
      <c r="AH554" s="213">
        <v>0.0</v>
      </c>
      <c r="AI554" s="213"/>
      <c r="AJ554" s="213"/>
      <c r="AK554" s="213"/>
      <c r="AL554" s="213"/>
      <c r="AM554" s="213"/>
      <c r="AN554" s="213"/>
      <c r="AO554" s="213"/>
      <c r="AP554" s="213"/>
      <c r="AQ554" s="213"/>
      <c r="AR554" s="213"/>
      <c r="AS554" s="213"/>
      <c r="AT554" s="213"/>
      <c r="AU554" s="213"/>
      <c r="AV554" s="213"/>
      <c r="AW554" s="213"/>
      <c r="AX554" s="213"/>
      <c r="AY554" s="213"/>
      <c r="AZ554" s="213"/>
      <c r="BA554" s="213"/>
      <c r="BB554" s="213"/>
    </row>
    <row r="555" ht="12.75" customHeight="1" outlineLevel="1">
      <c r="A555" s="235"/>
      <c r="B555" s="236"/>
      <c r="C555" s="237" t="s">
        <v>1384</v>
      </c>
      <c r="D555" s="238"/>
      <c r="E555" s="239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3"/>
      <c r="Z555" s="213"/>
      <c r="AA555" s="213"/>
      <c r="AB555" s="213"/>
      <c r="AC555" s="213"/>
      <c r="AD555" s="213"/>
      <c r="AE555" s="213"/>
      <c r="AF555" s="213"/>
      <c r="AG555" s="213" t="s">
        <v>228</v>
      </c>
      <c r="AH555" s="213">
        <v>0.0</v>
      </c>
      <c r="AI555" s="213"/>
      <c r="AJ555" s="213"/>
      <c r="AK555" s="213"/>
      <c r="AL555" s="213"/>
      <c r="AM555" s="213"/>
      <c r="AN555" s="213"/>
      <c r="AO555" s="213"/>
      <c r="AP555" s="213"/>
      <c r="AQ555" s="213"/>
      <c r="AR555" s="213"/>
      <c r="AS555" s="213"/>
      <c r="AT555" s="213"/>
      <c r="AU555" s="213"/>
      <c r="AV555" s="213"/>
      <c r="AW555" s="213"/>
      <c r="AX555" s="213"/>
      <c r="AY555" s="213"/>
      <c r="AZ555" s="213"/>
      <c r="BA555" s="213"/>
      <c r="BB555" s="213"/>
    </row>
    <row r="556" ht="12.75" customHeight="1" outlineLevel="1">
      <c r="A556" s="235"/>
      <c r="B556" s="236"/>
      <c r="C556" s="237" t="s">
        <v>1385</v>
      </c>
      <c r="D556" s="238"/>
      <c r="E556" s="239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3"/>
      <c r="Z556" s="213"/>
      <c r="AA556" s="213"/>
      <c r="AB556" s="213"/>
      <c r="AC556" s="213"/>
      <c r="AD556" s="213"/>
      <c r="AE556" s="213"/>
      <c r="AF556" s="213"/>
      <c r="AG556" s="213" t="s">
        <v>228</v>
      </c>
      <c r="AH556" s="213">
        <v>0.0</v>
      </c>
      <c r="AI556" s="213"/>
      <c r="AJ556" s="213"/>
      <c r="AK556" s="213"/>
      <c r="AL556" s="213"/>
      <c r="AM556" s="213"/>
      <c r="AN556" s="213"/>
      <c r="AO556" s="213"/>
      <c r="AP556" s="213"/>
      <c r="AQ556" s="213"/>
      <c r="AR556" s="213"/>
      <c r="AS556" s="213"/>
      <c r="AT556" s="213"/>
      <c r="AU556" s="213"/>
      <c r="AV556" s="213"/>
      <c r="AW556" s="213"/>
      <c r="AX556" s="213"/>
      <c r="AY556" s="213"/>
      <c r="AZ556" s="213"/>
      <c r="BA556" s="213"/>
      <c r="BB556" s="213"/>
    </row>
    <row r="557" ht="12.75" customHeight="1" outlineLevel="1">
      <c r="A557" s="235"/>
      <c r="B557" s="236"/>
      <c r="C557" s="237" t="s">
        <v>1386</v>
      </c>
      <c r="D557" s="238"/>
      <c r="E557" s="239">
        <v>718.95594</v>
      </c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3"/>
      <c r="Z557" s="213"/>
      <c r="AA557" s="213"/>
      <c r="AB557" s="213"/>
      <c r="AC557" s="213"/>
      <c r="AD557" s="213"/>
      <c r="AE557" s="213"/>
      <c r="AF557" s="213"/>
      <c r="AG557" s="213" t="s">
        <v>228</v>
      </c>
      <c r="AH557" s="213">
        <v>0.0</v>
      </c>
      <c r="AI557" s="213"/>
      <c r="AJ557" s="213"/>
      <c r="AK557" s="213"/>
      <c r="AL557" s="213"/>
      <c r="AM557" s="213"/>
      <c r="AN557" s="213"/>
      <c r="AO557" s="213"/>
      <c r="AP557" s="213"/>
      <c r="AQ557" s="213"/>
      <c r="AR557" s="213"/>
      <c r="AS557" s="213"/>
      <c r="AT557" s="213"/>
      <c r="AU557" s="213"/>
      <c r="AV557" s="213"/>
      <c r="AW557" s="213"/>
      <c r="AX557" s="213"/>
      <c r="AY557" s="213"/>
      <c r="AZ557" s="213"/>
      <c r="BA557" s="213"/>
      <c r="BB557" s="213"/>
    </row>
    <row r="558" ht="12.75" customHeight="1">
      <c r="A558" s="196" t="s">
        <v>173</v>
      </c>
      <c r="B558" s="197" t="s">
        <v>126</v>
      </c>
      <c r="C558" s="198" t="s">
        <v>127</v>
      </c>
      <c r="D558" s="199"/>
      <c r="E558" s="200"/>
      <c r="F558" s="201"/>
      <c r="G558" s="202">
        <f>SUMIF(AG559,"&lt;&gt;NOR",G559)</f>
        <v>35620</v>
      </c>
      <c r="H558" s="203"/>
      <c r="I558" s="203">
        <f>SUM(I559)</f>
        <v>0</v>
      </c>
      <c r="J558" s="203"/>
      <c r="K558" s="203">
        <f>SUM(K559)</f>
        <v>0</v>
      </c>
      <c r="L558" s="203"/>
      <c r="M558" s="203">
        <f>SUM(M559)</f>
        <v>43100.2</v>
      </c>
      <c r="N558" s="203"/>
      <c r="O558" s="203">
        <f>SUM(O559)</f>
        <v>0</v>
      </c>
      <c r="P558" s="203"/>
      <c r="Q558" s="203">
        <f>SUM(Q559)</f>
        <v>0</v>
      </c>
      <c r="R558" s="203"/>
      <c r="S558" s="203"/>
      <c r="T558" s="203"/>
      <c r="U558" s="203"/>
      <c r="V558" s="203">
        <f>SUM(V559)</f>
        <v>0</v>
      </c>
      <c r="W558" s="203"/>
      <c r="X558" s="203"/>
      <c r="AG558" s="184" t="s">
        <v>174</v>
      </c>
    </row>
    <row r="559" ht="12.75" customHeight="1" outlineLevel="1">
      <c r="A559" s="214">
        <v>85.0</v>
      </c>
      <c r="B559" s="215" t="s">
        <v>694</v>
      </c>
      <c r="C559" s="216" t="s">
        <v>1387</v>
      </c>
      <c r="D559" s="217" t="s">
        <v>1365</v>
      </c>
      <c r="E559" s="218">
        <v>1.0</v>
      </c>
      <c r="F559" s="219">
        <v>35620.0</v>
      </c>
      <c r="G559" s="220">
        <f>ROUND(E559*F559,2)</f>
        <v>35620</v>
      </c>
      <c r="H559" s="211"/>
      <c r="I559" s="212">
        <f>ROUND(E559*H559,2)</f>
        <v>0</v>
      </c>
      <c r="J559" s="211"/>
      <c r="K559" s="212">
        <f>ROUND(E559*J559,2)</f>
        <v>0</v>
      </c>
      <c r="L559" s="212">
        <v>21.0</v>
      </c>
      <c r="M559" s="212">
        <f>G559*(1+L559/100)</f>
        <v>43100.2</v>
      </c>
      <c r="N559" s="212">
        <v>0.0</v>
      </c>
      <c r="O559" s="212">
        <f>ROUND(E559*N559,2)</f>
        <v>0</v>
      </c>
      <c r="P559" s="212">
        <v>0.0</v>
      </c>
      <c r="Q559" s="212">
        <f>ROUND(E559*P559,2)</f>
        <v>0</v>
      </c>
      <c r="R559" s="212"/>
      <c r="S559" s="212" t="s">
        <v>178</v>
      </c>
      <c r="T559" s="212" t="s">
        <v>179</v>
      </c>
      <c r="U559" s="212">
        <v>0.0</v>
      </c>
      <c r="V559" s="212">
        <f>ROUND(E559*U559,2)</f>
        <v>0</v>
      </c>
      <c r="W559" s="212"/>
      <c r="X559" s="212" t="s">
        <v>225</v>
      </c>
      <c r="Y559" s="213"/>
      <c r="Z559" s="213"/>
      <c r="AA559" s="213"/>
      <c r="AB559" s="213"/>
      <c r="AC559" s="213"/>
      <c r="AD559" s="213"/>
      <c r="AE559" s="213"/>
      <c r="AF559" s="213"/>
      <c r="AG559" s="213" t="s">
        <v>226</v>
      </c>
      <c r="AH559" s="213"/>
      <c r="AI559" s="213"/>
      <c r="AJ559" s="213"/>
      <c r="AK559" s="213"/>
      <c r="AL559" s="213"/>
      <c r="AM559" s="213"/>
      <c r="AN559" s="213"/>
      <c r="AO559" s="213"/>
      <c r="AP559" s="213"/>
      <c r="AQ559" s="213"/>
      <c r="AR559" s="213"/>
      <c r="AS559" s="213"/>
      <c r="AT559" s="213"/>
      <c r="AU559" s="213"/>
      <c r="AV559" s="213"/>
      <c r="AW559" s="213"/>
      <c r="AX559" s="213"/>
      <c r="AY559" s="213"/>
      <c r="AZ559" s="213"/>
      <c r="BA559" s="213"/>
      <c r="BB559" s="213"/>
    </row>
    <row r="560" ht="12.75" customHeight="1">
      <c r="A560" s="175"/>
      <c r="B560" s="179"/>
      <c r="C560" s="221"/>
      <c r="D560" s="181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AE560" s="184">
        <v>15.0</v>
      </c>
      <c r="AF560" s="184">
        <v>21.0</v>
      </c>
      <c r="AG560" s="184" t="s">
        <v>160</v>
      </c>
    </row>
    <row r="561" ht="12.75" customHeight="1">
      <c r="A561" s="222"/>
      <c r="B561" s="223" t="s">
        <v>24</v>
      </c>
      <c r="C561" s="224"/>
      <c r="D561" s="225"/>
      <c r="E561" s="226"/>
      <c r="F561" s="226"/>
      <c r="G561" s="227">
        <f>G8+G273+G286+G296+G306+G367+G434+G516+G525+G552+G558</f>
        <v>3510522.53</v>
      </c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AE561" s="184">
        <f>SUMIF(L7:L559,AE560,G7:G559)</f>
        <v>0</v>
      </c>
      <c r="AF561" s="184">
        <f>SUMIF(L7:L559,AF560,G7:G559)</f>
        <v>3510522.53</v>
      </c>
      <c r="AG561" s="184" t="s">
        <v>218</v>
      </c>
    </row>
    <row r="562" ht="12.75" customHeight="1">
      <c r="A562" s="175"/>
      <c r="B562" s="179"/>
      <c r="C562" s="221"/>
      <c r="D562" s="181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</row>
    <row r="563" ht="12.75" customHeight="1">
      <c r="A563" s="175"/>
      <c r="B563" s="179"/>
      <c r="C563" s="221"/>
      <c r="D563" s="181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</row>
    <row r="564" ht="12.75" customHeight="1">
      <c r="A564" s="175" t="s">
        <v>219</v>
      </c>
      <c r="D564" s="181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</row>
    <row r="565" ht="12.75" customHeight="1">
      <c r="A565" s="228"/>
      <c r="B565" s="27"/>
      <c r="C565" s="27"/>
      <c r="D565" s="27"/>
      <c r="E565" s="27"/>
      <c r="F565" s="27"/>
      <c r="G565" s="229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AG565" s="184" t="s">
        <v>220</v>
      </c>
    </row>
    <row r="566" ht="12.75" customHeight="1">
      <c r="A566" s="230"/>
      <c r="G566" s="231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</row>
    <row r="567" ht="12.75" customHeight="1">
      <c r="A567" s="230"/>
      <c r="G567" s="231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</row>
    <row r="568" ht="12.75" customHeight="1">
      <c r="A568" s="230"/>
      <c r="G568" s="231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</row>
    <row r="569" ht="12.75" customHeight="1">
      <c r="A569" s="232"/>
      <c r="B569" s="38"/>
      <c r="C569" s="38"/>
      <c r="D569" s="38"/>
      <c r="E569" s="38"/>
      <c r="F569" s="38"/>
      <c r="G569" s="233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</row>
    <row r="570" ht="12.75" customHeight="1">
      <c r="A570" s="175"/>
      <c r="B570" s="179"/>
      <c r="C570" s="221"/>
      <c r="D570" s="181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</row>
    <row r="571" ht="12.75" customHeight="1">
      <c r="B571" s="185"/>
      <c r="C571" s="234"/>
      <c r="D571" s="126"/>
      <c r="AG571" s="184" t="s">
        <v>221</v>
      </c>
    </row>
    <row r="572" ht="12.75" customHeight="1">
      <c r="B572" s="185"/>
      <c r="C572" s="185"/>
      <c r="D572" s="126"/>
    </row>
    <row r="573" ht="12.75" customHeight="1">
      <c r="B573" s="185"/>
      <c r="C573" s="185"/>
      <c r="D573" s="126"/>
    </row>
    <row r="574" ht="12.75" customHeight="1">
      <c r="B574" s="185"/>
      <c r="C574" s="185"/>
      <c r="D574" s="126"/>
    </row>
    <row r="575" ht="12.75" customHeight="1">
      <c r="B575" s="185"/>
      <c r="C575" s="185"/>
      <c r="D575" s="126"/>
    </row>
    <row r="576" ht="12.75" customHeight="1">
      <c r="B576" s="185"/>
      <c r="C576" s="185"/>
      <c r="D576" s="126"/>
    </row>
    <row r="577" ht="12.75" customHeight="1">
      <c r="B577" s="185"/>
      <c r="C577" s="185"/>
      <c r="D577" s="126"/>
    </row>
    <row r="578" ht="12.75" customHeight="1">
      <c r="B578" s="185"/>
      <c r="C578" s="185"/>
      <c r="D578" s="126"/>
    </row>
    <row r="579" ht="12.75" customHeight="1">
      <c r="B579" s="185"/>
      <c r="C579" s="185"/>
      <c r="D579" s="126"/>
    </row>
    <row r="580" ht="12.75" customHeight="1">
      <c r="B580" s="185"/>
      <c r="C580" s="185"/>
      <c r="D580" s="126"/>
    </row>
    <row r="581" ht="12.75" customHeight="1">
      <c r="B581" s="185"/>
      <c r="C581" s="185"/>
      <c r="D581" s="126"/>
    </row>
    <row r="582" ht="12.75" customHeight="1">
      <c r="B582" s="185"/>
      <c r="C582" s="185"/>
      <c r="D582" s="126"/>
    </row>
    <row r="583" ht="12.75" customHeight="1">
      <c r="B583" s="185"/>
      <c r="C583" s="185"/>
      <c r="D583" s="126"/>
    </row>
    <row r="584" ht="12.75" customHeight="1">
      <c r="B584" s="185"/>
      <c r="C584" s="185"/>
      <c r="D584" s="126"/>
    </row>
    <row r="585" ht="12.75" customHeight="1">
      <c r="B585" s="185"/>
      <c r="C585" s="185"/>
      <c r="D585" s="126"/>
    </row>
    <row r="586" ht="12.75" customHeight="1">
      <c r="B586" s="185"/>
      <c r="C586" s="185"/>
      <c r="D586" s="126"/>
    </row>
    <row r="587" ht="12.75" customHeight="1">
      <c r="B587" s="185"/>
      <c r="C587" s="185"/>
      <c r="D587" s="126"/>
    </row>
    <row r="588" ht="12.75" customHeight="1">
      <c r="B588" s="185"/>
      <c r="C588" s="185"/>
      <c r="D588" s="126"/>
    </row>
    <row r="589" ht="12.75" customHeight="1">
      <c r="B589" s="185"/>
      <c r="C589" s="185"/>
      <c r="D589" s="126"/>
    </row>
    <row r="590" ht="12.75" customHeight="1">
      <c r="B590" s="185"/>
      <c r="C590" s="185"/>
      <c r="D590" s="126"/>
    </row>
    <row r="591" ht="12.75" customHeight="1">
      <c r="B591" s="185"/>
      <c r="C591" s="185"/>
      <c r="D591" s="126"/>
    </row>
    <row r="592" ht="12.75" customHeight="1">
      <c r="B592" s="185"/>
      <c r="C592" s="185"/>
      <c r="D592" s="126"/>
    </row>
    <row r="593" ht="12.75" customHeight="1">
      <c r="B593" s="185"/>
      <c r="C593" s="185"/>
      <c r="D593" s="126"/>
    </row>
    <row r="594" ht="12.75" customHeight="1">
      <c r="B594" s="185"/>
      <c r="C594" s="185"/>
      <c r="D594" s="126"/>
    </row>
    <row r="595" ht="12.75" customHeight="1">
      <c r="B595" s="185"/>
      <c r="C595" s="185"/>
      <c r="D595" s="126"/>
    </row>
    <row r="596" ht="12.75" customHeight="1">
      <c r="B596" s="185"/>
      <c r="C596" s="185"/>
      <c r="D596" s="126"/>
    </row>
    <row r="597" ht="12.75" customHeight="1">
      <c r="B597" s="185"/>
      <c r="C597" s="185"/>
      <c r="D597" s="126"/>
    </row>
    <row r="598" ht="12.75" customHeight="1">
      <c r="B598" s="185"/>
      <c r="C598" s="185"/>
      <c r="D598" s="126"/>
    </row>
    <row r="599" ht="12.75" customHeight="1">
      <c r="B599" s="185"/>
      <c r="C599" s="185"/>
      <c r="D599" s="126"/>
    </row>
    <row r="600" ht="12.75" customHeight="1">
      <c r="B600" s="185"/>
      <c r="C600" s="185"/>
      <c r="D600" s="126"/>
    </row>
    <row r="601" ht="12.75" customHeight="1">
      <c r="B601" s="185"/>
      <c r="C601" s="185"/>
      <c r="D601" s="126"/>
    </row>
    <row r="602" ht="12.75" customHeight="1">
      <c r="B602" s="185"/>
      <c r="C602" s="185"/>
      <c r="D602" s="126"/>
    </row>
    <row r="603" ht="12.75" customHeight="1">
      <c r="B603" s="185"/>
      <c r="C603" s="185"/>
      <c r="D603" s="126"/>
    </row>
    <row r="604" ht="12.75" customHeight="1">
      <c r="B604" s="185"/>
      <c r="C604" s="185"/>
      <c r="D604" s="126"/>
    </row>
    <row r="605" ht="12.75" customHeight="1">
      <c r="B605" s="185"/>
      <c r="C605" s="185"/>
      <c r="D605" s="126"/>
    </row>
    <row r="606" ht="12.75" customHeight="1">
      <c r="B606" s="185"/>
      <c r="C606" s="185"/>
      <c r="D606" s="126"/>
    </row>
    <row r="607" ht="12.75" customHeight="1">
      <c r="B607" s="185"/>
      <c r="C607" s="185"/>
      <c r="D607" s="126"/>
    </row>
    <row r="608" ht="12.75" customHeight="1">
      <c r="B608" s="185"/>
      <c r="C608" s="185"/>
      <c r="D608" s="126"/>
    </row>
    <row r="609" ht="12.75" customHeight="1">
      <c r="B609" s="185"/>
      <c r="C609" s="185"/>
      <c r="D609" s="126"/>
    </row>
    <row r="610" ht="12.75" customHeight="1">
      <c r="B610" s="185"/>
      <c r="C610" s="185"/>
      <c r="D610" s="126"/>
    </row>
    <row r="611" ht="12.75" customHeight="1">
      <c r="B611" s="185"/>
      <c r="C611" s="185"/>
      <c r="D611" s="126"/>
    </row>
    <row r="612" ht="12.75" customHeight="1">
      <c r="B612" s="185"/>
      <c r="C612" s="185"/>
      <c r="D612" s="126"/>
    </row>
    <row r="613" ht="12.75" customHeight="1">
      <c r="B613" s="185"/>
      <c r="C613" s="185"/>
      <c r="D613" s="126"/>
    </row>
    <row r="614" ht="12.75" customHeight="1">
      <c r="B614" s="185"/>
      <c r="C614" s="185"/>
      <c r="D614" s="126"/>
    </row>
    <row r="615" ht="12.75" customHeight="1">
      <c r="B615" s="185"/>
      <c r="C615" s="185"/>
      <c r="D615" s="126"/>
    </row>
    <row r="616" ht="12.75" customHeight="1">
      <c r="B616" s="185"/>
      <c r="C616" s="185"/>
      <c r="D616" s="126"/>
    </row>
    <row r="617" ht="12.75" customHeight="1">
      <c r="B617" s="185"/>
      <c r="C617" s="185"/>
      <c r="D617" s="126"/>
    </row>
    <row r="618" ht="12.75" customHeight="1">
      <c r="B618" s="185"/>
      <c r="C618" s="185"/>
      <c r="D618" s="126"/>
    </row>
    <row r="619" ht="12.75" customHeight="1">
      <c r="B619" s="185"/>
      <c r="C619" s="185"/>
      <c r="D619" s="126"/>
    </row>
    <row r="620" ht="12.75" customHeight="1">
      <c r="B620" s="185"/>
      <c r="C620" s="185"/>
      <c r="D620" s="126"/>
    </row>
    <row r="621" ht="12.75" customHeight="1">
      <c r="B621" s="185"/>
      <c r="C621" s="185"/>
      <c r="D621" s="126"/>
    </row>
    <row r="622" ht="12.75" customHeight="1">
      <c r="B622" s="185"/>
      <c r="C622" s="185"/>
      <c r="D622" s="126"/>
    </row>
    <row r="623" ht="12.75" customHeight="1">
      <c r="B623" s="185"/>
      <c r="C623" s="185"/>
      <c r="D623" s="126"/>
    </row>
    <row r="624" ht="12.75" customHeight="1">
      <c r="B624" s="185"/>
      <c r="C624" s="185"/>
      <c r="D624" s="126"/>
    </row>
    <row r="625" ht="12.75" customHeight="1">
      <c r="B625" s="185"/>
      <c r="C625" s="185"/>
      <c r="D625" s="126"/>
    </row>
    <row r="626" ht="12.75" customHeight="1">
      <c r="B626" s="185"/>
      <c r="C626" s="185"/>
      <c r="D626" s="126"/>
    </row>
    <row r="627" ht="12.75" customHeight="1">
      <c r="B627" s="185"/>
      <c r="C627" s="185"/>
      <c r="D627" s="126"/>
    </row>
    <row r="628" ht="12.75" customHeight="1">
      <c r="B628" s="185"/>
      <c r="C628" s="185"/>
      <c r="D628" s="126"/>
    </row>
    <row r="629" ht="12.75" customHeight="1">
      <c r="B629" s="185"/>
      <c r="C629" s="185"/>
      <c r="D629" s="126"/>
    </row>
    <row r="630" ht="12.75" customHeight="1">
      <c r="B630" s="185"/>
      <c r="C630" s="185"/>
      <c r="D630" s="126"/>
    </row>
    <row r="631" ht="12.75" customHeight="1">
      <c r="B631" s="185"/>
      <c r="C631" s="185"/>
      <c r="D631" s="126"/>
    </row>
    <row r="632" ht="12.75" customHeight="1">
      <c r="B632" s="185"/>
      <c r="C632" s="185"/>
      <c r="D632" s="126"/>
    </row>
    <row r="633" ht="12.75" customHeight="1">
      <c r="B633" s="185"/>
      <c r="C633" s="185"/>
      <c r="D633" s="126"/>
    </row>
    <row r="634" ht="12.75" customHeight="1">
      <c r="B634" s="185"/>
      <c r="C634" s="185"/>
      <c r="D634" s="126"/>
    </row>
    <row r="635" ht="12.75" customHeight="1">
      <c r="B635" s="185"/>
      <c r="C635" s="185"/>
      <c r="D635" s="126"/>
    </row>
    <row r="636" ht="12.75" customHeight="1">
      <c r="B636" s="185"/>
      <c r="C636" s="185"/>
      <c r="D636" s="126"/>
    </row>
    <row r="637" ht="12.75" customHeight="1">
      <c r="B637" s="185"/>
      <c r="C637" s="185"/>
      <c r="D637" s="126"/>
    </row>
    <row r="638" ht="12.75" customHeight="1">
      <c r="B638" s="185"/>
      <c r="C638" s="185"/>
      <c r="D638" s="126"/>
    </row>
    <row r="639" ht="12.75" customHeight="1">
      <c r="B639" s="185"/>
      <c r="C639" s="185"/>
      <c r="D639" s="126"/>
    </row>
    <row r="640" ht="12.75" customHeight="1">
      <c r="B640" s="185"/>
      <c r="C640" s="185"/>
      <c r="D640" s="126"/>
    </row>
    <row r="641" ht="12.75" customHeight="1">
      <c r="B641" s="185"/>
      <c r="C641" s="185"/>
      <c r="D641" s="126"/>
    </row>
    <row r="642" ht="12.75" customHeight="1">
      <c r="B642" s="185"/>
      <c r="C642" s="185"/>
      <c r="D642" s="126"/>
    </row>
    <row r="643" ht="12.75" customHeight="1">
      <c r="B643" s="185"/>
      <c r="C643" s="185"/>
      <c r="D643" s="126"/>
    </row>
    <row r="644" ht="12.75" customHeight="1">
      <c r="B644" s="185"/>
      <c r="C644" s="185"/>
      <c r="D644" s="126"/>
    </row>
    <row r="645" ht="12.75" customHeight="1">
      <c r="B645" s="185"/>
      <c r="C645" s="185"/>
      <c r="D645" s="126"/>
    </row>
    <row r="646" ht="12.75" customHeight="1">
      <c r="B646" s="185"/>
      <c r="C646" s="185"/>
      <c r="D646" s="126"/>
    </row>
    <row r="647" ht="12.75" customHeight="1">
      <c r="B647" s="185"/>
      <c r="C647" s="185"/>
      <c r="D647" s="126"/>
    </row>
    <row r="648" ht="12.75" customHeight="1">
      <c r="B648" s="185"/>
      <c r="C648" s="185"/>
      <c r="D648" s="126"/>
    </row>
    <row r="649" ht="12.75" customHeight="1">
      <c r="B649" s="185"/>
      <c r="C649" s="185"/>
      <c r="D649" s="126"/>
    </row>
    <row r="650" ht="12.75" customHeight="1">
      <c r="B650" s="185"/>
      <c r="C650" s="185"/>
      <c r="D650" s="126"/>
    </row>
    <row r="651" ht="12.75" customHeight="1">
      <c r="B651" s="185"/>
      <c r="C651" s="185"/>
      <c r="D651" s="126"/>
    </row>
    <row r="652" ht="12.75" customHeight="1">
      <c r="B652" s="185"/>
      <c r="C652" s="185"/>
      <c r="D652" s="126"/>
    </row>
    <row r="653" ht="12.75" customHeight="1">
      <c r="B653" s="185"/>
      <c r="C653" s="185"/>
      <c r="D653" s="126"/>
    </row>
    <row r="654" ht="12.75" customHeight="1">
      <c r="B654" s="185"/>
      <c r="C654" s="185"/>
      <c r="D654" s="126"/>
    </row>
    <row r="655" ht="12.75" customHeight="1">
      <c r="B655" s="185"/>
      <c r="C655" s="185"/>
      <c r="D655" s="126"/>
    </row>
    <row r="656" ht="12.75" customHeight="1">
      <c r="B656" s="185"/>
      <c r="C656" s="185"/>
      <c r="D656" s="126"/>
    </row>
    <row r="657" ht="12.75" customHeight="1">
      <c r="B657" s="185"/>
      <c r="C657" s="185"/>
      <c r="D657" s="126"/>
    </row>
    <row r="658" ht="12.75" customHeight="1">
      <c r="B658" s="185"/>
      <c r="C658" s="185"/>
      <c r="D658" s="126"/>
    </row>
    <row r="659" ht="12.75" customHeight="1">
      <c r="B659" s="185"/>
      <c r="C659" s="185"/>
      <c r="D659" s="126"/>
    </row>
    <row r="660" ht="12.75" customHeight="1">
      <c r="B660" s="185"/>
      <c r="C660" s="185"/>
      <c r="D660" s="126"/>
    </row>
    <row r="661" ht="12.75" customHeight="1">
      <c r="B661" s="185"/>
      <c r="C661" s="185"/>
      <c r="D661" s="126"/>
    </row>
    <row r="662" ht="12.75" customHeight="1">
      <c r="B662" s="185"/>
      <c r="C662" s="185"/>
      <c r="D662" s="126"/>
    </row>
    <row r="663" ht="12.75" customHeight="1">
      <c r="B663" s="185"/>
      <c r="C663" s="185"/>
      <c r="D663" s="126"/>
    </row>
    <row r="664" ht="12.75" customHeight="1">
      <c r="B664" s="185"/>
      <c r="C664" s="185"/>
      <c r="D664" s="126"/>
    </row>
    <row r="665" ht="12.75" customHeight="1">
      <c r="B665" s="185"/>
      <c r="C665" s="185"/>
      <c r="D665" s="126"/>
    </row>
    <row r="666" ht="12.75" customHeight="1">
      <c r="B666" s="185"/>
      <c r="C666" s="185"/>
      <c r="D666" s="126"/>
    </row>
    <row r="667" ht="12.75" customHeight="1">
      <c r="B667" s="185"/>
      <c r="C667" s="185"/>
      <c r="D667" s="126"/>
    </row>
    <row r="668" ht="12.75" customHeight="1">
      <c r="B668" s="185"/>
      <c r="C668" s="185"/>
      <c r="D668" s="126"/>
    </row>
    <row r="669" ht="12.75" customHeight="1">
      <c r="B669" s="185"/>
      <c r="C669" s="185"/>
      <c r="D669" s="126"/>
    </row>
    <row r="670" ht="12.75" customHeight="1">
      <c r="B670" s="185"/>
      <c r="C670" s="185"/>
      <c r="D670" s="126"/>
    </row>
    <row r="671" ht="12.75" customHeight="1">
      <c r="B671" s="185"/>
      <c r="C671" s="185"/>
      <c r="D671" s="126"/>
    </row>
    <row r="672" ht="12.75" customHeight="1">
      <c r="B672" s="185"/>
      <c r="C672" s="185"/>
      <c r="D672" s="126"/>
    </row>
    <row r="673" ht="12.75" customHeight="1">
      <c r="B673" s="185"/>
      <c r="C673" s="185"/>
      <c r="D673" s="126"/>
    </row>
    <row r="674" ht="12.75" customHeight="1">
      <c r="B674" s="185"/>
      <c r="C674" s="185"/>
      <c r="D674" s="126"/>
    </row>
    <row r="675" ht="12.75" customHeight="1">
      <c r="B675" s="185"/>
      <c r="C675" s="185"/>
      <c r="D675" s="126"/>
    </row>
    <row r="676" ht="12.75" customHeight="1">
      <c r="B676" s="185"/>
      <c r="C676" s="185"/>
      <c r="D676" s="126"/>
    </row>
    <row r="677" ht="12.75" customHeight="1">
      <c r="B677" s="185"/>
      <c r="C677" s="185"/>
      <c r="D677" s="126"/>
    </row>
    <row r="678" ht="12.75" customHeight="1">
      <c r="B678" s="185"/>
      <c r="C678" s="185"/>
      <c r="D678" s="126"/>
    </row>
    <row r="679" ht="12.75" customHeight="1">
      <c r="B679" s="185"/>
      <c r="C679" s="185"/>
      <c r="D679" s="126"/>
    </row>
    <row r="680" ht="12.75" customHeight="1">
      <c r="B680" s="185"/>
      <c r="C680" s="185"/>
      <c r="D680" s="126"/>
    </row>
    <row r="681" ht="12.75" customHeight="1">
      <c r="B681" s="185"/>
      <c r="C681" s="185"/>
      <c r="D681" s="126"/>
    </row>
    <row r="682" ht="12.75" customHeight="1">
      <c r="B682" s="185"/>
      <c r="C682" s="185"/>
      <c r="D682" s="126"/>
    </row>
    <row r="683" ht="12.75" customHeight="1">
      <c r="B683" s="185"/>
      <c r="C683" s="185"/>
      <c r="D683" s="126"/>
    </row>
    <row r="684" ht="12.75" customHeight="1">
      <c r="B684" s="185"/>
      <c r="C684" s="185"/>
      <c r="D684" s="126"/>
    </row>
    <row r="685" ht="12.75" customHeight="1">
      <c r="B685" s="185"/>
      <c r="C685" s="185"/>
      <c r="D685" s="126"/>
    </row>
    <row r="686" ht="12.75" customHeight="1">
      <c r="B686" s="185"/>
      <c r="C686" s="185"/>
      <c r="D686" s="126"/>
    </row>
    <row r="687" ht="12.75" customHeight="1">
      <c r="B687" s="185"/>
      <c r="C687" s="185"/>
      <c r="D687" s="126"/>
    </row>
    <row r="688" ht="12.75" customHeight="1">
      <c r="B688" s="185"/>
      <c r="C688" s="185"/>
      <c r="D688" s="126"/>
    </row>
    <row r="689" ht="12.75" customHeight="1">
      <c r="B689" s="185"/>
      <c r="C689" s="185"/>
      <c r="D689" s="126"/>
    </row>
    <row r="690" ht="12.75" customHeight="1">
      <c r="B690" s="185"/>
      <c r="C690" s="185"/>
      <c r="D690" s="126"/>
    </row>
    <row r="691" ht="12.75" customHeight="1">
      <c r="B691" s="185"/>
      <c r="C691" s="185"/>
      <c r="D691" s="126"/>
    </row>
    <row r="692" ht="12.75" customHeight="1">
      <c r="B692" s="185"/>
      <c r="C692" s="185"/>
      <c r="D692" s="126"/>
    </row>
    <row r="693" ht="12.75" customHeight="1">
      <c r="B693" s="185"/>
      <c r="C693" s="185"/>
      <c r="D693" s="126"/>
    </row>
    <row r="694" ht="12.75" customHeight="1">
      <c r="B694" s="185"/>
      <c r="C694" s="185"/>
      <c r="D694" s="126"/>
    </row>
    <row r="695" ht="12.75" customHeight="1">
      <c r="B695" s="185"/>
      <c r="C695" s="185"/>
      <c r="D695" s="126"/>
    </row>
    <row r="696" ht="12.75" customHeight="1">
      <c r="B696" s="185"/>
      <c r="C696" s="185"/>
      <c r="D696" s="126"/>
    </row>
    <row r="697" ht="12.75" customHeight="1">
      <c r="B697" s="185"/>
      <c r="C697" s="185"/>
      <c r="D697" s="126"/>
    </row>
    <row r="698" ht="12.75" customHeight="1">
      <c r="B698" s="185"/>
      <c r="C698" s="185"/>
      <c r="D698" s="126"/>
    </row>
    <row r="699" ht="12.75" customHeight="1">
      <c r="B699" s="185"/>
      <c r="C699" s="185"/>
      <c r="D699" s="126"/>
    </row>
    <row r="700" ht="12.75" customHeight="1">
      <c r="B700" s="185"/>
      <c r="C700" s="185"/>
      <c r="D700" s="126"/>
    </row>
    <row r="701" ht="12.75" customHeight="1">
      <c r="B701" s="185"/>
      <c r="C701" s="185"/>
      <c r="D701" s="126"/>
    </row>
    <row r="702" ht="12.75" customHeight="1">
      <c r="B702" s="185"/>
      <c r="C702" s="185"/>
      <c r="D702" s="126"/>
    </row>
    <row r="703" ht="12.75" customHeight="1">
      <c r="B703" s="185"/>
      <c r="C703" s="185"/>
      <c r="D703" s="126"/>
    </row>
    <row r="704" ht="12.75" customHeight="1">
      <c r="B704" s="185"/>
      <c r="C704" s="185"/>
      <c r="D704" s="126"/>
    </row>
    <row r="705" ht="12.75" customHeight="1">
      <c r="B705" s="185"/>
      <c r="C705" s="185"/>
      <c r="D705" s="126"/>
    </row>
    <row r="706" ht="12.75" customHeight="1">
      <c r="B706" s="185"/>
      <c r="C706" s="185"/>
      <c r="D706" s="126"/>
    </row>
    <row r="707" ht="12.75" customHeight="1">
      <c r="B707" s="185"/>
      <c r="C707" s="185"/>
      <c r="D707" s="126"/>
    </row>
    <row r="708" ht="12.75" customHeight="1">
      <c r="B708" s="185"/>
      <c r="C708" s="185"/>
      <c r="D708" s="126"/>
    </row>
    <row r="709" ht="12.75" customHeight="1">
      <c r="B709" s="185"/>
      <c r="C709" s="185"/>
      <c r="D709" s="126"/>
    </row>
    <row r="710" ht="12.75" customHeight="1">
      <c r="B710" s="185"/>
      <c r="C710" s="185"/>
      <c r="D710" s="126"/>
    </row>
    <row r="711" ht="12.75" customHeight="1">
      <c r="B711" s="185"/>
      <c r="C711" s="185"/>
      <c r="D711" s="126"/>
    </row>
    <row r="712" ht="12.75" customHeight="1">
      <c r="B712" s="185"/>
      <c r="C712" s="185"/>
      <c r="D712" s="126"/>
    </row>
    <row r="713" ht="12.75" customHeight="1">
      <c r="B713" s="185"/>
      <c r="C713" s="185"/>
      <c r="D713" s="126"/>
    </row>
    <row r="714" ht="12.75" customHeight="1">
      <c r="B714" s="185"/>
      <c r="C714" s="185"/>
      <c r="D714" s="126"/>
    </row>
    <row r="715" ht="12.75" customHeight="1">
      <c r="B715" s="185"/>
      <c r="C715" s="185"/>
      <c r="D715" s="126"/>
    </row>
    <row r="716" ht="12.75" customHeight="1">
      <c r="B716" s="185"/>
      <c r="C716" s="185"/>
      <c r="D716" s="126"/>
    </row>
    <row r="717" ht="12.75" customHeight="1">
      <c r="B717" s="185"/>
      <c r="C717" s="185"/>
      <c r="D717" s="126"/>
    </row>
    <row r="718" ht="12.75" customHeight="1">
      <c r="B718" s="185"/>
      <c r="C718" s="185"/>
      <c r="D718" s="126"/>
    </row>
    <row r="719" ht="12.75" customHeight="1">
      <c r="B719" s="185"/>
      <c r="C719" s="185"/>
      <c r="D719" s="126"/>
    </row>
    <row r="720" ht="12.75" customHeight="1">
      <c r="B720" s="185"/>
      <c r="C720" s="185"/>
      <c r="D720" s="126"/>
    </row>
    <row r="721" ht="12.75" customHeight="1">
      <c r="B721" s="185"/>
      <c r="C721" s="185"/>
      <c r="D721" s="126"/>
    </row>
    <row r="722" ht="12.75" customHeight="1">
      <c r="B722" s="185"/>
      <c r="C722" s="185"/>
      <c r="D722" s="126"/>
    </row>
    <row r="723" ht="12.75" customHeight="1">
      <c r="B723" s="185"/>
      <c r="C723" s="185"/>
      <c r="D723" s="126"/>
    </row>
    <row r="724" ht="12.75" customHeight="1">
      <c r="B724" s="185"/>
      <c r="C724" s="185"/>
      <c r="D724" s="126"/>
    </row>
    <row r="725" ht="12.75" customHeight="1">
      <c r="B725" s="185"/>
      <c r="C725" s="185"/>
      <c r="D725" s="126"/>
    </row>
    <row r="726" ht="12.75" customHeight="1">
      <c r="B726" s="185"/>
      <c r="C726" s="185"/>
      <c r="D726" s="126"/>
    </row>
    <row r="727" ht="12.75" customHeight="1">
      <c r="B727" s="185"/>
      <c r="C727" s="185"/>
      <c r="D727" s="126"/>
    </row>
    <row r="728" ht="12.75" customHeight="1">
      <c r="B728" s="185"/>
      <c r="C728" s="185"/>
      <c r="D728" s="126"/>
    </row>
    <row r="729" ht="12.75" customHeight="1">
      <c r="B729" s="185"/>
      <c r="C729" s="185"/>
      <c r="D729" s="126"/>
    </row>
    <row r="730" ht="12.75" customHeight="1">
      <c r="B730" s="185"/>
      <c r="C730" s="185"/>
      <c r="D730" s="126"/>
    </row>
    <row r="731" ht="12.75" customHeight="1">
      <c r="B731" s="185"/>
      <c r="C731" s="185"/>
      <c r="D731" s="126"/>
    </row>
    <row r="732" ht="12.75" customHeight="1">
      <c r="B732" s="185"/>
      <c r="C732" s="185"/>
      <c r="D732" s="126"/>
    </row>
    <row r="733" ht="12.75" customHeight="1">
      <c r="B733" s="185"/>
      <c r="C733" s="185"/>
      <c r="D733" s="126"/>
    </row>
    <row r="734" ht="12.75" customHeight="1">
      <c r="B734" s="185"/>
      <c r="C734" s="185"/>
      <c r="D734" s="126"/>
    </row>
    <row r="735" ht="12.75" customHeight="1">
      <c r="B735" s="185"/>
      <c r="C735" s="185"/>
      <c r="D735" s="126"/>
    </row>
    <row r="736" ht="12.75" customHeight="1">
      <c r="B736" s="185"/>
      <c r="C736" s="185"/>
      <c r="D736" s="126"/>
    </row>
    <row r="737" ht="12.75" customHeight="1">
      <c r="B737" s="185"/>
      <c r="C737" s="185"/>
      <c r="D737" s="126"/>
    </row>
    <row r="738" ht="12.75" customHeight="1">
      <c r="B738" s="185"/>
      <c r="C738" s="185"/>
      <c r="D738" s="126"/>
    </row>
    <row r="739" ht="12.75" customHeight="1">
      <c r="B739" s="185"/>
      <c r="C739" s="185"/>
      <c r="D739" s="126"/>
    </row>
    <row r="740" ht="12.75" customHeight="1">
      <c r="B740" s="185"/>
      <c r="C740" s="185"/>
      <c r="D740" s="126"/>
    </row>
    <row r="741" ht="12.75" customHeight="1">
      <c r="B741" s="185"/>
      <c r="C741" s="185"/>
      <c r="D741" s="126"/>
    </row>
    <row r="742" ht="12.75" customHeight="1">
      <c r="B742" s="185"/>
      <c r="C742" s="185"/>
      <c r="D742" s="126"/>
    </row>
    <row r="743" ht="12.75" customHeight="1">
      <c r="B743" s="185"/>
      <c r="C743" s="185"/>
      <c r="D743" s="126"/>
    </row>
    <row r="744" ht="12.75" customHeight="1">
      <c r="B744" s="185"/>
      <c r="C744" s="185"/>
      <c r="D744" s="126"/>
    </row>
    <row r="745" ht="12.75" customHeight="1">
      <c r="B745" s="185"/>
      <c r="C745" s="185"/>
      <c r="D745" s="126"/>
    </row>
    <row r="746" ht="12.75" customHeight="1">
      <c r="B746" s="185"/>
      <c r="C746" s="185"/>
      <c r="D746" s="126"/>
    </row>
    <row r="747" ht="12.75" customHeight="1">
      <c r="B747" s="185"/>
      <c r="C747" s="185"/>
      <c r="D747" s="126"/>
    </row>
    <row r="748" ht="12.75" customHeight="1">
      <c r="B748" s="185"/>
      <c r="C748" s="185"/>
      <c r="D748" s="126"/>
    </row>
    <row r="749" ht="12.75" customHeight="1">
      <c r="B749" s="185"/>
      <c r="C749" s="185"/>
      <c r="D749" s="126"/>
    </row>
    <row r="750" ht="12.75" customHeight="1">
      <c r="B750" s="185"/>
      <c r="C750" s="185"/>
      <c r="D750" s="126"/>
    </row>
    <row r="751" ht="12.75" customHeight="1">
      <c r="B751" s="185"/>
      <c r="C751" s="185"/>
      <c r="D751" s="126"/>
    </row>
    <row r="752" ht="12.75" customHeight="1">
      <c r="B752" s="185"/>
      <c r="C752" s="185"/>
      <c r="D752" s="126"/>
    </row>
    <row r="753" ht="12.75" customHeight="1">
      <c r="B753" s="185"/>
      <c r="C753" s="185"/>
      <c r="D753" s="126"/>
    </row>
    <row r="754" ht="12.75" customHeight="1">
      <c r="B754" s="185"/>
      <c r="C754" s="185"/>
      <c r="D754" s="126"/>
    </row>
    <row r="755" ht="12.75" customHeight="1">
      <c r="B755" s="185"/>
      <c r="C755" s="185"/>
      <c r="D755" s="126"/>
    </row>
    <row r="756" ht="12.75" customHeight="1">
      <c r="B756" s="185"/>
      <c r="C756" s="185"/>
      <c r="D756" s="126"/>
    </row>
    <row r="757" ht="12.75" customHeight="1">
      <c r="B757" s="185"/>
      <c r="C757" s="185"/>
      <c r="D757" s="126"/>
    </row>
    <row r="758" ht="12.75" customHeight="1">
      <c r="B758" s="185"/>
      <c r="C758" s="185"/>
      <c r="D758" s="126"/>
    </row>
    <row r="759" ht="12.75" customHeight="1">
      <c r="B759" s="185"/>
      <c r="C759" s="185"/>
      <c r="D759" s="126"/>
    </row>
    <row r="760" ht="12.75" customHeight="1">
      <c r="B760" s="185"/>
      <c r="C760" s="185"/>
      <c r="D760" s="126"/>
    </row>
    <row r="761" ht="12.75" customHeight="1">
      <c r="B761" s="185"/>
      <c r="C761" s="185"/>
      <c r="D761" s="126"/>
    </row>
    <row r="762" ht="12.75" customHeight="1">
      <c r="B762" s="185"/>
      <c r="C762" s="185"/>
      <c r="D762" s="126"/>
    </row>
    <row r="763" ht="12.75" customHeight="1">
      <c r="B763" s="185"/>
      <c r="C763" s="185"/>
      <c r="D763" s="126"/>
    </row>
    <row r="764" ht="12.75" customHeight="1">
      <c r="B764" s="185"/>
      <c r="C764" s="185"/>
      <c r="D764" s="126"/>
    </row>
    <row r="765" ht="12.75" customHeight="1">
      <c r="B765" s="185"/>
      <c r="C765" s="185"/>
      <c r="D765" s="126"/>
    </row>
    <row r="766" ht="12.75" customHeight="1">
      <c r="B766" s="185"/>
      <c r="C766" s="185"/>
      <c r="D766" s="126"/>
    </row>
    <row r="767" ht="12.75" customHeight="1">
      <c r="B767" s="185"/>
      <c r="C767" s="185"/>
      <c r="D767" s="126"/>
    </row>
    <row r="768" ht="12.75" customHeight="1">
      <c r="B768" s="185"/>
      <c r="C768" s="185"/>
      <c r="D768" s="126"/>
    </row>
    <row r="769" ht="12.75" customHeight="1">
      <c r="B769" s="185"/>
      <c r="C769" s="185"/>
      <c r="D769" s="126"/>
    </row>
    <row r="770" ht="12.75" customHeight="1">
      <c r="B770" s="185"/>
      <c r="C770" s="185"/>
      <c r="D770" s="126"/>
    </row>
    <row r="771" ht="12.75" customHeight="1">
      <c r="B771" s="185"/>
      <c r="C771" s="185"/>
      <c r="D771" s="126"/>
    </row>
  </sheetData>
  <mergeCells count="6">
    <mergeCell ref="A1:G1"/>
    <mergeCell ref="C2:G2"/>
    <mergeCell ref="C3:G3"/>
    <mergeCell ref="C4:G4"/>
    <mergeCell ref="A564:C564"/>
    <mergeCell ref="A565:G569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84</v>
      </c>
      <c r="C3" s="177" t="s">
        <v>83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84</v>
      </c>
      <c r="C4" s="188" t="s">
        <v>83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94</v>
      </c>
      <c r="C8" s="198" t="s">
        <v>95</v>
      </c>
      <c r="D8" s="199"/>
      <c r="E8" s="200"/>
      <c r="F8" s="201"/>
      <c r="G8" s="202">
        <f>SUMIF(AG9:AG104,"&lt;&gt;NOR",G9:G104)</f>
        <v>137270.94</v>
      </c>
      <c r="H8" s="203"/>
      <c r="I8" s="203">
        <f>SUM(I9:I104)</f>
        <v>0</v>
      </c>
      <c r="J8" s="203"/>
      <c r="K8" s="203">
        <f>SUM(K9:K104)</f>
        <v>0</v>
      </c>
      <c r="L8" s="203"/>
      <c r="M8" s="203">
        <f>SUM(M9:M104)</f>
        <v>166097.8374</v>
      </c>
      <c r="N8" s="203"/>
      <c r="O8" s="203">
        <f>SUM(O9:O104)</f>
        <v>84.88</v>
      </c>
      <c r="P8" s="203"/>
      <c r="Q8" s="203">
        <f>SUM(Q9:Q104)</f>
        <v>0</v>
      </c>
      <c r="R8" s="203"/>
      <c r="S8" s="203"/>
      <c r="T8" s="203"/>
      <c r="U8" s="203"/>
      <c r="V8" s="203">
        <f>SUM(V9:V104)</f>
        <v>226.79</v>
      </c>
      <c r="W8" s="203"/>
      <c r="X8" s="203"/>
      <c r="AG8" s="184" t="s">
        <v>174</v>
      </c>
    </row>
    <row r="9" ht="12.75" customHeight="1" outlineLevel="1">
      <c r="A9" s="214">
        <v>1.0</v>
      </c>
      <c r="B9" s="215" t="s">
        <v>232</v>
      </c>
      <c r="C9" s="216" t="s">
        <v>233</v>
      </c>
      <c r="D9" s="217" t="s">
        <v>234</v>
      </c>
      <c r="E9" s="218">
        <v>33.12</v>
      </c>
      <c r="F9" s="219">
        <v>39.6</v>
      </c>
      <c r="G9" s="220">
        <f>ROUND(E9*F9,2)</f>
        <v>1311.55</v>
      </c>
      <c r="H9" s="211"/>
      <c r="I9" s="212">
        <f>ROUND(E9*H9,2)</f>
        <v>0</v>
      </c>
      <c r="J9" s="211"/>
      <c r="K9" s="212">
        <f>ROUND(E9*J9,2)</f>
        <v>0</v>
      </c>
      <c r="L9" s="212">
        <v>21.0</v>
      </c>
      <c r="M9" s="212">
        <f>G9*(1+L9/100)</f>
        <v>1586.9755</v>
      </c>
      <c r="N9" s="212">
        <v>0.0</v>
      </c>
      <c r="O9" s="212">
        <f>ROUND(E9*N9,2)</f>
        <v>0</v>
      </c>
      <c r="P9" s="212">
        <v>0.0</v>
      </c>
      <c r="Q9" s="212">
        <f>ROUND(E9*P9,2)</f>
        <v>0</v>
      </c>
      <c r="R9" s="212"/>
      <c r="S9" s="212" t="s">
        <v>184</v>
      </c>
      <c r="T9" s="212" t="s">
        <v>184</v>
      </c>
      <c r="U9" s="212">
        <v>0.084</v>
      </c>
      <c r="V9" s="212">
        <f>ROUND(E9*U9,2)</f>
        <v>2.78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35"/>
      <c r="B10" s="236"/>
      <c r="C10" s="237" t="s">
        <v>1388</v>
      </c>
      <c r="D10" s="238"/>
      <c r="E10" s="239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3"/>
      <c r="Z10" s="213"/>
      <c r="AA10" s="213"/>
      <c r="AB10" s="213"/>
      <c r="AC10" s="213"/>
      <c r="AD10" s="213"/>
      <c r="AE10" s="213"/>
      <c r="AF10" s="213"/>
      <c r="AG10" s="213" t="s">
        <v>228</v>
      </c>
      <c r="AH10" s="213">
        <v>0.0</v>
      </c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 outlineLevel="1">
      <c r="A11" s="235"/>
      <c r="B11" s="236"/>
      <c r="C11" s="240" t="s">
        <v>236</v>
      </c>
      <c r="D11" s="241"/>
      <c r="E11" s="24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3"/>
      <c r="Z11" s="213"/>
      <c r="AA11" s="213"/>
      <c r="AB11" s="213"/>
      <c r="AC11" s="213"/>
      <c r="AD11" s="213"/>
      <c r="AE11" s="213"/>
      <c r="AF11" s="213"/>
      <c r="AG11" s="213" t="s">
        <v>228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</row>
    <row r="12" ht="12.75" customHeight="1" outlineLevel="1">
      <c r="A12" s="235"/>
      <c r="B12" s="236"/>
      <c r="C12" s="243" t="s">
        <v>1389</v>
      </c>
      <c r="D12" s="241"/>
      <c r="E12" s="242">
        <v>54.24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3"/>
      <c r="Z12" s="213"/>
      <c r="AA12" s="213"/>
      <c r="AB12" s="213"/>
      <c r="AC12" s="213"/>
      <c r="AD12" s="213"/>
      <c r="AE12" s="213"/>
      <c r="AF12" s="213"/>
      <c r="AG12" s="213" t="s">
        <v>228</v>
      </c>
      <c r="AH12" s="213">
        <v>2.0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43" t="s">
        <v>1390</v>
      </c>
      <c r="D13" s="241"/>
      <c r="E13" s="242">
        <v>12.0</v>
      </c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>
        <v>2.0</v>
      </c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40" t="s">
        <v>238</v>
      </c>
      <c r="D14" s="241"/>
      <c r="E14" s="24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35"/>
      <c r="B15" s="236"/>
      <c r="C15" s="237" t="s">
        <v>1391</v>
      </c>
      <c r="D15" s="238"/>
      <c r="E15" s="239">
        <v>33.12</v>
      </c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3"/>
      <c r="Z15" s="213"/>
      <c r="AA15" s="213"/>
      <c r="AB15" s="213"/>
      <c r="AC15" s="213"/>
      <c r="AD15" s="213"/>
      <c r="AE15" s="213"/>
      <c r="AF15" s="213"/>
      <c r="AG15" s="213" t="s">
        <v>228</v>
      </c>
      <c r="AH15" s="213">
        <v>0.0</v>
      </c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14">
        <v>2.0</v>
      </c>
      <c r="B16" s="215" t="s">
        <v>1392</v>
      </c>
      <c r="C16" s="216" t="s">
        <v>1393</v>
      </c>
      <c r="D16" s="217" t="s">
        <v>234</v>
      </c>
      <c r="E16" s="218">
        <v>31.0129</v>
      </c>
      <c r="F16" s="219">
        <v>284.8</v>
      </c>
      <c r="G16" s="220">
        <f>ROUND(E16*F16,2)</f>
        <v>8832.47</v>
      </c>
      <c r="H16" s="211"/>
      <c r="I16" s="212">
        <f>ROUND(E16*H16,2)</f>
        <v>0</v>
      </c>
      <c r="J16" s="211"/>
      <c r="K16" s="212">
        <f>ROUND(E16*J16,2)</f>
        <v>0</v>
      </c>
      <c r="L16" s="212">
        <v>21.0</v>
      </c>
      <c r="M16" s="212">
        <f>G16*(1+L16/100)</f>
        <v>10687.2887</v>
      </c>
      <c r="N16" s="212">
        <v>0.0</v>
      </c>
      <c r="O16" s="212">
        <f>ROUND(E16*N16,2)</f>
        <v>0</v>
      </c>
      <c r="P16" s="212">
        <v>0.0</v>
      </c>
      <c r="Q16" s="212">
        <f>ROUND(E16*P16,2)</f>
        <v>0</v>
      </c>
      <c r="R16" s="212"/>
      <c r="S16" s="212" t="s">
        <v>184</v>
      </c>
      <c r="T16" s="212" t="s">
        <v>184</v>
      </c>
      <c r="U16" s="212">
        <v>0.19866</v>
      </c>
      <c r="V16" s="212">
        <f>ROUND(E16*U16,2)</f>
        <v>6.16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1157</v>
      </c>
      <c r="D17" s="238"/>
      <c r="E17" s="239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35"/>
      <c r="B18" s="236"/>
      <c r="C18" s="237" t="s">
        <v>1394</v>
      </c>
      <c r="D18" s="238"/>
      <c r="E18" s="239">
        <v>18.62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/>
      <c r="AG18" s="213" t="s">
        <v>228</v>
      </c>
      <c r="AH18" s="213">
        <v>0.0</v>
      </c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1159</v>
      </c>
      <c r="D19" s="238"/>
      <c r="E19" s="239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1395</v>
      </c>
      <c r="D20" s="238"/>
      <c r="E20" s="239">
        <v>12.39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14">
        <v>3.0</v>
      </c>
      <c r="B21" s="215" t="s">
        <v>262</v>
      </c>
      <c r="C21" s="216" t="s">
        <v>263</v>
      </c>
      <c r="D21" s="217" t="s">
        <v>234</v>
      </c>
      <c r="E21" s="218">
        <v>66.24</v>
      </c>
      <c r="F21" s="219">
        <v>214.5</v>
      </c>
      <c r="G21" s="220">
        <f>ROUND(E21*F21,2)</f>
        <v>14208.48</v>
      </c>
      <c r="H21" s="211"/>
      <c r="I21" s="212">
        <f>ROUND(E21*H21,2)</f>
        <v>0</v>
      </c>
      <c r="J21" s="211"/>
      <c r="K21" s="212">
        <f>ROUND(E21*J21,2)</f>
        <v>0</v>
      </c>
      <c r="L21" s="212">
        <v>21.0</v>
      </c>
      <c r="M21" s="212">
        <f>G21*(1+L21/100)</f>
        <v>17192.2608</v>
      </c>
      <c r="N21" s="212">
        <v>0.0</v>
      </c>
      <c r="O21" s="212">
        <f>ROUND(E21*N21,2)</f>
        <v>0</v>
      </c>
      <c r="P21" s="212">
        <v>0.0</v>
      </c>
      <c r="Q21" s="212">
        <f>ROUND(E21*P21,2)</f>
        <v>0</v>
      </c>
      <c r="R21" s="212"/>
      <c r="S21" s="212" t="s">
        <v>184</v>
      </c>
      <c r="T21" s="212" t="s">
        <v>184</v>
      </c>
      <c r="U21" s="212">
        <v>0.222</v>
      </c>
      <c r="V21" s="212">
        <f>ROUND(E21*U21,2)</f>
        <v>14.71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1388</v>
      </c>
      <c r="D22" s="238"/>
      <c r="E22" s="239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1396</v>
      </c>
      <c r="D23" s="238"/>
      <c r="E23" s="239">
        <v>54.24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37" t="s">
        <v>1397</v>
      </c>
      <c r="D24" s="238"/>
      <c r="E24" s="239">
        <v>12.0</v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>
        <v>0.0</v>
      </c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14">
        <v>4.0</v>
      </c>
      <c r="B25" s="215" t="s">
        <v>608</v>
      </c>
      <c r="C25" s="216" t="s">
        <v>609</v>
      </c>
      <c r="D25" s="217" t="s">
        <v>224</v>
      </c>
      <c r="E25" s="218">
        <v>110.4</v>
      </c>
      <c r="F25" s="219">
        <v>46.8</v>
      </c>
      <c r="G25" s="220">
        <f>ROUND(E25*F25,2)</f>
        <v>5166.72</v>
      </c>
      <c r="H25" s="211"/>
      <c r="I25" s="212">
        <f>ROUND(E25*H25,2)</f>
        <v>0</v>
      </c>
      <c r="J25" s="211"/>
      <c r="K25" s="212">
        <f>ROUND(E25*J25,2)</f>
        <v>0</v>
      </c>
      <c r="L25" s="212">
        <v>21.0</v>
      </c>
      <c r="M25" s="212">
        <f>G25*(1+L25/100)</f>
        <v>6251.7312</v>
      </c>
      <c r="N25" s="212">
        <v>9.9E-4</v>
      </c>
      <c r="O25" s="212">
        <f>ROUND(E25*N25,2)</f>
        <v>0.11</v>
      </c>
      <c r="P25" s="212">
        <v>0.0</v>
      </c>
      <c r="Q25" s="212">
        <f>ROUND(E25*P25,2)</f>
        <v>0</v>
      </c>
      <c r="R25" s="212"/>
      <c r="S25" s="212" t="s">
        <v>184</v>
      </c>
      <c r="T25" s="212" t="s">
        <v>184</v>
      </c>
      <c r="U25" s="212">
        <v>0.236</v>
      </c>
      <c r="V25" s="212">
        <f>ROUND(E25*U25,2)</f>
        <v>26.05</v>
      </c>
      <c r="W25" s="212"/>
      <c r="X25" s="212" t="s">
        <v>225</v>
      </c>
      <c r="Y25" s="213"/>
      <c r="Z25" s="213"/>
      <c r="AA25" s="213"/>
      <c r="AB25" s="213"/>
      <c r="AC25" s="213"/>
      <c r="AD25" s="213"/>
      <c r="AE25" s="213"/>
      <c r="AF25" s="213"/>
      <c r="AG25" s="213" t="s">
        <v>226</v>
      </c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1388</v>
      </c>
      <c r="D26" s="238"/>
      <c r="E26" s="239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1398</v>
      </c>
      <c r="D27" s="238"/>
      <c r="E27" s="239">
        <v>90.4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1399</v>
      </c>
      <c r="D28" s="238"/>
      <c r="E28" s="239">
        <v>20.0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14">
        <v>5.0</v>
      </c>
      <c r="B29" s="215" t="s">
        <v>611</v>
      </c>
      <c r="C29" s="216" t="s">
        <v>612</v>
      </c>
      <c r="D29" s="217" t="s">
        <v>224</v>
      </c>
      <c r="E29" s="218">
        <v>110.4</v>
      </c>
      <c r="F29" s="219">
        <v>20.7</v>
      </c>
      <c r="G29" s="220">
        <f>ROUND(E29*F29,2)</f>
        <v>2285.28</v>
      </c>
      <c r="H29" s="211"/>
      <c r="I29" s="212">
        <f>ROUND(E29*H29,2)</f>
        <v>0</v>
      </c>
      <c r="J29" s="211"/>
      <c r="K29" s="212">
        <f>ROUND(E29*J29,2)</f>
        <v>0</v>
      </c>
      <c r="L29" s="212">
        <v>21.0</v>
      </c>
      <c r="M29" s="212">
        <f>G29*(1+L29/100)</f>
        <v>2765.1888</v>
      </c>
      <c r="N29" s="212">
        <v>0.0</v>
      </c>
      <c r="O29" s="212">
        <f>ROUND(E29*N29,2)</f>
        <v>0</v>
      </c>
      <c r="P29" s="212">
        <v>0.0</v>
      </c>
      <c r="Q29" s="212">
        <f>ROUND(E29*P29,2)</f>
        <v>0</v>
      </c>
      <c r="R29" s="212"/>
      <c r="S29" s="212" t="s">
        <v>184</v>
      </c>
      <c r="T29" s="212" t="s">
        <v>184</v>
      </c>
      <c r="U29" s="212">
        <v>0.07</v>
      </c>
      <c r="V29" s="212">
        <f>ROUND(E29*U29,2)</f>
        <v>7.73</v>
      </c>
      <c r="W29" s="212"/>
      <c r="X29" s="212" t="s">
        <v>225</v>
      </c>
      <c r="Y29" s="213"/>
      <c r="Z29" s="213"/>
      <c r="AA29" s="213"/>
      <c r="AB29" s="213"/>
      <c r="AC29" s="213"/>
      <c r="AD29" s="213"/>
      <c r="AE29" s="213"/>
      <c r="AF29" s="213"/>
      <c r="AG29" s="213" t="s">
        <v>226</v>
      </c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35"/>
      <c r="B30" s="236"/>
      <c r="C30" s="237" t="s">
        <v>1388</v>
      </c>
      <c r="D30" s="238"/>
      <c r="E30" s="239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3"/>
      <c r="Z30" s="213"/>
      <c r="AA30" s="213"/>
      <c r="AB30" s="213"/>
      <c r="AC30" s="213"/>
      <c r="AD30" s="213"/>
      <c r="AE30" s="213"/>
      <c r="AF30" s="213"/>
      <c r="AG30" s="213" t="s">
        <v>228</v>
      </c>
      <c r="AH30" s="213">
        <v>0.0</v>
      </c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1398</v>
      </c>
      <c r="D31" s="238"/>
      <c r="E31" s="239">
        <v>90.4</v>
      </c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1399</v>
      </c>
      <c r="D32" s="238"/>
      <c r="E32" s="239">
        <v>20.0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6.0</v>
      </c>
      <c r="B33" s="215" t="s">
        <v>288</v>
      </c>
      <c r="C33" s="216" t="s">
        <v>289</v>
      </c>
      <c r="D33" s="217" t="s">
        <v>234</v>
      </c>
      <c r="E33" s="218">
        <v>66.24</v>
      </c>
      <c r="F33" s="219">
        <v>36.6</v>
      </c>
      <c r="G33" s="220">
        <f>ROUND(E33*F33,2)</f>
        <v>2424.38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2933.4998</v>
      </c>
      <c r="N33" s="212">
        <v>0.0</v>
      </c>
      <c r="O33" s="212">
        <f>ROUND(E33*N33,2)</f>
        <v>0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0.039</v>
      </c>
      <c r="V33" s="212">
        <f>ROUND(E33*U33,2)</f>
        <v>2.58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1388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1396</v>
      </c>
      <c r="D35" s="238"/>
      <c r="E35" s="239">
        <v>54.24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35"/>
      <c r="B36" s="236"/>
      <c r="C36" s="237" t="s">
        <v>1397</v>
      </c>
      <c r="D36" s="238"/>
      <c r="E36" s="239">
        <v>12.0</v>
      </c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3"/>
      <c r="Z36" s="213"/>
      <c r="AA36" s="213"/>
      <c r="AB36" s="213"/>
      <c r="AC36" s="213"/>
      <c r="AD36" s="213"/>
      <c r="AE36" s="213"/>
      <c r="AF36" s="213"/>
      <c r="AG36" s="213" t="s">
        <v>228</v>
      </c>
      <c r="AH36" s="213">
        <v>0.0</v>
      </c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14">
        <v>7.0</v>
      </c>
      <c r="B37" s="215" t="s">
        <v>290</v>
      </c>
      <c r="C37" s="216" t="s">
        <v>291</v>
      </c>
      <c r="D37" s="217" t="s">
        <v>234</v>
      </c>
      <c r="E37" s="218">
        <v>97.2529</v>
      </c>
      <c r="F37" s="219">
        <v>64.0</v>
      </c>
      <c r="G37" s="220">
        <f>ROUND(E37*F37,2)</f>
        <v>6224.19</v>
      </c>
      <c r="H37" s="211"/>
      <c r="I37" s="212">
        <f>ROUND(E37*H37,2)</f>
        <v>0</v>
      </c>
      <c r="J37" s="211"/>
      <c r="K37" s="212">
        <f>ROUND(E37*J37,2)</f>
        <v>0</v>
      </c>
      <c r="L37" s="212">
        <v>21.0</v>
      </c>
      <c r="M37" s="212">
        <f>G37*(1+L37/100)</f>
        <v>7531.2699</v>
      </c>
      <c r="N37" s="212">
        <v>0.0</v>
      </c>
      <c r="O37" s="212">
        <f>ROUND(E37*N37,2)</f>
        <v>0</v>
      </c>
      <c r="P37" s="212">
        <v>0.0</v>
      </c>
      <c r="Q37" s="212">
        <f>ROUND(E37*P37,2)</f>
        <v>0</v>
      </c>
      <c r="R37" s="212"/>
      <c r="S37" s="212" t="s">
        <v>184</v>
      </c>
      <c r="T37" s="212" t="s">
        <v>184</v>
      </c>
      <c r="U37" s="212">
        <v>0.519</v>
      </c>
      <c r="V37" s="212">
        <f>ROUND(E37*U37,2)</f>
        <v>50.47</v>
      </c>
      <c r="W37" s="212"/>
      <c r="X37" s="212" t="s">
        <v>225</v>
      </c>
      <c r="Y37" s="213"/>
      <c r="Z37" s="213"/>
      <c r="AA37" s="213"/>
      <c r="AB37" s="213"/>
      <c r="AC37" s="213"/>
      <c r="AD37" s="213"/>
      <c r="AE37" s="213"/>
      <c r="AF37" s="213"/>
      <c r="AG37" s="213" t="s">
        <v>292</v>
      </c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35"/>
      <c r="B38" s="236"/>
      <c r="C38" s="237" t="s">
        <v>1388</v>
      </c>
      <c r="D38" s="238"/>
      <c r="E38" s="239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3"/>
      <c r="Z38" s="213"/>
      <c r="AA38" s="213"/>
      <c r="AB38" s="213"/>
      <c r="AC38" s="213"/>
      <c r="AD38" s="213"/>
      <c r="AE38" s="213"/>
      <c r="AF38" s="213"/>
      <c r="AG38" s="213" t="s">
        <v>228</v>
      </c>
      <c r="AH38" s="213">
        <v>0.0</v>
      </c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37" t="s">
        <v>1396</v>
      </c>
      <c r="D39" s="238"/>
      <c r="E39" s="239">
        <v>54.24</v>
      </c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>
        <v>0.0</v>
      </c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35"/>
      <c r="B40" s="236"/>
      <c r="C40" s="237" t="s">
        <v>1397</v>
      </c>
      <c r="D40" s="238"/>
      <c r="E40" s="239">
        <v>12.0</v>
      </c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3"/>
      <c r="Z40" s="213"/>
      <c r="AA40" s="213"/>
      <c r="AB40" s="213"/>
      <c r="AC40" s="213"/>
      <c r="AD40" s="213"/>
      <c r="AE40" s="213"/>
      <c r="AF40" s="213"/>
      <c r="AG40" s="213" t="s">
        <v>228</v>
      </c>
      <c r="AH40" s="213">
        <v>0.0</v>
      </c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1157</v>
      </c>
      <c r="D41" s="238"/>
      <c r="E41" s="239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35"/>
      <c r="B42" s="236"/>
      <c r="C42" s="237" t="s">
        <v>1394</v>
      </c>
      <c r="D42" s="238"/>
      <c r="E42" s="239">
        <v>18.62</v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3"/>
      <c r="Z42" s="213"/>
      <c r="AA42" s="213"/>
      <c r="AB42" s="213"/>
      <c r="AC42" s="213"/>
      <c r="AD42" s="213"/>
      <c r="AE42" s="213"/>
      <c r="AF42" s="213"/>
      <c r="AG42" s="213" t="s">
        <v>228</v>
      </c>
      <c r="AH42" s="213">
        <v>0.0</v>
      </c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1159</v>
      </c>
      <c r="D43" s="238"/>
      <c r="E43" s="239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35"/>
      <c r="B44" s="236"/>
      <c r="C44" s="237" t="s">
        <v>1395</v>
      </c>
      <c r="D44" s="238"/>
      <c r="E44" s="239">
        <v>12.39</v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3"/>
      <c r="Z44" s="213"/>
      <c r="AA44" s="213"/>
      <c r="AB44" s="213"/>
      <c r="AC44" s="213"/>
      <c r="AD44" s="213"/>
      <c r="AE44" s="213"/>
      <c r="AF44" s="213"/>
      <c r="AG44" s="213" t="s">
        <v>228</v>
      </c>
      <c r="AH44" s="213">
        <v>0.0</v>
      </c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14">
        <v>8.0</v>
      </c>
      <c r="B45" s="215" t="s">
        <v>293</v>
      </c>
      <c r="C45" s="216" t="s">
        <v>294</v>
      </c>
      <c r="D45" s="217" t="s">
        <v>234</v>
      </c>
      <c r="E45" s="218">
        <v>54.1969</v>
      </c>
      <c r="F45" s="219">
        <v>215.5</v>
      </c>
      <c r="G45" s="220">
        <f>ROUND(E45*F45,2)</f>
        <v>11679.43</v>
      </c>
      <c r="H45" s="211"/>
      <c r="I45" s="212">
        <f>ROUND(E45*H45,2)</f>
        <v>0</v>
      </c>
      <c r="J45" s="211"/>
      <c r="K45" s="212">
        <f>ROUND(E45*J45,2)</f>
        <v>0</v>
      </c>
      <c r="L45" s="212">
        <v>21.0</v>
      </c>
      <c r="M45" s="212">
        <f>G45*(1+L45/100)</f>
        <v>14132.1103</v>
      </c>
      <c r="N45" s="212">
        <v>0.0</v>
      </c>
      <c r="O45" s="212">
        <f>ROUND(E45*N45,2)</f>
        <v>0</v>
      </c>
      <c r="P45" s="212">
        <v>0.0</v>
      </c>
      <c r="Q45" s="212">
        <f>ROUND(E45*P45,2)</f>
        <v>0</v>
      </c>
      <c r="R45" s="212"/>
      <c r="S45" s="212" t="s">
        <v>184</v>
      </c>
      <c r="T45" s="212" t="s">
        <v>184</v>
      </c>
      <c r="U45" s="212">
        <v>0.011</v>
      </c>
      <c r="V45" s="212">
        <f>ROUND(E45*U45,2)</f>
        <v>0.6</v>
      </c>
      <c r="W45" s="212"/>
      <c r="X45" s="212" t="s">
        <v>225</v>
      </c>
      <c r="Y45" s="213"/>
      <c r="Z45" s="213"/>
      <c r="AA45" s="213"/>
      <c r="AB45" s="213"/>
      <c r="AC45" s="213"/>
      <c r="AD45" s="213"/>
      <c r="AE45" s="213"/>
      <c r="AF45" s="213"/>
      <c r="AG45" s="213" t="s">
        <v>226</v>
      </c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35"/>
      <c r="B46" s="236"/>
      <c r="C46" s="237" t="s">
        <v>295</v>
      </c>
      <c r="D46" s="238"/>
      <c r="E46" s="239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3"/>
      <c r="Z46" s="213"/>
      <c r="AA46" s="213"/>
      <c r="AB46" s="213"/>
      <c r="AC46" s="213"/>
      <c r="AD46" s="213"/>
      <c r="AE46" s="213"/>
      <c r="AF46" s="213"/>
      <c r="AG46" s="213" t="s">
        <v>228</v>
      </c>
      <c r="AH46" s="213">
        <v>0.0</v>
      </c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1400</v>
      </c>
      <c r="D47" s="238"/>
      <c r="E47" s="239">
        <v>18.98</v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35"/>
      <c r="B48" s="236"/>
      <c r="C48" s="237" t="s">
        <v>1401</v>
      </c>
      <c r="D48" s="238"/>
      <c r="E48" s="239">
        <v>4.2</v>
      </c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3"/>
      <c r="Z48" s="213"/>
      <c r="AA48" s="213"/>
      <c r="AB48" s="213"/>
      <c r="AC48" s="213"/>
      <c r="AD48" s="213"/>
      <c r="AE48" s="213"/>
      <c r="AF48" s="213"/>
      <c r="AG48" s="213" t="s">
        <v>228</v>
      </c>
      <c r="AH48" s="213">
        <v>0.0</v>
      </c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37" t="s">
        <v>1394</v>
      </c>
      <c r="D49" s="238"/>
      <c r="E49" s="239">
        <v>18.62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0.0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35"/>
      <c r="B50" s="236"/>
      <c r="C50" s="237" t="s">
        <v>1395</v>
      </c>
      <c r="D50" s="238"/>
      <c r="E50" s="239">
        <v>12.39</v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3"/>
      <c r="Z50" s="213"/>
      <c r="AA50" s="213"/>
      <c r="AB50" s="213"/>
      <c r="AC50" s="213"/>
      <c r="AD50" s="213"/>
      <c r="AE50" s="213"/>
      <c r="AF50" s="213"/>
      <c r="AG50" s="213" t="s">
        <v>228</v>
      </c>
      <c r="AH50" s="213">
        <v>0.0</v>
      </c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14">
        <v>9.0</v>
      </c>
      <c r="B51" s="215" t="s">
        <v>614</v>
      </c>
      <c r="C51" s="216" t="s">
        <v>615</v>
      </c>
      <c r="D51" s="217" t="s">
        <v>234</v>
      </c>
      <c r="E51" s="218">
        <v>54.1969</v>
      </c>
      <c r="F51" s="219">
        <v>72.1</v>
      </c>
      <c r="G51" s="220">
        <f>ROUND(E51*F51,2)</f>
        <v>3907.6</v>
      </c>
      <c r="H51" s="211"/>
      <c r="I51" s="212">
        <f>ROUND(E51*H51,2)</f>
        <v>0</v>
      </c>
      <c r="J51" s="211"/>
      <c r="K51" s="212">
        <f>ROUND(E51*J51,2)</f>
        <v>0</v>
      </c>
      <c r="L51" s="212">
        <v>21.0</v>
      </c>
      <c r="M51" s="212">
        <f>G51*(1+L51/100)</f>
        <v>4728.196</v>
      </c>
      <c r="N51" s="212">
        <v>0.0</v>
      </c>
      <c r="O51" s="212">
        <f>ROUND(E51*N51,2)</f>
        <v>0</v>
      </c>
      <c r="P51" s="212">
        <v>0.0</v>
      </c>
      <c r="Q51" s="212">
        <f>ROUND(E51*P51,2)</f>
        <v>0</v>
      </c>
      <c r="R51" s="212"/>
      <c r="S51" s="212" t="s">
        <v>184</v>
      </c>
      <c r="T51" s="212" t="s">
        <v>184</v>
      </c>
      <c r="U51" s="212">
        <v>0.652</v>
      </c>
      <c r="V51" s="212">
        <f>ROUND(E51*U51,2)</f>
        <v>35.34</v>
      </c>
      <c r="W51" s="212"/>
      <c r="X51" s="212" t="s">
        <v>225</v>
      </c>
      <c r="Y51" s="213"/>
      <c r="Z51" s="213"/>
      <c r="AA51" s="213"/>
      <c r="AB51" s="213"/>
      <c r="AC51" s="213"/>
      <c r="AD51" s="213"/>
      <c r="AE51" s="213"/>
      <c r="AF51" s="213"/>
      <c r="AG51" s="213" t="s">
        <v>226</v>
      </c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35"/>
      <c r="B52" s="236"/>
      <c r="C52" s="237" t="s">
        <v>295</v>
      </c>
      <c r="D52" s="238"/>
      <c r="E52" s="239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3"/>
      <c r="Z52" s="213"/>
      <c r="AA52" s="213"/>
      <c r="AB52" s="213"/>
      <c r="AC52" s="213"/>
      <c r="AD52" s="213"/>
      <c r="AE52" s="213"/>
      <c r="AF52" s="213"/>
      <c r="AG52" s="213" t="s">
        <v>228</v>
      </c>
      <c r="AH52" s="213">
        <v>0.0</v>
      </c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1400</v>
      </c>
      <c r="D53" s="238"/>
      <c r="E53" s="239">
        <v>18.98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35"/>
      <c r="B54" s="236"/>
      <c r="C54" s="237" t="s">
        <v>1401</v>
      </c>
      <c r="D54" s="238"/>
      <c r="E54" s="239">
        <v>4.2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3"/>
      <c r="Z54" s="213"/>
      <c r="AA54" s="213"/>
      <c r="AB54" s="213"/>
      <c r="AC54" s="213"/>
      <c r="AD54" s="213"/>
      <c r="AE54" s="213"/>
      <c r="AF54" s="213"/>
      <c r="AG54" s="213" t="s">
        <v>228</v>
      </c>
      <c r="AH54" s="213">
        <v>0.0</v>
      </c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37" t="s">
        <v>1394</v>
      </c>
      <c r="D55" s="238"/>
      <c r="E55" s="239">
        <v>18.62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0.0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35"/>
      <c r="B56" s="236"/>
      <c r="C56" s="237" t="s">
        <v>1395</v>
      </c>
      <c r="D56" s="238"/>
      <c r="E56" s="239">
        <v>12.39</v>
      </c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3"/>
      <c r="Z56" s="213"/>
      <c r="AA56" s="213"/>
      <c r="AB56" s="213"/>
      <c r="AC56" s="213"/>
      <c r="AD56" s="213"/>
      <c r="AE56" s="213"/>
      <c r="AF56" s="213"/>
      <c r="AG56" s="213" t="s">
        <v>228</v>
      </c>
      <c r="AH56" s="213">
        <v>0.0</v>
      </c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14">
        <v>10.0</v>
      </c>
      <c r="B57" s="215" t="s">
        <v>299</v>
      </c>
      <c r="C57" s="216" t="s">
        <v>300</v>
      </c>
      <c r="D57" s="217" t="s">
        <v>234</v>
      </c>
      <c r="E57" s="218">
        <v>54.1969</v>
      </c>
      <c r="F57" s="219">
        <v>15.1</v>
      </c>
      <c r="G57" s="220">
        <f>ROUND(E57*F57,2)</f>
        <v>818.37</v>
      </c>
      <c r="H57" s="211"/>
      <c r="I57" s="212">
        <f>ROUND(E57*H57,2)</f>
        <v>0</v>
      </c>
      <c r="J57" s="211"/>
      <c r="K57" s="212">
        <f>ROUND(E57*J57,2)</f>
        <v>0</v>
      </c>
      <c r="L57" s="212">
        <v>21.0</v>
      </c>
      <c r="M57" s="212">
        <f>G57*(1+L57/100)</f>
        <v>990.2277</v>
      </c>
      <c r="N57" s="212">
        <v>0.0</v>
      </c>
      <c r="O57" s="212">
        <f>ROUND(E57*N57,2)</f>
        <v>0</v>
      </c>
      <c r="P57" s="212">
        <v>0.0</v>
      </c>
      <c r="Q57" s="212">
        <f>ROUND(E57*P57,2)</f>
        <v>0</v>
      </c>
      <c r="R57" s="212"/>
      <c r="S57" s="212" t="s">
        <v>184</v>
      </c>
      <c r="T57" s="212" t="s">
        <v>184</v>
      </c>
      <c r="U57" s="212">
        <v>0.009</v>
      </c>
      <c r="V57" s="212">
        <f>ROUND(E57*U57,2)</f>
        <v>0.49</v>
      </c>
      <c r="W57" s="212"/>
      <c r="X57" s="212" t="s">
        <v>225</v>
      </c>
      <c r="Y57" s="213"/>
      <c r="Z57" s="213"/>
      <c r="AA57" s="213"/>
      <c r="AB57" s="213"/>
      <c r="AC57" s="213"/>
      <c r="AD57" s="213"/>
      <c r="AE57" s="213"/>
      <c r="AF57" s="213"/>
      <c r="AG57" s="213" t="s">
        <v>226</v>
      </c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35"/>
      <c r="B58" s="236"/>
      <c r="C58" s="237" t="s">
        <v>295</v>
      </c>
      <c r="D58" s="238"/>
      <c r="E58" s="239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3"/>
      <c r="Z58" s="213"/>
      <c r="AA58" s="213"/>
      <c r="AB58" s="213"/>
      <c r="AC58" s="213"/>
      <c r="AD58" s="213"/>
      <c r="AE58" s="213"/>
      <c r="AF58" s="213"/>
      <c r="AG58" s="213" t="s">
        <v>228</v>
      </c>
      <c r="AH58" s="213">
        <v>0.0</v>
      </c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1400</v>
      </c>
      <c r="D59" s="238"/>
      <c r="E59" s="239">
        <v>18.98</v>
      </c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35"/>
      <c r="B60" s="236"/>
      <c r="C60" s="237" t="s">
        <v>1401</v>
      </c>
      <c r="D60" s="238"/>
      <c r="E60" s="239">
        <v>4.2</v>
      </c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3"/>
      <c r="Z60" s="213"/>
      <c r="AA60" s="213"/>
      <c r="AB60" s="213"/>
      <c r="AC60" s="213"/>
      <c r="AD60" s="213"/>
      <c r="AE60" s="213"/>
      <c r="AF60" s="213"/>
      <c r="AG60" s="213" t="s">
        <v>228</v>
      </c>
      <c r="AH60" s="213">
        <v>0.0</v>
      </c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1394</v>
      </c>
      <c r="D61" s="238"/>
      <c r="E61" s="239">
        <v>18.62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 outlineLevel="1">
      <c r="A62" s="235"/>
      <c r="B62" s="236"/>
      <c r="C62" s="237" t="s">
        <v>1395</v>
      </c>
      <c r="D62" s="238"/>
      <c r="E62" s="239">
        <v>12.39</v>
      </c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3"/>
      <c r="Z62" s="213"/>
      <c r="AA62" s="213"/>
      <c r="AB62" s="213"/>
      <c r="AC62" s="213"/>
      <c r="AD62" s="213"/>
      <c r="AE62" s="213"/>
      <c r="AF62" s="213"/>
      <c r="AG62" s="213" t="s">
        <v>228</v>
      </c>
      <c r="AH62" s="213">
        <v>0.0</v>
      </c>
      <c r="AI62" s="213"/>
      <c r="AJ62" s="213"/>
      <c r="AK62" s="213"/>
      <c r="AL62" s="213"/>
      <c r="AM62" s="213"/>
      <c r="AN62" s="213"/>
      <c r="AO62" s="213"/>
      <c r="AP62" s="213"/>
      <c r="AQ62" s="213"/>
      <c r="AR62" s="213"/>
      <c r="AS62" s="213"/>
      <c r="AT62" s="213"/>
      <c r="AU62" s="213"/>
      <c r="AV62" s="213"/>
      <c r="AW62" s="213"/>
      <c r="AX62" s="213"/>
      <c r="AY62" s="213"/>
      <c r="AZ62" s="213"/>
      <c r="BA62" s="213"/>
      <c r="BB62" s="213"/>
    </row>
    <row r="63" ht="12.75" customHeight="1" outlineLevel="1">
      <c r="A63" s="214">
        <v>11.0</v>
      </c>
      <c r="B63" s="215" t="s">
        <v>301</v>
      </c>
      <c r="C63" s="216" t="s">
        <v>302</v>
      </c>
      <c r="D63" s="217" t="s">
        <v>234</v>
      </c>
      <c r="E63" s="218">
        <v>43.056</v>
      </c>
      <c r="F63" s="219">
        <v>169.0</v>
      </c>
      <c r="G63" s="220">
        <f>ROUND(E63*F63,2)</f>
        <v>7276.46</v>
      </c>
      <c r="H63" s="211"/>
      <c r="I63" s="212">
        <f>ROUND(E63*H63,2)</f>
        <v>0</v>
      </c>
      <c r="J63" s="211"/>
      <c r="K63" s="212">
        <f>ROUND(E63*J63,2)</f>
        <v>0</v>
      </c>
      <c r="L63" s="212">
        <v>21.0</v>
      </c>
      <c r="M63" s="212">
        <f>G63*(1+L63/100)</f>
        <v>8804.5166</v>
      </c>
      <c r="N63" s="212">
        <v>0.0</v>
      </c>
      <c r="O63" s="212">
        <f>ROUND(E63*N63,2)</f>
        <v>0</v>
      </c>
      <c r="P63" s="212">
        <v>0.0</v>
      </c>
      <c r="Q63" s="212">
        <f>ROUND(E63*P63,2)</f>
        <v>0</v>
      </c>
      <c r="R63" s="212"/>
      <c r="S63" s="212" t="s">
        <v>184</v>
      </c>
      <c r="T63" s="212" t="s">
        <v>184</v>
      </c>
      <c r="U63" s="212">
        <v>0.202</v>
      </c>
      <c r="V63" s="212">
        <f>ROUND(E63*U63,2)</f>
        <v>8.7</v>
      </c>
      <c r="W63" s="212"/>
      <c r="X63" s="212" t="s">
        <v>225</v>
      </c>
      <c r="Y63" s="213"/>
      <c r="Z63" s="213"/>
      <c r="AA63" s="213"/>
      <c r="AB63" s="213"/>
      <c r="AC63" s="213"/>
      <c r="AD63" s="213"/>
      <c r="AE63" s="213"/>
      <c r="AF63" s="213"/>
      <c r="AG63" s="213" t="s">
        <v>226</v>
      </c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303</v>
      </c>
      <c r="D64" s="238"/>
      <c r="E64" s="239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1402</v>
      </c>
      <c r="D65" s="238"/>
      <c r="E65" s="239">
        <v>35.26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35"/>
      <c r="B66" s="236"/>
      <c r="C66" s="237" t="s">
        <v>1403</v>
      </c>
      <c r="D66" s="238"/>
      <c r="E66" s="239">
        <v>7.8</v>
      </c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3"/>
      <c r="Z66" s="213"/>
      <c r="AA66" s="213"/>
      <c r="AB66" s="213"/>
      <c r="AC66" s="213"/>
      <c r="AD66" s="213"/>
      <c r="AE66" s="213"/>
      <c r="AF66" s="213"/>
      <c r="AG66" s="213" t="s">
        <v>228</v>
      </c>
      <c r="AH66" s="213">
        <v>0.0</v>
      </c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14">
        <v>12.0</v>
      </c>
      <c r="B67" s="215" t="s">
        <v>311</v>
      </c>
      <c r="C67" s="216" t="s">
        <v>312</v>
      </c>
      <c r="D67" s="217" t="s">
        <v>234</v>
      </c>
      <c r="E67" s="218">
        <v>44.8531</v>
      </c>
      <c r="F67" s="219">
        <v>477.51</v>
      </c>
      <c r="G67" s="220">
        <f>ROUND(E67*F67,2)</f>
        <v>21417.8</v>
      </c>
      <c r="H67" s="211"/>
      <c r="I67" s="212">
        <f>ROUND(E67*H67,2)</f>
        <v>0</v>
      </c>
      <c r="J67" s="211"/>
      <c r="K67" s="212">
        <f>ROUND(E67*J67,2)</f>
        <v>0</v>
      </c>
      <c r="L67" s="212">
        <v>21.0</v>
      </c>
      <c r="M67" s="212">
        <f>G67*(1+L67/100)</f>
        <v>25915.538</v>
      </c>
      <c r="N67" s="212">
        <v>0.0</v>
      </c>
      <c r="O67" s="212">
        <f>ROUND(E67*N67,2)</f>
        <v>0</v>
      </c>
      <c r="P67" s="212">
        <v>0.0</v>
      </c>
      <c r="Q67" s="212">
        <f>ROUND(E67*P67,2)</f>
        <v>0</v>
      </c>
      <c r="R67" s="212"/>
      <c r="S67" s="212" t="s">
        <v>184</v>
      </c>
      <c r="T67" s="212" t="s">
        <v>184</v>
      </c>
      <c r="U67" s="212">
        <v>1.587</v>
      </c>
      <c r="V67" s="212">
        <f>ROUND(E67*U67,2)</f>
        <v>71.18</v>
      </c>
      <c r="W67" s="212"/>
      <c r="X67" s="212" t="s">
        <v>225</v>
      </c>
      <c r="Y67" s="213"/>
      <c r="Z67" s="213"/>
      <c r="AA67" s="213"/>
      <c r="AB67" s="213"/>
      <c r="AC67" s="213"/>
      <c r="AD67" s="213"/>
      <c r="AE67" s="213"/>
      <c r="AF67" s="213"/>
      <c r="AG67" s="213" t="s">
        <v>226</v>
      </c>
      <c r="AH67" s="213"/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1388</v>
      </c>
      <c r="D68" s="238"/>
      <c r="E68" s="239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35"/>
      <c r="B69" s="236"/>
      <c r="C69" s="237" t="s">
        <v>1404</v>
      </c>
      <c r="D69" s="238"/>
      <c r="E69" s="239">
        <v>16.27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3"/>
      <c r="Z69" s="213"/>
      <c r="AA69" s="213"/>
      <c r="AB69" s="213"/>
      <c r="AC69" s="213"/>
      <c r="AD69" s="213"/>
      <c r="AE69" s="213"/>
      <c r="AF69" s="213"/>
      <c r="AG69" s="213" t="s">
        <v>228</v>
      </c>
      <c r="AH69" s="213">
        <v>0.0</v>
      </c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1405</v>
      </c>
      <c r="D70" s="238"/>
      <c r="E70" s="239">
        <v>3.6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35"/>
      <c r="B71" s="236"/>
      <c r="C71" s="237" t="s">
        <v>1206</v>
      </c>
      <c r="D71" s="238"/>
      <c r="E71" s="239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3"/>
      <c r="Z71" s="213"/>
      <c r="AA71" s="213"/>
      <c r="AB71" s="213"/>
      <c r="AC71" s="213"/>
      <c r="AD71" s="213"/>
      <c r="AE71" s="213"/>
      <c r="AF71" s="213"/>
      <c r="AG71" s="213" t="s">
        <v>228</v>
      </c>
      <c r="AH71" s="213">
        <v>0.0</v>
      </c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35"/>
      <c r="B72" s="236"/>
      <c r="C72" s="237" t="s">
        <v>1394</v>
      </c>
      <c r="D72" s="238"/>
      <c r="E72" s="239">
        <v>18.62</v>
      </c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3"/>
      <c r="Z72" s="213"/>
      <c r="AA72" s="213"/>
      <c r="AB72" s="213"/>
      <c r="AC72" s="213"/>
      <c r="AD72" s="213"/>
      <c r="AE72" s="213"/>
      <c r="AF72" s="213"/>
      <c r="AG72" s="213" t="s">
        <v>228</v>
      </c>
      <c r="AH72" s="213">
        <v>0.0</v>
      </c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1406</v>
      </c>
      <c r="D73" s="238"/>
      <c r="E73" s="239">
        <v>-2.21</v>
      </c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35"/>
      <c r="B74" s="236"/>
      <c r="C74" s="237" t="s">
        <v>1208</v>
      </c>
      <c r="D74" s="238"/>
      <c r="E74" s="239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3"/>
      <c r="Z74" s="213"/>
      <c r="AA74" s="213"/>
      <c r="AB74" s="213"/>
      <c r="AC74" s="213"/>
      <c r="AD74" s="213"/>
      <c r="AE74" s="213"/>
      <c r="AF74" s="213"/>
      <c r="AG74" s="213" t="s">
        <v>228</v>
      </c>
      <c r="AH74" s="213">
        <v>0.0</v>
      </c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1395</v>
      </c>
      <c r="D75" s="238"/>
      <c r="E75" s="239">
        <v>12.39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35"/>
      <c r="B76" s="236"/>
      <c r="C76" s="237" t="s">
        <v>1407</v>
      </c>
      <c r="D76" s="238"/>
      <c r="E76" s="239">
        <v>-3.83</v>
      </c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3"/>
      <c r="Z76" s="213"/>
      <c r="AA76" s="213"/>
      <c r="AB76" s="213"/>
      <c r="AC76" s="213"/>
      <c r="AD76" s="213"/>
      <c r="AE76" s="213"/>
      <c r="AF76" s="213"/>
      <c r="AG76" s="213" t="s">
        <v>228</v>
      </c>
      <c r="AH76" s="213">
        <v>0.0</v>
      </c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14">
        <v>13.0</v>
      </c>
      <c r="B77" s="215" t="s">
        <v>314</v>
      </c>
      <c r="C77" s="216" t="s">
        <v>315</v>
      </c>
      <c r="D77" s="217" t="s">
        <v>316</v>
      </c>
      <c r="E77" s="218">
        <v>102.9741</v>
      </c>
      <c r="F77" s="219">
        <v>285.0</v>
      </c>
      <c r="G77" s="220">
        <f>ROUND(E77*F77,2)</f>
        <v>29347.62</v>
      </c>
      <c r="H77" s="211"/>
      <c r="I77" s="212">
        <f>ROUND(E77*H77,2)</f>
        <v>0</v>
      </c>
      <c r="J77" s="211"/>
      <c r="K77" s="212">
        <f>ROUND(E77*J77,2)</f>
        <v>0</v>
      </c>
      <c r="L77" s="212">
        <v>21.0</v>
      </c>
      <c r="M77" s="212">
        <f>G77*(1+L77/100)</f>
        <v>35510.6202</v>
      </c>
      <c r="N77" s="212">
        <v>0.0</v>
      </c>
      <c r="O77" s="212">
        <f>ROUND(E77*N77,2)</f>
        <v>0</v>
      </c>
      <c r="P77" s="212">
        <v>0.0</v>
      </c>
      <c r="Q77" s="212">
        <f>ROUND(E77*P77,2)</f>
        <v>0</v>
      </c>
      <c r="R77" s="212"/>
      <c r="S77" s="212" t="s">
        <v>184</v>
      </c>
      <c r="T77" s="212" t="s">
        <v>184</v>
      </c>
      <c r="U77" s="212">
        <v>0.0</v>
      </c>
      <c r="V77" s="212">
        <f>ROUND(E77*U77,2)</f>
        <v>0</v>
      </c>
      <c r="W77" s="212"/>
      <c r="X77" s="212" t="s">
        <v>225</v>
      </c>
      <c r="Y77" s="213"/>
      <c r="Z77" s="213"/>
      <c r="AA77" s="213"/>
      <c r="AB77" s="213"/>
      <c r="AC77" s="213"/>
      <c r="AD77" s="213"/>
      <c r="AE77" s="213"/>
      <c r="AF77" s="213"/>
      <c r="AG77" s="213" t="s">
        <v>226</v>
      </c>
      <c r="AH77" s="213"/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295</v>
      </c>
      <c r="D78" s="238"/>
      <c r="E78" s="239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35"/>
      <c r="B79" s="236"/>
      <c r="C79" s="240" t="s">
        <v>236</v>
      </c>
      <c r="D79" s="241"/>
      <c r="E79" s="24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3"/>
      <c r="Z79" s="213"/>
      <c r="AA79" s="213"/>
      <c r="AB79" s="213"/>
      <c r="AC79" s="213"/>
      <c r="AD79" s="213"/>
      <c r="AE79" s="213"/>
      <c r="AF79" s="213"/>
      <c r="AG79" s="213" t="s">
        <v>228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35"/>
      <c r="B80" s="236"/>
      <c r="C80" s="243" t="s">
        <v>1408</v>
      </c>
      <c r="D80" s="241"/>
      <c r="E80" s="242">
        <v>18.98</v>
      </c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3"/>
      <c r="Z80" s="213"/>
      <c r="AA80" s="213"/>
      <c r="AB80" s="213"/>
      <c r="AC80" s="213"/>
      <c r="AD80" s="213"/>
      <c r="AE80" s="213"/>
      <c r="AF80" s="213"/>
      <c r="AG80" s="213" t="s">
        <v>228</v>
      </c>
      <c r="AH80" s="213">
        <v>2.0</v>
      </c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 outlineLevel="1">
      <c r="A81" s="235"/>
      <c r="B81" s="236"/>
      <c r="C81" s="243" t="s">
        <v>1409</v>
      </c>
      <c r="D81" s="241"/>
      <c r="E81" s="242">
        <v>4.2</v>
      </c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3"/>
      <c r="Z81" s="213"/>
      <c r="AA81" s="213"/>
      <c r="AB81" s="213"/>
      <c r="AC81" s="213"/>
      <c r="AD81" s="213"/>
      <c r="AE81" s="213"/>
      <c r="AF81" s="213"/>
      <c r="AG81" s="213" t="s">
        <v>228</v>
      </c>
      <c r="AH81" s="213">
        <v>2.0</v>
      </c>
      <c r="AI81" s="213"/>
      <c r="AJ81" s="213"/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</row>
    <row r="82" ht="12.75" customHeight="1" outlineLevel="1">
      <c r="A82" s="235"/>
      <c r="B82" s="236"/>
      <c r="C82" s="243" t="s">
        <v>1410</v>
      </c>
      <c r="D82" s="241"/>
      <c r="E82" s="242">
        <v>18.62</v>
      </c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3"/>
      <c r="Z82" s="213"/>
      <c r="AA82" s="213"/>
      <c r="AB82" s="213"/>
      <c r="AC82" s="213"/>
      <c r="AD82" s="213"/>
      <c r="AE82" s="213"/>
      <c r="AF82" s="213"/>
      <c r="AG82" s="213" t="s">
        <v>228</v>
      </c>
      <c r="AH82" s="213">
        <v>2.0</v>
      </c>
      <c r="AI82" s="213"/>
      <c r="AJ82" s="213"/>
      <c r="AK82" s="213"/>
      <c r="AL82" s="213"/>
      <c r="AM82" s="213"/>
      <c r="AN82" s="213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13"/>
    </row>
    <row r="83" ht="12.75" customHeight="1" outlineLevel="1">
      <c r="A83" s="235"/>
      <c r="B83" s="236"/>
      <c r="C83" s="243" t="s">
        <v>1411</v>
      </c>
      <c r="D83" s="241"/>
      <c r="E83" s="242">
        <v>12.39</v>
      </c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3"/>
      <c r="Z83" s="213"/>
      <c r="AA83" s="213"/>
      <c r="AB83" s="213"/>
      <c r="AC83" s="213"/>
      <c r="AD83" s="213"/>
      <c r="AE83" s="213"/>
      <c r="AF83" s="213"/>
      <c r="AG83" s="213" t="s">
        <v>228</v>
      </c>
      <c r="AH83" s="213">
        <v>2.0</v>
      </c>
      <c r="AI83" s="213"/>
      <c r="AJ83" s="213"/>
      <c r="AK83" s="213"/>
      <c r="AL83" s="213"/>
      <c r="AM83" s="213"/>
      <c r="AN83" s="213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</row>
    <row r="84" ht="12.75" customHeight="1" outlineLevel="1">
      <c r="A84" s="235"/>
      <c r="B84" s="236"/>
      <c r="C84" s="240" t="s">
        <v>238</v>
      </c>
      <c r="D84" s="241"/>
      <c r="E84" s="24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3"/>
      <c r="Z84" s="213"/>
      <c r="AA84" s="213"/>
      <c r="AB84" s="213"/>
      <c r="AC84" s="213"/>
      <c r="AD84" s="213"/>
      <c r="AE84" s="213"/>
      <c r="AF84" s="213"/>
      <c r="AG84" s="213" t="s">
        <v>228</v>
      </c>
      <c r="AH84" s="213"/>
      <c r="AI84" s="213"/>
      <c r="AJ84" s="213"/>
      <c r="AK84" s="213"/>
      <c r="AL84" s="213"/>
      <c r="AM84" s="213"/>
      <c r="AN84" s="213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</row>
    <row r="85" ht="12.75" customHeight="1" outlineLevel="1">
      <c r="A85" s="235"/>
      <c r="B85" s="236"/>
      <c r="C85" s="237" t="s">
        <v>1412</v>
      </c>
      <c r="D85" s="238"/>
      <c r="E85" s="239">
        <v>102.97</v>
      </c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3"/>
      <c r="Z85" s="213"/>
      <c r="AA85" s="213"/>
      <c r="AB85" s="213"/>
      <c r="AC85" s="213"/>
      <c r="AD85" s="213"/>
      <c r="AE85" s="213"/>
      <c r="AF85" s="213"/>
      <c r="AG85" s="213" t="s">
        <v>228</v>
      </c>
      <c r="AH85" s="213">
        <v>0.0</v>
      </c>
      <c r="AI85" s="213"/>
      <c r="AJ85" s="213"/>
      <c r="AK85" s="213"/>
      <c r="AL85" s="213"/>
      <c r="AM85" s="213"/>
      <c r="AN85" s="213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13"/>
    </row>
    <row r="86" ht="12.75" customHeight="1" outlineLevel="1">
      <c r="A86" s="214">
        <v>14.0</v>
      </c>
      <c r="B86" s="215" t="s">
        <v>620</v>
      </c>
      <c r="C86" s="216" t="s">
        <v>621</v>
      </c>
      <c r="D86" s="217" t="s">
        <v>321</v>
      </c>
      <c r="E86" s="218">
        <v>84.7724</v>
      </c>
      <c r="F86" s="219">
        <v>263.89</v>
      </c>
      <c r="G86" s="220">
        <f>ROUND(E86*F86,2)</f>
        <v>22370.59</v>
      </c>
      <c r="H86" s="211"/>
      <c r="I86" s="212">
        <f>ROUND(E86*H86,2)</f>
        <v>0</v>
      </c>
      <c r="J86" s="211"/>
      <c r="K86" s="212">
        <f>ROUND(E86*J86,2)</f>
        <v>0</v>
      </c>
      <c r="L86" s="212">
        <v>21.0</v>
      </c>
      <c r="M86" s="212">
        <f>G86*(1+L86/100)</f>
        <v>27068.4139</v>
      </c>
      <c r="N86" s="212">
        <v>1.0</v>
      </c>
      <c r="O86" s="212">
        <f>ROUND(E86*N86,2)</f>
        <v>84.77</v>
      </c>
      <c r="P86" s="212">
        <v>0.0</v>
      </c>
      <c r="Q86" s="212">
        <f>ROUND(E86*P86,2)</f>
        <v>0</v>
      </c>
      <c r="R86" s="212" t="s">
        <v>322</v>
      </c>
      <c r="S86" s="212" t="s">
        <v>184</v>
      </c>
      <c r="T86" s="212" t="s">
        <v>184</v>
      </c>
      <c r="U86" s="212">
        <v>0.0</v>
      </c>
      <c r="V86" s="212">
        <f>ROUND(E86*U86,2)</f>
        <v>0</v>
      </c>
      <c r="W86" s="212"/>
      <c r="X86" s="212" t="s">
        <v>323</v>
      </c>
      <c r="Y86" s="213"/>
      <c r="Z86" s="213"/>
      <c r="AA86" s="213"/>
      <c r="AB86" s="213"/>
      <c r="AC86" s="213"/>
      <c r="AD86" s="213"/>
      <c r="AE86" s="213"/>
      <c r="AF86" s="213"/>
      <c r="AG86" s="213" t="s">
        <v>324</v>
      </c>
      <c r="AH86" s="213"/>
      <c r="AI86" s="213"/>
      <c r="AJ86" s="213"/>
      <c r="AK86" s="213"/>
      <c r="AL86" s="213"/>
      <c r="AM86" s="213"/>
      <c r="AN86" s="213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</row>
    <row r="87" ht="12.75" customHeight="1" outlineLevel="1">
      <c r="A87" s="235"/>
      <c r="B87" s="236"/>
      <c r="C87" s="237" t="s">
        <v>1388</v>
      </c>
      <c r="D87" s="238"/>
      <c r="E87" s="239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3"/>
      <c r="Z87" s="213"/>
      <c r="AA87" s="213"/>
      <c r="AB87" s="213"/>
      <c r="AC87" s="213"/>
      <c r="AD87" s="213"/>
      <c r="AE87" s="213"/>
      <c r="AF87" s="213"/>
      <c r="AG87" s="213" t="s">
        <v>228</v>
      </c>
      <c r="AH87" s="213">
        <v>0.0</v>
      </c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13"/>
    </row>
    <row r="88" ht="12.75" customHeight="1" outlineLevel="1">
      <c r="A88" s="235"/>
      <c r="B88" s="236"/>
      <c r="C88" s="240" t="s">
        <v>236</v>
      </c>
      <c r="D88" s="241"/>
      <c r="E88" s="24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3"/>
      <c r="Z88" s="213"/>
      <c r="AA88" s="213"/>
      <c r="AB88" s="213"/>
      <c r="AC88" s="213"/>
      <c r="AD88" s="213"/>
      <c r="AE88" s="213"/>
      <c r="AF88" s="213"/>
      <c r="AG88" s="213" t="s">
        <v>228</v>
      </c>
      <c r="AH88" s="213"/>
      <c r="AI88" s="213"/>
      <c r="AJ88" s="213"/>
      <c r="AK88" s="213"/>
      <c r="AL88" s="213"/>
      <c r="AM88" s="213"/>
      <c r="AN88" s="213"/>
      <c r="AO88" s="213"/>
      <c r="AP88" s="213"/>
      <c r="AQ88" s="213"/>
      <c r="AR88" s="213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</row>
    <row r="89" ht="12.75" customHeight="1" outlineLevel="1">
      <c r="A89" s="235"/>
      <c r="B89" s="236"/>
      <c r="C89" s="243" t="s">
        <v>1413</v>
      </c>
      <c r="D89" s="241"/>
      <c r="E89" s="242">
        <v>16.27</v>
      </c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3"/>
      <c r="Z89" s="213"/>
      <c r="AA89" s="213"/>
      <c r="AB89" s="213"/>
      <c r="AC89" s="213"/>
      <c r="AD89" s="213"/>
      <c r="AE89" s="213"/>
      <c r="AF89" s="213"/>
      <c r="AG89" s="213" t="s">
        <v>228</v>
      </c>
      <c r="AH89" s="213">
        <v>2.0</v>
      </c>
      <c r="AI89" s="213"/>
      <c r="AJ89" s="213"/>
      <c r="AK89" s="213"/>
      <c r="AL89" s="213"/>
      <c r="AM89" s="213"/>
      <c r="AN89" s="213"/>
      <c r="AO89" s="213"/>
      <c r="AP89" s="213"/>
      <c r="AQ89" s="213"/>
      <c r="AR89" s="213"/>
      <c r="AS89" s="213"/>
      <c r="AT89" s="213"/>
      <c r="AU89" s="213"/>
      <c r="AV89" s="213"/>
      <c r="AW89" s="213"/>
      <c r="AX89" s="213"/>
      <c r="AY89" s="213"/>
      <c r="AZ89" s="213"/>
      <c r="BA89" s="213"/>
      <c r="BB89" s="213"/>
    </row>
    <row r="90" ht="12.75" customHeight="1" outlineLevel="1">
      <c r="A90" s="235"/>
      <c r="B90" s="236"/>
      <c r="C90" s="243" t="s">
        <v>1414</v>
      </c>
      <c r="D90" s="241"/>
      <c r="E90" s="242">
        <v>3.6</v>
      </c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3"/>
      <c r="Z90" s="213"/>
      <c r="AA90" s="213"/>
      <c r="AB90" s="213"/>
      <c r="AC90" s="213"/>
      <c r="AD90" s="213"/>
      <c r="AE90" s="213"/>
      <c r="AF90" s="213"/>
      <c r="AG90" s="213" t="s">
        <v>228</v>
      </c>
      <c r="AH90" s="213">
        <v>2.0</v>
      </c>
      <c r="AI90" s="213"/>
      <c r="AJ90" s="213"/>
      <c r="AK90" s="213"/>
      <c r="AL90" s="213"/>
      <c r="AM90" s="213"/>
      <c r="AN90" s="213"/>
      <c r="AO90" s="213"/>
      <c r="AP90" s="213"/>
      <c r="AQ90" s="213"/>
      <c r="AR90" s="213"/>
      <c r="AS90" s="213"/>
      <c r="AT90" s="213"/>
      <c r="AU90" s="213"/>
      <c r="AV90" s="213"/>
      <c r="AW90" s="213"/>
      <c r="AX90" s="213"/>
      <c r="AY90" s="213"/>
      <c r="AZ90" s="213"/>
      <c r="BA90" s="213"/>
      <c r="BB90" s="213"/>
    </row>
    <row r="91" ht="12.75" customHeight="1" outlineLevel="1">
      <c r="A91" s="235"/>
      <c r="B91" s="236"/>
      <c r="C91" s="240" t="s">
        <v>238</v>
      </c>
      <c r="D91" s="241"/>
      <c r="E91" s="24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3"/>
      <c r="Z91" s="213"/>
      <c r="AA91" s="213"/>
      <c r="AB91" s="213"/>
      <c r="AC91" s="213"/>
      <c r="AD91" s="213"/>
      <c r="AE91" s="213"/>
      <c r="AF91" s="213"/>
      <c r="AG91" s="213" t="s">
        <v>228</v>
      </c>
      <c r="AH91" s="213"/>
      <c r="AI91" s="213"/>
      <c r="AJ91" s="213"/>
      <c r="AK91" s="213"/>
      <c r="AL91" s="213"/>
      <c r="AM91" s="213"/>
      <c r="AN91" s="213"/>
      <c r="AO91" s="213"/>
      <c r="AP91" s="213"/>
      <c r="AQ91" s="213"/>
      <c r="AR91" s="213"/>
      <c r="AS91" s="213"/>
      <c r="AT91" s="213"/>
      <c r="AU91" s="213"/>
      <c r="AV91" s="213"/>
      <c r="AW91" s="213"/>
      <c r="AX91" s="213"/>
      <c r="AY91" s="213"/>
      <c r="AZ91" s="213"/>
      <c r="BA91" s="213"/>
      <c r="BB91" s="213"/>
    </row>
    <row r="92" ht="12.75" customHeight="1" outlineLevel="1">
      <c r="A92" s="235"/>
      <c r="B92" s="236"/>
      <c r="C92" s="237" t="s">
        <v>1415</v>
      </c>
      <c r="D92" s="238"/>
      <c r="E92" s="239">
        <v>37.56</v>
      </c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3"/>
      <c r="Z92" s="213"/>
      <c r="AA92" s="213"/>
      <c r="AB92" s="213"/>
      <c r="AC92" s="213"/>
      <c r="AD92" s="213"/>
      <c r="AE92" s="213"/>
      <c r="AF92" s="213"/>
      <c r="AG92" s="213" t="s">
        <v>228</v>
      </c>
      <c r="AH92" s="213">
        <v>0.0</v>
      </c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</row>
    <row r="93" ht="12.75" customHeight="1" outlineLevel="1">
      <c r="A93" s="235"/>
      <c r="B93" s="236"/>
      <c r="C93" s="237" t="s">
        <v>1206</v>
      </c>
      <c r="D93" s="238"/>
      <c r="E93" s="239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3"/>
      <c r="Z93" s="213"/>
      <c r="AA93" s="213"/>
      <c r="AB93" s="213"/>
      <c r="AC93" s="213"/>
      <c r="AD93" s="213"/>
      <c r="AE93" s="213"/>
      <c r="AF93" s="213"/>
      <c r="AG93" s="213" t="s">
        <v>228</v>
      </c>
      <c r="AH93" s="213">
        <v>0.0</v>
      </c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213"/>
      <c r="AT93" s="213"/>
      <c r="AU93" s="213"/>
      <c r="AV93" s="213"/>
      <c r="AW93" s="213"/>
      <c r="AX93" s="213"/>
      <c r="AY93" s="213"/>
      <c r="AZ93" s="213"/>
      <c r="BA93" s="213"/>
      <c r="BB93" s="213"/>
    </row>
    <row r="94" ht="12.75" customHeight="1" outlineLevel="1">
      <c r="A94" s="235"/>
      <c r="B94" s="236"/>
      <c r="C94" s="240" t="s">
        <v>236</v>
      </c>
      <c r="D94" s="241"/>
      <c r="E94" s="24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3"/>
      <c r="Z94" s="213"/>
      <c r="AA94" s="213"/>
      <c r="AB94" s="213"/>
      <c r="AC94" s="213"/>
      <c r="AD94" s="213"/>
      <c r="AE94" s="213"/>
      <c r="AF94" s="213"/>
      <c r="AG94" s="213" t="s">
        <v>228</v>
      </c>
      <c r="AH94" s="213"/>
      <c r="AI94" s="213"/>
      <c r="AJ94" s="213"/>
      <c r="AK94" s="213"/>
      <c r="AL94" s="213"/>
      <c r="AM94" s="213"/>
      <c r="AN94" s="213"/>
      <c r="AO94" s="213"/>
      <c r="AP94" s="213"/>
      <c r="AQ94" s="213"/>
      <c r="AR94" s="213"/>
      <c r="AS94" s="213"/>
      <c r="AT94" s="213"/>
      <c r="AU94" s="213"/>
      <c r="AV94" s="213"/>
      <c r="AW94" s="213"/>
      <c r="AX94" s="213"/>
      <c r="AY94" s="213"/>
      <c r="AZ94" s="213"/>
      <c r="BA94" s="213"/>
      <c r="BB94" s="213"/>
    </row>
    <row r="95" ht="12.75" customHeight="1" outlineLevel="1">
      <c r="A95" s="235"/>
      <c r="B95" s="236"/>
      <c r="C95" s="243" t="s">
        <v>1410</v>
      </c>
      <c r="D95" s="241"/>
      <c r="E95" s="242">
        <v>18.62</v>
      </c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3"/>
      <c r="Z95" s="213"/>
      <c r="AA95" s="213"/>
      <c r="AB95" s="213"/>
      <c r="AC95" s="213"/>
      <c r="AD95" s="213"/>
      <c r="AE95" s="213"/>
      <c r="AF95" s="213"/>
      <c r="AG95" s="213" t="s">
        <v>228</v>
      </c>
      <c r="AH95" s="213">
        <v>2.0</v>
      </c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3"/>
      <c r="BB95" s="213"/>
    </row>
    <row r="96" ht="12.75" customHeight="1" outlineLevel="1">
      <c r="A96" s="235"/>
      <c r="B96" s="236"/>
      <c r="C96" s="243" t="s">
        <v>1416</v>
      </c>
      <c r="D96" s="241"/>
      <c r="E96" s="242">
        <v>-2.21</v>
      </c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3"/>
      <c r="Z96" s="213"/>
      <c r="AA96" s="213"/>
      <c r="AB96" s="213"/>
      <c r="AC96" s="213"/>
      <c r="AD96" s="213"/>
      <c r="AE96" s="213"/>
      <c r="AF96" s="213"/>
      <c r="AG96" s="213" t="s">
        <v>228</v>
      </c>
      <c r="AH96" s="213">
        <v>2.0</v>
      </c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213"/>
      <c r="AT96" s="213"/>
      <c r="AU96" s="213"/>
      <c r="AV96" s="213"/>
      <c r="AW96" s="213"/>
      <c r="AX96" s="213"/>
      <c r="AY96" s="213"/>
      <c r="AZ96" s="213"/>
      <c r="BA96" s="213"/>
      <c r="BB96" s="213"/>
    </row>
    <row r="97" ht="12.75" customHeight="1" outlineLevel="1">
      <c r="A97" s="235"/>
      <c r="B97" s="236"/>
      <c r="C97" s="240" t="s">
        <v>238</v>
      </c>
      <c r="D97" s="241"/>
      <c r="E97" s="24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3"/>
      <c r="Z97" s="213"/>
      <c r="AA97" s="213"/>
      <c r="AB97" s="213"/>
      <c r="AC97" s="213"/>
      <c r="AD97" s="213"/>
      <c r="AE97" s="213"/>
      <c r="AF97" s="213"/>
      <c r="AG97" s="213" t="s">
        <v>228</v>
      </c>
      <c r="AH97" s="213"/>
      <c r="AI97" s="213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3"/>
      <c r="BB97" s="213"/>
    </row>
    <row r="98" ht="12.75" customHeight="1" outlineLevel="1">
      <c r="A98" s="235"/>
      <c r="B98" s="236"/>
      <c r="C98" s="237" t="s">
        <v>1417</v>
      </c>
      <c r="D98" s="238"/>
      <c r="E98" s="239">
        <v>31.02</v>
      </c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3"/>
      <c r="Z98" s="213"/>
      <c r="AA98" s="213"/>
      <c r="AB98" s="213"/>
      <c r="AC98" s="213"/>
      <c r="AD98" s="213"/>
      <c r="AE98" s="213"/>
      <c r="AF98" s="213"/>
      <c r="AG98" s="213" t="s">
        <v>228</v>
      </c>
      <c r="AH98" s="213">
        <v>0.0</v>
      </c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</row>
    <row r="99" ht="12.75" customHeight="1" outlineLevel="1">
      <c r="A99" s="235"/>
      <c r="B99" s="236"/>
      <c r="C99" s="237" t="s">
        <v>1208</v>
      </c>
      <c r="D99" s="238"/>
      <c r="E99" s="239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3"/>
      <c r="Z99" s="213"/>
      <c r="AA99" s="213"/>
      <c r="AB99" s="213"/>
      <c r="AC99" s="213"/>
      <c r="AD99" s="213"/>
      <c r="AE99" s="213"/>
      <c r="AF99" s="213"/>
      <c r="AG99" s="213" t="s">
        <v>228</v>
      </c>
      <c r="AH99" s="213">
        <v>0.0</v>
      </c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213"/>
      <c r="AT99" s="213"/>
      <c r="AU99" s="213"/>
      <c r="AV99" s="213"/>
      <c r="AW99" s="213"/>
      <c r="AX99" s="213"/>
      <c r="AY99" s="213"/>
      <c r="AZ99" s="213"/>
      <c r="BA99" s="213"/>
      <c r="BB99" s="213"/>
    </row>
    <row r="100" ht="12.75" customHeight="1" outlineLevel="1">
      <c r="A100" s="235"/>
      <c r="B100" s="236"/>
      <c r="C100" s="240" t="s">
        <v>236</v>
      </c>
      <c r="D100" s="241"/>
      <c r="E100" s="24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3"/>
      <c r="Z100" s="213"/>
      <c r="AA100" s="213"/>
      <c r="AB100" s="213"/>
      <c r="AC100" s="213"/>
      <c r="AD100" s="213"/>
      <c r="AE100" s="213"/>
      <c r="AF100" s="213"/>
      <c r="AG100" s="213" t="s">
        <v>228</v>
      </c>
      <c r="AH100" s="213"/>
      <c r="AI100" s="213"/>
      <c r="AJ100" s="213"/>
      <c r="AK100" s="213"/>
      <c r="AL100" s="213"/>
      <c r="AM100" s="213"/>
      <c r="AN100" s="213"/>
      <c r="AO100" s="213"/>
      <c r="AP100" s="213"/>
      <c r="AQ100" s="213"/>
      <c r="AR100" s="213"/>
      <c r="AS100" s="213"/>
      <c r="AT100" s="213"/>
      <c r="AU100" s="213"/>
      <c r="AV100" s="213"/>
      <c r="AW100" s="213"/>
      <c r="AX100" s="213"/>
      <c r="AY100" s="213"/>
      <c r="AZ100" s="213"/>
      <c r="BA100" s="213"/>
      <c r="BB100" s="213"/>
    </row>
    <row r="101" ht="12.75" customHeight="1" outlineLevel="1">
      <c r="A101" s="235"/>
      <c r="B101" s="236"/>
      <c r="C101" s="243" t="s">
        <v>1411</v>
      </c>
      <c r="D101" s="241"/>
      <c r="E101" s="242">
        <v>12.39</v>
      </c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3"/>
      <c r="Z101" s="213"/>
      <c r="AA101" s="213"/>
      <c r="AB101" s="213"/>
      <c r="AC101" s="213"/>
      <c r="AD101" s="213"/>
      <c r="AE101" s="213"/>
      <c r="AF101" s="213"/>
      <c r="AG101" s="213" t="s">
        <v>228</v>
      </c>
      <c r="AH101" s="213">
        <v>2.0</v>
      </c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</row>
    <row r="102" ht="12.75" customHeight="1" outlineLevel="1">
      <c r="A102" s="235"/>
      <c r="B102" s="236"/>
      <c r="C102" s="243" t="s">
        <v>1418</v>
      </c>
      <c r="D102" s="241"/>
      <c r="E102" s="242">
        <v>-3.83</v>
      </c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3"/>
      <c r="Z102" s="213"/>
      <c r="AA102" s="213"/>
      <c r="AB102" s="213"/>
      <c r="AC102" s="213"/>
      <c r="AD102" s="213"/>
      <c r="AE102" s="213"/>
      <c r="AF102" s="213"/>
      <c r="AG102" s="213" t="s">
        <v>228</v>
      </c>
      <c r="AH102" s="213">
        <v>2.0</v>
      </c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213"/>
      <c r="AT102" s="213"/>
      <c r="AU102" s="213"/>
      <c r="AV102" s="213"/>
      <c r="AW102" s="213"/>
      <c r="AX102" s="213"/>
      <c r="AY102" s="213"/>
      <c r="AZ102" s="213"/>
      <c r="BA102" s="213"/>
      <c r="BB102" s="213"/>
    </row>
    <row r="103" ht="12.75" customHeight="1" outlineLevel="1">
      <c r="A103" s="235"/>
      <c r="B103" s="236"/>
      <c r="C103" s="240" t="s">
        <v>238</v>
      </c>
      <c r="D103" s="241"/>
      <c r="E103" s="24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3"/>
      <c r="Z103" s="213"/>
      <c r="AA103" s="213"/>
      <c r="AB103" s="213"/>
      <c r="AC103" s="213"/>
      <c r="AD103" s="213"/>
      <c r="AE103" s="213"/>
      <c r="AF103" s="213"/>
      <c r="AG103" s="213" t="s">
        <v>228</v>
      </c>
      <c r="AH103" s="213"/>
      <c r="AI103" s="213"/>
      <c r="AJ103" s="213"/>
      <c r="AK103" s="213"/>
      <c r="AL103" s="213"/>
      <c r="AM103" s="213"/>
      <c r="AN103" s="213"/>
      <c r="AO103" s="213"/>
      <c r="AP103" s="213"/>
      <c r="AQ103" s="213"/>
      <c r="AR103" s="213"/>
      <c r="AS103" s="213"/>
      <c r="AT103" s="213"/>
      <c r="AU103" s="213"/>
      <c r="AV103" s="213"/>
      <c r="AW103" s="213"/>
      <c r="AX103" s="213"/>
      <c r="AY103" s="213"/>
      <c r="AZ103" s="213"/>
      <c r="BA103" s="213"/>
      <c r="BB103" s="213"/>
    </row>
    <row r="104" ht="12.75" customHeight="1" outlineLevel="1">
      <c r="A104" s="235"/>
      <c r="B104" s="236"/>
      <c r="C104" s="237" t="s">
        <v>1419</v>
      </c>
      <c r="D104" s="238"/>
      <c r="E104" s="239">
        <v>16.19</v>
      </c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3"/>
      <c r="Z104" s="213"/>
      <c r="AA104" s="213"/>
      <c r="AB104" s="213"/>
      <c r="AC104" s="213"/>
      <c r="AD104" s="213"/>
      <c r="AE104" s="213"/>
      <c r="AF104" s="213"/>
      <c r="AG104" s="213" t="s">
        <v>228</v>
      </c>
      <c r="AH104" s="213">
        <v>0.0</v>
      </c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213"/>
      <c r="AT104" s="213"/>
      <c r="AU104" s="213"/>
      <c r="AV104" s="213"/>
      <c r="AW104" s="213"/>
      <c r="AX104" s="213"/>
      <c r="AY104" s="213"/>
      <c r="AZ104" s="213"/>
      <c r="BA104" s="213"/>
      <c r="BB104" s="213"/>
    </row>
    <row r="105" ht="12.75" customHeight="1">
      <c r="A105" s="196" t="s">
        <v>173</v>
      </c>
      <c r="B105" s="197" t="s">
        <v>98</v>
      </c>
      <c r="C105" s="198" t="s">
        <v>99</v>
      </c>
      <c r="D105" s="199"/>
      <c r="E105" s="200"/>
      <c r="F105" s="201"/>
      <c r="G105" s="202">
        <f>SUMIF(AG106:AG110,"&lt;&gt;NOR",G106:G110)</f>
        <v>1224.27</v>
      </c>
      <c r="H105" s="203"/>
      <c r="I105" s="203">
        <f>SUM(I106:I110)</f>
        <v>0</v>
      </c>
      <c r="J105" s="203"/>
      <c r="K105" s="203">
        <f>SUM(K106:K110)</f>
        <v>0</v>
      </c>
      <c r="L105" s="203"/>
      <c r="M105" s="203">
        <f>SUM(M106:M110)</f>
        <v>1481.3667</v>
      </c>
      <c r="N105" s="203"/>
      <c r="O105" s="203">
        <f>SUM(O106:O110)</f>
        <v>1.79</v>
      </c>
      <c r="P105" s="203"/>
      <c r="Q105" s="203">
        <f>SUM(Q106:Q110)</f>
        <v>0</v>
      </c>
      <c r="R105" s="203"/>
      <c r="S105" s="203"/>
      <c r="T105" s="203"/>
      <c r="U105" s="203"/>
      <c r="V105" s="203">
        <f>SUM(V106:V110)</f>
        <v>1.09</v>
      </c>
      <c r="W105" s="203"/>
      <c r="X105" s="203"/>
      <c r="AG105" s="184" t="s">
        <v>174</v>
      </c>
    </row>
    <row r="106" ht="12.75" customHeight="1" outlineLevel="1">
      <c r="A106" s="214">
        <v>15.0</v>
      </c>
      <c r="B106" s="215" t="s">
        <v>507</v>
      </c>
      <c r="C106" s="216" t="s">
        <v>508</v>
      </c>
      <c r="D106" s="217" t="s">
        <v>234</v>
      </c>
      <c r="E106" s="218">
        <v>1.0073</v>
      </c>
      <c r="F106" s="219">
        <v>1215.4</v>
      </c>
      <c r="G106" s="220">
        <f>ROUND(E106*F106,2)</f>
        <v>1224.27</v>
      </c>
      <c r="H106" s="211"/>
      <c r="I106" s="212">
        <f>ROUND(E106*H106,2)</f>
        <v>0</v>
      </c>
      <c r="J106" s="211"/>
      <c r="K106" s="212">
        <f>ROUND(E106*J106,2)</f>
        <v>0</v>
      </c>
      <c r="L106" s="212">
        <v>21.0</v>
      </c>
      <c r="M106" s="212">
        <f>G106*(1+L106/100)</f>
        <v>1481.3667</v>
      </c>
      <c r="N106" s="212">
        <v>1.78164</v>
      </c>
      <c r="O106" s="212">
        <f>ROUND(E106*N106,2)</f>
        <v>1.79</v>
      </c>
      <c r="P106" s="212">
        <v>0.0</v>
      </c>
      <c r="Q106" s="212">
        <f>ROUND(E106*P106,2)</f>
        <v>0</v>
      </c>
      <c r="R106" s="212"/>
      <c r="S106" s="212" t="s">
        <v>184</v>
      </c>
      <c r="T106" s="212" t="s">
        <v>184</v>
      </c>
      <c r="U106" s="212">
        <v>1.085</v>
      </c>
      <c r="V106" s="212">
        <f>ROUND(E106*U106,2)</f>
        <v>1.09</v>
      </c>
      <c r="W106" s="212"/>
      <c r="X106" s="212" t="s">
        <v>225</v>
      </c>
      <c r="Y106" s="213"/>
      <c r="Z106" s="213"/>
      <c r="AA106" s="213"/>
      <c r="AB106" s="213"/>
      <c r="AC106" s="213"/>
      <c r="AD106" s="213"/>
      <c r="AE106" s="213"/>
      <c r="AF106" s="213"/>
      <c r="AG106" s="213" t="s">
        <v>226</v>
      </c>
      <c r="AH106" s="213"/>
      <c r="AI106" s="213"/>
      <c r="AJ106" s="213"/>
      <c r="AK106" s="213"/>
      <c r="AL106" s="213"/>
      <c r="AM106" s="213"/>
      <c r="AN106" s="213"/>
      <c r="AO106" s="213"/>
      <c r="AP106" s="213"/>
      <c r="AQ106" s="213"/>
      <c r="AR106" s="213"/>
      <c r="AS106" s="213"/>
      <c r="AT106" s="213"/>
      <c r="AU106" s="213"/>
      <c r="AV106" s="213"/>
      <c r="AW106" s="213"/>
      <c r="AX106" s="213"/>
      <c r="AY106" s="213"/>
      <c r="AZ106" s="213"/>
      <c r="BA106" s="213"/>
      <c r="BB106" s="213"/>
    </row>
    <row r="107" ht="12.75" customHeight="1" outlineLevel="1">
      <c r="A107" s="235"/>
      <c r="B107" s="236"/>
      <c r="C107" s="237" t="s">
        <v>509</v>
      </c>
      <c r="D107" s="238"/>
      <c r="E107" s="239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3"/>
      <c r="Z107" s="213"/>
      <c r="AA107" s="213"/>
      <c r="AB107" s="213"/>
      <c r="AC107" s="213"/>
      <c r="AD107" s="213"/>
      <c r="AE107" s="213"/>
      <c r="AF107" s="213"/>
      <c r="AG107" s="213" t="s">
        <v>228</v>
      </c>
      <c r="AH107" s="213">
        <v>0.0</v>
      </c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213"/>
      <c r="AT107" s="213"/>
      <c r="AU107" s="213"/>
      <c r="AV107" s="213"/>
      <c r="AW107" s="213"/>
      <c r="AX107" s="213"/>
      <c r="AY107" s="213"/>
      <c r="AZ107" s="213"/>
      <c r="BA107" s="213"/>
      <c r="BB107" s="213"/>
    </row>
    <row r="108" ht="12.75" customHeight="1" outlineLevel="1">
      <c r="A108" s="235"/>
      <c r="B108" s="236"/>
      <c r="C108" s="237" t="s">
        <v>1420</v>
      </c>
      <c r="D108" s="238"/>
      <c r="E108" s="239">
        <v>0.34</v>
      </c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3"/>
      <c r="Z108" s="213"/>
      <c r="AA108" s="213"/>
      <c r="AB108" s="213"/>
      <c r="AC108" s="213"/>
      <c r="AD108" s="213"/>
      <c r="AE108" s="213"/>
      <c r="AF108" s="213"/>
      <c r="AG108" s="213" t="s">
        <v>228</v>
      </c>
      <c r="AH108" s="213">
        <v>0.0</v>
      </c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213"/>
      <c r="AT108" s="213"/>
      <c r="AU108" s="213"/>
      <c r="AV108" s="213"/>
      <c r="AW108" s="213"/>
      <c r="AX108" s="213"/>
      <c r="AY108" s="213"/>
      <c r="AZ108" s="213"/>
      <c r="BA108" s="213"/>
      <c r="BB108" s="213"/>
    </row>
    <row r="109" ht="12.75" customHeight="1" outlineLevel="1">
      <c r="A109" s="235"/>
      <c r="B109" s="236"/>
      <c r="C109" s="237" t="s">
        <v>1242</v>
      </c>
      <c r="D109" s="238"/>
      <c r="E109" s="239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3"/>
      <c r="Z109" s="213"/>
      <c r="AA109" s="213"/>
      <c r="AB109" s="213"/>
      <c r="AC109" s="213"/>
      <c r="AD109" s="213"/>
      <c r="AE109" s="213"/>
      <c r="AF109" s="213"/>
      <c r="AG109" s="213" t="s">
        <v>228</v>
      </c>
      <c r="AH109" s="213">
        <v>0.0</v>
      </c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</row>
    <row r="110" ht="12.75" customHeight="1" outlineLevel="1">
      <c r="A110" s="235"/>
      <c r="B110" s="236"/>
      <c r="C110" s="237" t="s">
        <v>1421</v>
      </c>
      <c r="D110" s="238"/>
      <c r="E110" s="239">
        <v>0.67</v>
      </c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3"/>
      <c r="Z110" s="213"/>
      <c r="AA110" s="213"/>
      <c r="AB110" s="213"/>
      <c r="AC110" s="213"/>
      <c r="AD110" s="213"/>
      <c r="AE110" s="213"/>
      <c r="AF110" s="213"/>
      <c r="AG110" s="213" t="s">
        <v>228</v>
      </c>
      <c r="AH110" s="213">
        <v>0.0</v>
      </c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</row>
    <row r="111" ht="12.75" customHeight="1">
      <c r="A111" s="196" t="s">
        <v>173</v>
      </c>
      <c r="B111" s="197" t="s">
        <v>100</v>
      </c>
      <c r="C111" s="198" t="s">
        <v>101</v>
      </c>
      <c r="D111" s="199"/>
      <c r="E111" s="200"/>
      <c r="F111" s="201"/>
      <c r="G111" s="202">
        <f>SUMIF(AG112:AG115,"&lt;&gt;NOR",G112:G115)</f>
        <v>3347.41</v>
      </c>
      <c r="H111" s="203"/>
      <c r="I111" s="203">
        <f>SUM(I112:I115)</f>
        <v>0</v>
      </c>
      <c r="J111" s="203"/>
      <c r="K111" s="203">
        <f>SUM(K112:K115)</f>
        <v>0</v>
      </c>
      <c r="L111" s="203"/>
      <c r="M111" s="203">
        <f>SUM(M112:M115)</f>
        <v>4050.3661</v>
      </c>
      <c r="N111" s="203"/>
      <c r="O111" s="203">
        <f>SUM(O112:O115)</f>
        <v>3.75</v>
      </c>
      <c r="P111" s="203"/>
      <c r="Q111" s="203">
        <f>SUM(Q112:Q115)</f>
        <v>0</v>
      </c>
      <c r="R111" s="203"/>
      <c r="S111" s="203"/>
      <c r="T111" s="203"/>
      <c r="U111" s="203"/>
      <c r="V111" s="203">
        <f>SUM(V112:V115)</f>
        <v>5.61</v>
      </c>
      <c r="W111" s="203"/>
      <c r="X111" s="203"/>
      <c r="AG111" s="184" t="s">
        <v>174</v>
      </c>
    </row>
    <row r="112" ht="12.75" customHeight="1" outlineLevel="1">
      <c r="A112" s="214">
        <v>16.0</v>
      </c>
      <c r="B112" s="215" t="s">
        <v>347</v>
      </c>
      <c r="C112" s="216" t="s">
        <v>348</v>
      </c>
      <c r="D112" s="217" t="s">
        <v>234</v>
      </c>
      <c r="E112" s="218">
        <v>3.312</v>
      </c>
      <c r="F112" s="219">
        <v>1010.69</v>
      </c>
      <c r="G112" s="220">
        <f>ROUND(E112*F112,2)</f>
        <v>3347.41</v>
      </c>
      <c r="H112" s="211"/>
      <c r="I112" s="212">
        <f>ROUND(E112*H112,2)</f>
        <v>0</v>
      </c>
      <c r="J112" s="211"/>
      <c r="K112" s="212">
        <f>ROUND(E112*J112,2)</f>
        <v>0</v>
      </c>
      <c r="L112" s="212">
        <v>21.0</v>
      </c>
      <c r="M112" s="212">
        <f>G112*(1+L112/100)</f>
        <v>4050.3661</v>
      </c>
      <c r="N112" s="212">
        <v>1.1322</v>
      </c>
      <c r="O112" s="212">
        <f>ROUND(E112*N112,2)</f>
        <v>3.75</v>
      </c>
      <c r="P112" s="212">
        <v>0.0</v>
      </c>
      <c r="Q112" s="212">
        <f>ROUND(E112*P112,2)</f>
        <v>0</v>
      </c>
      <c r="R112" s="212"/>
      <c r="S112" s="212" t="s">
        <v>184</v>
      </c>
      <c r="T112" s="212" t="s">
        <v>184</v>
      </c>
      <c r="U112" s="212">
        <v>1.695</v>
      </c>
      <c r="V112" s="212">
        <f>ROUND(E112*U112,2)</f>
        <v>5.61</v>
      </c>
      <c r="W112" s="212"/>
      <c r="X112" s="212" t="s">
        <v>225</v>
      </c>
      <c r="Y112" s="213"/>
      <c r="Z112" s="213"/>
      <c r="AA112" s="213"/>
      <c r="AB112" s="213"/>
      <c r="AC112" s="213"/>
      <c r="AD112" s="213"/>
      <c r="AE112" s="213"/>
      <c r="AF112" s="213"/>
      <c r="AG112" s="213" t="s">
        <v>226</v>
      </c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</row>
    <row r="113" ht="12.75" customHeight="1" outlineLevel="1">
      <c r="A113" s="235"/>
      <c r="B113" s="236"/>
      <c r="C113" s="237" t="s">
        <v>1388</v>
      </c>
      <c r="D113" s="238"/>
      <c r="E113" s="239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3"/>
      <c r="Z113" s="213"/>
      <c r="AA113" s="213"/>
      <c r="AB113" s="213"/>
      <c r="AC113" s="213"/>
      <c r="AD113" s="213"/>
      <c r="AE113" s="213"/>
      <c r="AF113" s="213"/>
      <c r="AG113" s="213" t="s">
        <v>228</v>
      </c>
      <c r="AH113" s="213">
        <v>0.0</v>
      </c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</row>
    <row r="114" ht="12.75" customHeight="1" outlineLevel="1">
      <c r="A114" s="235"/>
      <c r="B114" s="236"/>
      <c r="C114" s="237" t="s">
        <v>1422</v>
      </c>
      <c r="D114" s="238"/>
      <c r="E114" s="239">
        <v>2.71</v>
      </c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3"/>
      <c r="Z114" s="213"/>
      <c r="AA114" s="213"/>
      <c r="AB114" s="213"/>
      <c r="AC114" s="213"/>
      <c r="AD114" s="213"/>
      <c r="AE114" s="213"/>
      <c r="AF114" s="213"/>
      <c r="AG114" s="213" t="s">
        <v>228</v>
      </c>
      <c r="AH114" s="213">
        <v>0.0</v>
      </c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</row>
    <row r="115" ht="12.75" customHeight="1" outlineLevel="1">
      <c r="A115" s="235"/>
      <c r="B115" s="236"/>
      <c r="C115" s="237" t="s">
        <v>1423</v>
      </c>
      <c r="D115" s="238"/>
      <c r="E115" s="239">
        <v>0.6</v>
      </c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3"/>
      <c r="Z115" s="213"/>
      <c r="AA115" s="213"/>
      <c r="AB115" s="213"/>
      <c r="AC115" s="213"/>
      <c r="AD115" s="213"/>
      <c r="AE115" s="213"/>
      <c r="AF115" s="213"/>
      <c r="AG115" s="213" t="s">
        <v>228</v>
      </c>
      <c r="AH115" s="213">
        <v>0.0</v>
      </c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</row>
    <row r="116" ht="12.75" customHeight="1">
      <c r="A116" s="196" t="s">
        <v>173</v>
      </c>
      <c r="B116" s="197" t="s">
        <v>102</v>
      </c>
      <c r="C116" s="198" t="s">
        <v>103</v>
      </c>
      <c r="D116" s="199"/>
      <c r="E116" s="200"/>
      <c r="F116" s="201"/>
      <c r="G116" s="202">
        <f>SUMIF(AG117:AG125,"&lt;&gt;NOR",G117:G125)</f>
        <v>2396.94</v>
      </c>
      <c r="H116" s="203"/>
      <c r="I116" s="203">
        <f>SUM(I117:I125)</f>
        <v>0</v>
      </c>
      <c r="J116" s="203"/>
      <c r="K116" s="203">
        <f>SUM(K117:K125)</f>
        <v>0</v>
      </c>
      <c r="L116" s="203"/>
      <c r="M116" s="203">
        <f>SUM(M117:M125)</f>
        <v>2900.2974</v>
      </c>
      <c r="N116" s="203"/>
      <c r="O116" s="203">
        <f>SUM(O117:O125)</f>
        <v>0.72</v>
      </c>
      <c r="P116" s="203"/>
      <c r="Q116" s="203">
        <f>SUM(Q117:Q125)</f>
        <v>0</v>
      </c>
      <c r="R116" s="203"/>
      <c r="S116" s="203"/>
      <c r="T116" s="203"/>
      <c r="U116" s="203"/>
      <c r="V116" s="203">
        <f>SUM(V117:V125)</f>
        <v>1.07</v>
      </c>
      <c r="W116" s="203"/>
      <c r="X116" s="203"/>
      <c r="AG116" s="184" t="s">
        <v>174</v>
      </c>
    </row>
    <row r="117" ht="12.75" customHeight="1" outlineLevel="1">
      <c r="A117" s="214">
        <v>17.0</v>
      </c>
      <c r="B117" s="215" t="s">
        <v>523</v>
      </c>
      <c r="C117" s="216" t="s">
        <v>524</v>
      </c>
      <c r="D117" s="217" t="s">
        <v>224</v>
      </c>
      <c r="E117" s="218">
        <v>1.38</v>
      </c>
      <c r="F117" s="219">
        <v>735.83</v>
      </c>
      <c r="G117" s="220">
        <f>ROUND(E117*F117,2)</f>
        <v>1015.45</v>
      </c>
      <c r="H117" s="211"/>
      <c r="I117" s="212">
        <f>ROUND(E117*H117,2)</f>
        <v>0</v>
      </c>
      <c r="J117" s="211"/>
      <c r="K117" s="212">
        <f>ROUND(E117*J117,2)</f>
        <v>0</v>
      </c>
      <c r="L117" s="212">
        <v>21.0</v>
      </c>
      <c r="M117" s="212">
        <f>G117*(1+L117/100)</f>
        <v>1228.6945</v>
      </c>
      <c r="N117" s="212">
        <v>0.30132</v>
      </c>
      <c r="O117" s="212">
        <f>ROUND(E117*N117,2)</f>
        <v>0.42</v>
      </c>
      <c r="P117" s="212">
        <v>0.0</v>
      </c>
      <c r="Q117" s="212">
        <f>ROUND(E117*P117,2)</f>
        <v>0</v>
      </c>
      <c r="R117" s="212"/>
      <c r="S117" s="212" t="s">
        <v>184</v>
      </c>
      <c r="T117" s="212" t="s">
        <v>184</v>
      </c>
      <c r="U117" s="212">
        <v>0.774</v>
      </c>
      <c r="V117" s="212">
        <f>ROUND(E117*U117,2)</f>
        <v>1.07</v>
      </c>
      <c r="W117" s="212"/>
      <c r="X117" s="212" t="s">
        <v>225</v>
      </c>
      <c r="Y117" s="213"/>
      <c r="Z117" s="213"/>
      <c r="AA117" s="213"/>
      <c r="AB117" s="213"/>
      <c r="AC117" s="213"/>
      <c r="AD117" s="213"/>
      <c r="AE117" s="213"/>
      <c r="AF117" s="213"/>
      <c r="AG117" s="213" t="s">
        <v>226</v>
      </c>
      <c r="AH117" s="213"/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</row>
    <row r="118" ht="12.75" customHeight="1" outlineLevel="1">
      <c r="A118" s="235"/>
      <c r="B118" s="236"/>
      <c r="C118" s="237" t="s">
        <v>525</v>
      </c>
      <c r="D118" s="238"/>
      <c r="E118" s="239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3"/>
      <c r="Z118" s="213"/>
      <c r="AA118" s="213"/>
      <c r="AB118" s="213"/>
      <c r="AC118" s="213"/>
      <c r="AD118" s="213"/>
      <c r="AE118" s="213"/>
      <c r="AF118" s="213"/>
      <c r="AG118" s="213" t="s">
        <v>228</v>
      </c>
      <c r="AH118" s="213">
        <v>0.0</v>
      </c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</row>
    <row r="119" ht="12.75" customHeight="1" outlineLevel="1">
      <c r="A119" s="235"/>
      <c r="B119" s="236"/>
      <c r="C119" s="237" t="s">
        <v>1424</v>
      </c>
      <c r="D119" s="238"/>
      <c r="E119" s="239">
        <v>1.38</v>
      </c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3"/>
      <c r="Z119" s="213"/>
      <c r="AA119" s="213"/>
      <c r="AB119" s="213"/>
      <c r="AC119" s="213"/>
      <c r="AD119" s="213"/>
      <c r="AE119" s="213"/>
      <c r="AF119" s="213"/>
      <c r="AG119" s="213" t="s">
        <v>228</v>
      </c>
      <c r="AH119" s="213">
        <v>0.0</v>
      </c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</row>
    <row r="120" ht="12.75" customHeight="1" outlineLevel="1">
      <c r="A120" s="214">
        <v>18.0</v>
      </c>
      <c r="B120" s="215" t="s">
        <v>527</v>
      </c>
      <c r="C120" s="216" t="s">
        <v>528</v>
      </c>
      <c r="D120" s="217" t="s">
        <v>224</v>
      </c>
      <c r="E120" s="218">
        <v>1.518</v>
      </c>
      <c r="F120" s="219">
        <v>910.07</v>
      </c>
      <c r="G120" s="220">
        <f>ROUND(E120*F120,2)</f>
        <v>1381.49</v>
      </c>
      <c r="H120" s="211"/>
      <c r="I120" s="212">
        <f>ROUND(E120*H120,2)</f>
        <v>0</v>
      </c>
      <c r="J120" s="211"/>
      <c r="K120" s="212">
        <f>ROUND(E120*J120,2)</f>
        <v>0</v>
      </c>
      <c r="L120" s="212">
        <v>21.0</v>
      </c>
      <c r="M120" s="212">
        <f>G120*(1+L120/100)</f>
        <v>1671.6029</v>
      </c>
      <c r="N120" s="212">
        <v>0.2</v>
      </c>
      <c r="O120" s="212">
        <f>ROUND(E120*N120,2)</f>
        <v>0.3</v>
      </c>
      <c r="P120" s="212">
        <v>0.0</v>
      </c>
      <c r="Q120" s="212">
        <f>ROUND(E120*P120,2)</f>
        <v>0</v>
      </c>
      <c r="R120" s="212" t="s">
        <v>322</v>
      </c>
      <c r="S120" s="212" t="s">
        <v>184</v>
      </c>
      <c r="T120" s="212" t="s">
        <v>184</v>
      </c>
      <c r="U120" s="212">
        <v>0.0</v>
      </c>
      <c r="V120" s="212">
        <f>ROUND(E120*U120,2)</f>
        <v>0</v>
      </c>
      <c r="W120" s="212"/>
      <c r="X120" s="212" t="s">
        <v>323</v>
      </c>
      <c r="Y120" s="213"/>
      <c r="Z120" s="213"/>
      <c r="AA120" s="213"/>
      <c r="AB120" s="213"/>
      <c r="AC120" s="213"/>
      <c r="AD120" s="213"/>
      <c r="AE120" s="213"/>
      <c r="AF120" s="213"/>
      <c r="AG120" s="213" t="s">
        <v>324</v>
      </c>
      <c r="AH120" s="213"/>
      <c r="AI120" s="213"/>
      <c r="AJ120" s="213"/>
      <c r="AK120" s="213"/>
      <c r="AL120" s="213"/>
      <c r="AM120" s="213"/>
      <c r="AN120" s="213"/>
      <c r="AO120" s="213"/>
      <c r="AP120" s="213"/>
      <c r="AQ120" s="213"/>
      <c r="AR120" s="213"/>
      <c r="AS120" s="213"/>
      <c r="AT120" s="213"/>
      <c r="AU120" s="213"/>
      <c r="AV120" s="213"/>
      <c r="AW120" s="213"/>
      <c r="AX120" s="213"/>
      <c r="AY120" s="213"/>
      <c r="AZ120" s="213"/>
      <c r="BA120" s="213"/>
      <c r="BB120" s="213"/>
    </row>
    <row r="121" ht="12.75" customHeight="1" outlineLevel="1">
      <c r="A121" s="235"/>
      <c r="B121" s="236"/>
      <c r="C121" s="237" t="s">
        <v>525</v>
      </c>
      <c r="D121" s="238"/>
      <c r="E121" s="239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3"/>
      <c r="Z121" s="213"/>
      <c r="AA121" s="213"/>
      <c r="AB121" s="213"/>
      <c r="AC121" s="213"/>
      <c r="AD121" s="213"/>
      <c r="AE121" s="213"/>
      <c r="AF121" s="213"/>
      <c r="AG121" s="213" t="s">
        <v>228</v>
      </c>
      <c r="AH121" s="213">
        <v>0.0</v>
      </c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213"/>
      <c r="AY121" s="213"/>
      <c r="AZ121" s="213"/>
      <c r="BA121" s="213"/>
      <c r="BB121" s="213"/>
    </row>
    <row r="122" ht="12.75" customHeight="1" outlineLevel="1">
      <c r="A122" s="235"/>
      <c r="B122" s="236"/>
      <c r="C122" s="240" t="s">
        <v>236</v>
      </c>
      <c r="D122" s="241"/>
      <c r="E122" s="24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3"/>
      <c r="Z122" s="213"/>
      <c r="AA122" s="213"/>
      <c r="AB122" s="213"/>
      <c r="AC122" s="213"/>
      <c r="AD122" s="213"/>
      <c r="AE122" s="213"/>
      <c r="AF122" s="213"/>
      <c r="AG122" s="213" t="s">
        <v>228</v>
      </c>
      <c r="AH122" s="213"/>
      <c r="AI122" s="213"/>
      <c r="AJ122" s="213"/>
      <c r="AK122" s="213"/>
      <c r="AL122" s="213"/>
      <c r="AM122" s="213"/>
      <c r="AN122" s="213"/>
      <c r="AO122" s="213"/>
      <c r="AP122" s="213"/>
      <c r="AQ122" s="213"/>
      <c r="AR122" s="213"/>
      <c r="AS122" s="213"/>
      <c r="AT122" s="213"/>
      <c r="AU122" s="213"/>
      <c r="AV122" s="213"/>
      <c r="AW122" s="213"/>
      <c r="AX122" s="213"/>
      <c r="AY122" s="213"/>
      <c r="AZ122" s="213"/>
      <c r="BA122" s="213"/>
      <c r="BB122" s="213"/>
    </row>
    <row r="123" ht="12.75" customHeight="1" outlineLevel="1">
      <c r="A123" s="235"/>
      <c r="B123" s="236"/>
      <c r="C123" s="243" t="s">
        <v>529</v>
      </c>
      <c r="D123" s="241"/>
      <c r="E123" s="242">
        <v>1.38</v>
      </c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3"/>
      <c r="Z123" s="213"/>
      <c r="AA123" s="213"/>
      <c r="AB123" s="213"/>
      <c r="AC123" s="213"/>
      <c r="AD123" s="213"/>
      <c r="AE123" s="213"/>
      <c r="AF123" s="213"/>
      <c r="AG123" s="213" t="s">
        <v>228</v>
      </c>
      <c r="AH123" s="213">
        <v>2.0</v>
      </c>
      <c r="AI123" s="213"/>
      <c r="AJ123" s="213"/>
      <c r="AK123" s="213"/>
      <c r="AL123" s="213"/>
      <c r="AM123" s="213"/>
      <c r="AN123" s="213"/>
      <c r="AO123" s="213"/>
      <c r="AP123" s="213"/>
      <c r="AQ123" s="213"/>
      <c r="AR123" s="213"/>
      <c r="AS123" s="213"/>
      <c r="AT123" s="213"/>
      <c r="AU123" s="213"/>
      <c r="AV123" s="213"/>
      <c r="AW123" s="213"/>
      <c r="AX123" s="213"/>
      <c r="AY123" s="213"/>
      <c r="AZ123" s="213"/>
      <c r="BA123" s="213"/>
      <c r="BB123" s="213"/>
    </row>
    <row r="124" ht="12.75" customHeight="1" outlineLevel="1">
      <c r="A124" s="235"/>
      <c r="B124" s="236"/>
      <c r="C124" s="240" t="s">
        <v>238</v>
      </c>
      <c r="D124" s="241"/>
      <c r="E124" s="24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3"/>
      <c r="Z124" s="213"/>
      <c r="AA124" s="213"/>
      <c r="AB124" s="213"/>
      <c r="AC124" s="213"/>
      <c r="AD124" s="213"/>
      <c r="AE124" s="213"/>
      <c r="AF124" s="213"/>
      <c r="AG124" s="213" t="s">
        <v>228</v>
      </c>
      <c r="AH124" s="213"/>
      <c r="AI124" s="213"/>
      <c r="AJ124" s="213"/>
      <c r="AK124" s="213"/>
      <c r="AL124" s="213"/>
      <c r="AM124" s="213"/>
      <c r="AN124" s="213"/>
      <c r="AO124" s="213"/>
      <c r="AP124" s="213"/>
      <c r="AQ124" s="213"/>
      <c r="AR124" s="213"/>
      <c r="AS124" s="213"/>
      <c r="AT124" s="213"/>
      <c r="AU124" s="213"/>
      <c r="AV124" s="213"/>
      <c r="AW124" s="213"/>
      <c r="AX124" s="213"/>
      <c r="AY124" s="213"/>
      <c r="AZ124" s="213"/>
      <c r="BA124" s="213"/>
      <c r="BB124" s="213"/>
    </row>
    <row r="125" ht="12.75" customHeight="1" outlineLevel="1">
      <c r="A125" s="235"/>
      <c r="B125" s="236"/>
      <c r="C125" s="237" t="s">
        <v>1425</v>
      </c>
      <c r="D125" s="238"/>
      <c r="E125" s="239">
        <v>1.52</v>
      </c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3"/>
      <c r="Z125" s="213"/>
      <c r="AA125" s="213"/>
      <c r="AB125" s="213"/>
      <c r="AC125" s="213"/>
      <c r="AD125" s="213"/>
      <c r="AE125" s="213"/>
      <c r="AF125" s="213"/>
      <c r="AG125" s="213" t="s">
        <v>228</v>
      </c>
      <c r="AH125" s="213">
        <v>0.0</v>
      </c>
      <c r="AI125" s="213"/>
      <c r="AJ125" s="213"/>
      <c r="AK125" s="213"/>
      <c r="AL125" s="213"/>
      <c r="AM125" s="213"/>
      <c r="AN125" s="213"/>
      <c r="AO125" s="213"/>
      <c r="AP125" s="213"/>
      <c r="AQ125" s="213"/>
      <c r="AR125" s="213"/>
      <c r="AS125" s="213"/>
      <c r="AT125" s="213"/>
      <c r="AU125" s="213"/>
      <c r="AV125" s="213"/>
      <c r="AW125" s="213"/>
      <c r="AX125" s="213"/>
      <c r="AY125" s="213"/>
      <c r="AZ125" s="213"/>
      <c r="BA125" s="213"/>
      <c r="BB125" s="213"/>
    </row>
    <row r="126" ht="12.75" customHeight="1">
      <c r="A126" s="196" t="s">
        <v>173</v>
      </c>
      <c r="B126" s="197" t="s">
        <v>104</v>
      </c>
      <c r="C126" s="198" t="s">
        <v>105</v>
      </c>
      <c r="D126" s="199"/>
      <c r="E126" s="200"/>
      <c r="F126" s="201"/>
      <c r="G126" s="202">
        <f>SUMIF(AG127:AG152,"&lt;&gt;NOR",G127:G152)</f>
        <v>4191.29</v>
      </c>
      <c r="H126" s="203"/>
      <c r="I126" s="203">
        <f>SUM(I127:I152)</f>
        <v>0</v>
      </c>
      <c r="J126" s="203"/>
      <c r="K126" s="203">
        <f>SUM(K127:K152)</f>
        <v>0</v>
      </c>
      <c r="L126" s="203"/>
      <c r="M126" s="203">
        <f>SUM(M127:M152)</f>
        <v>5071.4609</v>
      </c>
      <c r="N126" s="203"/>
      <c r="O126" s="203">
        <f>SUM(O127:O152)</f>
        <v>1.62</v>
      </c>
      <c r="P126" s="203"/>
      <c r="Q126" s="203">
        <f>SUM(Q127:Q152)</f>
        <v>0</v>
      </c>
      <c r="R126" s="203"/>
      <c r="S126" s="203"/>
      <c r="T126" s="203"/>
      <c r="U126" s="203"/>
      <c r="V126" s="203">
        <f>SUM(V127:V152)</f>
        <v>3.3</v>
      </c>
      <c r="W126" s="203"/>
      <c r="X126" s="203"/>
      <c r="AG126" s="184" t="s">
        <v>174</v>
      </c>
    </row>
    <row r="127" ht="12.75" customHeight="1" outlineLevel="1">
      <c r="A127" s="214">
        <v>19.0</v>
      </c>
      <c r="B127" s="215" t="s">
        <v>531</v>
      </c>
      <c r="C127" s="216" t="s">
        <v>532</v>
      </c>
      <c r="D127" s="217" t="s">
        <v>234</v>
      </c>
      <c r="E127" s="218">
        <v>0.196</v>
      </c>
      <c r="F127" s="219">
        <v>4130.0</v>
      </c>
      <c r="G127" s="220">
        <f>ROUND(E127*F127,2)</f>
        <v>809.48</v>
      </c>
      <c r="H127" s="211"/>
      <c r="I127" s="212">
        <f>ROUND(E127*H127,2)</f>
        <v>0</v>
      </c>
      <c r="J127" s="211"/>
      <c r="K127" s="212">
        <f>ROUND(E127*J127,2)</f>
        <v>0</v>
      </c>
      <c r="L127" s="212">
        <v>21.0</v>
      </c>
      <c r="M127" s="212">
        <f>G127*(1+L127/100)</f>
        <v>979.4708</v>
      </c>
      <c r="N127" s="212">
        <v>2.525</v>
      </c>
      <c r="O127" s="212">
        <f>ROUND(E127*N127,2)</f>
        <v>0.49</v>
      </c>
      <c r="P127" s="212">
        <v>0.0</v>
      </c>
      <c r="Q127" s="212">
        <f>ROUND(E127*P127,2)</f>
        <v>0</v>
      </c>
      <c r="R127" s="212"/>
      <c r="S127" s="212" t="s">
        <v>184</v>
      </c>
      <c r="T127" s="212" t="s">
        <v>184</v>
      </c>
      <c r="U127" s="212">
        <v>2.58</v>
      </c>
      <c r="V127" s="212">
        <f>ROUND(E127*U127,2)</f>
        <v>0.51</v>
      </c>
      <c r="W127" s="212"/>
      <c r="X127" s="212" t="s">
        <v>225</v>
      </c>
      <c r="Y127" s="213"/>
      <c r="Z127" s="213"/>
      <c r="AA127" s="213"/>
      <c r="AB127" s="213"/>
      <c r="AC127" s="213"/>
      <c r="AD127" s="213"/>
      <c r="AE127" s="213"/>
      <c r="AF127" s="213"/>
      <c r="AG127" s="213" t="s">
        <v>226</v>
      </c>
      <c r="AH127" s="213"/>
      <c r="AI127" s="213"/>
      <c r="AJ127" s="213"/>
      <c r="AK127" s="213"/>
      <c r="AL127" s="213"/>
      <c r="AM127" s="213"/>
      <c r="AN127" s="213"/>
      <c r="AO127" s="213"/>
      <c r="AP127" s="213"/>
      <c r="AQ127" s="213"/>
      <c r="AR127" s="213"/>
      <c r="AS127" s="213"/>
      <c r="AT127" s="213"/>
      <c r="AU127" s="213"/>
      <c r="AV127" s="213"/>
      <c r="AW127" s="213"/>
      <c r="AX127" s="213"/>
      <c r="AY127" s="213"/>
      <c r="AZ127" s="213"/>
      <c r="BA127" s="213"/>
      <c r="BB127" s="213"/>
    </row>
    <row r="128" ht="12.75" customHeight="1" outlineLevel="1">
      <c r="A128" s="235"/>
      <c r="B128" s="236"/>
      <c r="C128" s="237" t="s">
        <v>533</v>
      </c>
      <c r="D128" s="238"/>
      <c r="E128" s="239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3"/>
      <c r="Z128" s="213"/>
      <c r="AA128" s="213"/>
      <c r="AB128" s="213"/>
      <c r="AC128" s="213"/>
      <c r="AD128" s="213"/>
      <c r="AE128" s="213"/>
      <c r="AF128" s="213"/>
      <c r="AG128" s="213" t="s">
        <v>228</v>
      </c>
      <c r="AH128" s="213">
        <v>0.0</v>
      </c>
      <c r="AI128" s="213"/>
      <c r="AJ128" s="213"/>
      <c r="AK128" s="213"/>
      <c r="AL128" s="213"/>
      <c r="AM128" s="213"/>
      <c r="AN128" s="213"/>
      <c r="AO128" s="213"/>
      <c r="AP128" s="213"/>
      <c r="AQ128" s="213"/>
      <c r="AR128" s="213"/>
      <c r="AS128" s="213"/>
      <c r="AT128" s="213"/>
      <c r="AU128" s="213"/>
      <c r="AV128" s="213"/>
      <c r="AW128" s="213"/>
      <c r="AX128" s="213"/>
      <c r="AY128" s="213"/>
      <c r="AZ128" s="213"/>
      <c r="BA128" s="213"/>
      <c r="BB128" s="213"/>
    </row>
    <row r="129" ht="12.75" customHeight="1" outlineLevel="1">
      <c r="A129" s="235"/>
      <c r="B129" s="236"/>
      <c r="C129" s="237" t="s">
        <v>1426</v>
      </c>
      <c r="D129" s="238"/>
      <c r="E129" s="239">
        <v>0.2</v>
      </c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3"/>
      <c r="Z129" s="213"/>
      <c r="AA129" s="213"/>
      <c r="AB129" s="213"/>
      <c r="AC129" s="213"/>
      <c r="AD129" s="213"/>
      <c r="AE129" s="213"/>
      <c r="AF129" s="213"/>
      <c r="AG129" s="213" t="s">
        <v>228</v>
      </c>
      <c r="AH129" s="213">
        <v>0.0</v>
      </c>
      <c r="AI129" s="213"/>
      <c r="AJ129" s="213"/>
      <c r="AK129" s="213"/>
      <c r="AL129" s="213"/>
      <c r="AM129" s="213"/>
      <c r="AN129" s="213"/>
      <c r="AO129" s="213"/>
      <c r="AP129" s="213"/>
      <c r="AQ129" s="213"/>
      <c r="AR129" s="213"/>
      <c r="AS129" s="213"/>
      <c r="AT129" s="213"/>
      <c r="AU129" s="213"/>
      <c r="AV129" s="213"/>
      <c r="AW129" s="213"/>
      <c r="AX129" s="213"/>
      <c r="AY129" s="213"/>
      <c r="AZ129" s="213"/>
      <c r="BA129" s="213"/>
      <c r="BB129" s="213"/>
    </row>
    <row r="130" ht="12.75" customHeight="1" outlineLevel="1">
      <c r="A130" s="214">
        <v>20.0</v>
      </c>
      <c r="B130" s="215" t="s">
        <v>536</v>
      </c>
      <c r="C130" s="216" t="s">
        <v>537</v>
      </c>
      <c r="D130" s="217" t="s">
        <v>234</v>
      </c>
      <c r="E130" s="218">
        <v>0.4406</v>
      </c>
      <c r="F130" s="219">
        <v>5180.0</v>
      </c>
      <c r="G130" s="220">
        <f>ROUND(E130*F130,2)</f>
        <v>2282.31</v>
      </c>
      <c r="H130" s="211"/>
      <c r="I130" s="212">
        <f>ROUND(E130*H130,2)</f>
        <v>0</v>
      </c>
      <c r="J130" s="211"/>
      <c r="K130" s="212">
        <f>ROUND(E130*J130,2)</f>
        <v>0</v>
      </c>
      <c r="L130" s="212">
        <v>21.0</v>
      </c>
      <c r="M130" s="212">
        <f>G130*(1+L130/100)</f>
        <v>2761.5951</v>
      </c>
      <c r="N130" s="212">
        <v>2.525</v>
      </c>
      <c r="O130" s="212">
        <f>ROUND(E130*N130,2)</f>
        <v>1.11</v>
      </c>
      <c r="P130" s="212">
        <v>0.0</v>
      </c>
      <c r="Q130" s="212">
        <f>ROUND(E130*P130,2)</f>
        <v>0</v>
      </c>
      <c r="R130" s="212"/>
      <c r="S130" s="212" t="s">
        <v>184</v>
      </c>
      <c r="T130" s="212" t="s">
        <v>184</v>
      </c>
      <c r="U130" s="212">
        <v>2.58</v>
      </c>
      <c r="V130" s="212">
        <f>ROUND(E130*U130,2)</f>
        <v>1.14</v>
      </c>
      <c r="W130" s="212"/>
      <c r="X130" s="212" t="s">
        <v>225</v>
      </c>
      <c r="Y130" s="213"/>
      <c r="Z130" s="213"/>
      <c r="AA130" s="213"/>
      <c r="AB130" s="213"/>
      <c r="AC130" s="213"/>
      <c r="AD130" s="213"/>
      <c r="AE130" s="213"/>
      <c r="AF130" s="213"/>
      <c r="AG130" s="213" t="s">
        <v>226</v>
      </c>
      <c r="AH130" s="213"/>
      <c r="AI130" s="213"/>
      <c r="AJ130" s="213"/>
      <c r="AK130" s="213"/>
      <c r="AL130" s="213"/>
      <c r="AM130" s="213"/>
      <c r="AN130" s="213"/>
      <c r="AO130" s="213"/>
      <c r="AP130" s="213"/>
      <c r="AQ130" s="213"/>
      <c r="AR130" s="213"/>
      <c r="AS130" s="213"/>
      <c r="AT130" s="213"/>
      <c r="AU130" s="213"/>
      <c r="AV130" s="213"/>
      <c r="AW130" s="213"/>
      <c r="AX130" s="213"/>
      <c r="AY130" s="213"/>
      <c r="AZ130" s="213"/>
      <c r="BA130" s="213"/>
      <c r="BB130" s="213"/>
    </row>
    <row r="131" ht="12.75" customHeight="1" outlineLevel="1">
      <c r="A131" s="235"/>
      <c r="B131" s="236"/>
      <c r="C131" s="237" t="s">
        <v>538</v>
      </c>
      <c r="D131" s="238"/>
      <c r="E131" s="239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3"/>
      <c r="Z131" s="213"/>
      <c r="AA131" s="213"/>
      <c r="AB131" s="213"/>
      <c r="AC131" s="213"/>
      <c r="AD131" s="213"/>
      <c r="AE131" s="213"/>
      <c r="AF131" s="213"/>
      <c r="AG131" s="213" t="s">
        <v>228</v>
      </c>
      <c r="AH131" s="213">
        <v>0.0</v>
      </c>
      <c r="AI131" s="213"/>
      <c r="AJ131" s="213"/>
      <c r="AK131" s="213"/>
      <c r="AL131" s="213"/>
      <c r="AM131" s="213"/>
      <c r="AN131" s="213"/>
      <c r="AO131" s="213"/>
      <c r="AP131" s="213"/>
      <c r="AQ131" s="213"/>
      <c r="AR131" s="213"/>
      <c r="AS131" s="213"/>
      <c r="AT131" s="213"/>
      <c r="AU131" s="213"/>
      <c r="AV131" s="213"/>
      <c r="AW131" s="213"/>
      <c r="AX131" s="213"/>
      <c r="AY131" s="213"/>
      <c r="AZ131" s="213"/>
      <c r="BA131" s="213"/>
      <c r="BB131" s="213"/>
    </row>
    <row r="132" ht="12.75" customHeight="1" outlineLevel="1">
      <c r="A132" s="235"/>
      <c r="B132" s="236"/>
      <c r="C132" s="240" t="s">
        <v>236</v>
      </c>
      <c r="D132" s="241"/>
      <c r="E132" s="24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3"/>
      <c r="Z132" s="213"/>
      <c r="AA132" s="213"/>
      <c r="AB132" s="213"/>
      <c r="AC132" s="213"/>
      <c r="AD132" s="213"/>
      <c r="AE132" s="213"/>
      <c r="AF132" s="213"/>
      <c r="AG132" s="213" t="s">
        <v>228</v>
      </c>
      <c r="AH132" s="213"/>
      <c r="AI132" s="213"/>
      <c r="AJ132" s="213"/>
      <c r="AK132" s="213"/>
      <c r="AL132" s="213"/>
      <c r="AM132" s="213"/>
      <c r="AN132" s="213"/>
      <c r="AO132" s="213"/>
      <c r="AP132" s="213"/>
      <c r="AQ132" s="213"/>
      <c r="AR132" s="213"/>
      <c r="AS132" s="213"/>
      <c r="AT132" s="213"/>
      <c r="AU132" s="213"/>
      <c r="AV132" s="213"/>
      <c r="AW132" s="213"/>
      <c r="AX132" s="213"/>
      <c r="AY132" s="213"/>
      <c r="AZ132" s="213"/>
      <c r="BA132" s="213"/>
      <c r="BB132" s="213"/>
    </row>
    <row r="133" ht="12.75" customHeight="1" outlineLevel="1">
      <c r="A133" s="235"/>
      <c r="B133" s="236"/>
      <c r="C133" s="243" t="s">
        <v>1064</v>
      </c>
      <c r="D133" s="241"/>
      <c r="E133" s="242">
        <v>0.14</v>
      </c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3"/>
      <c r="Z133" s="213"/>
      <c r="AA133" s="213"/>
      <c r="AB133" s="213"/>
      <c r="AC133" s="213"/>
      <c r="AD133" s="213"/>
      <c r="AE133" s="213"/>
      <c r="AF133" s="213"/>
      <c r="AG133" s="213" t="s">
        <v>228</v>
      </c>
      <c r="AH133" s="213">
        <v>2.0</v>
      </c>
      <c r="AI133" s="213"/>
      <c r="AJ133" s="213"/>
      <c r="AK133" s="213"/>
      <c r="AL133" s="213"/>
      <c r="AM133" s="213"/>
      <c r="AN133" s="213"/>
      <c r="AO133" s="213"/>
      <c r="AP133" s="213"/>
      <c r="AQ133" s="213"/>
      <c r="AR133" s="213"/>
      <c r="AS133" s="213"/>
      <c r="AT133" s="213"/>
      <c r="AU133" s="213"/>
      <c r="AV133" s="213"/>
      <c r="AW133" s="213"/>
      <c r="AX133" s="213"/>
      <c r="AY133" s="213"/>
      <c r="AZ133" s="213"/>
      <c r="BA133" s="213"/>
      <c r="BB133" s="213"/>
    </row>
    <row r="134" ht="12.75" customHeight="1" outlineLevel="1">
      <c r="A134" s="235"/>
      <c r="B134" s="236"/>
      <c r="C134" s="240" t="s">
        <v>238</v>
      </c>
      <c r="D134" s="241"/>
      <c r="E134" s="24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3"/>
      <c r="Z134" s="213"/>
      <c r="AA134" s="213"/>
      <c r="AB134" s="213"/>
      <c r="AC134" s="213"/>
      <c r="AD134" s="213"/>
      <c r="AE134" s="213"/>
      <c r="AF134" s="213"/>
      <c r="AG134" s="213" t="s">
        <v>228</v>
      </c>
      <c r="AH134" s="213"/>
      <c r="AI134" s="213"/>
      <c r="AJ134" s="213"/>
      <c r="AK134" s="213"/>
      <c r="AL134" s="213"/>
      <c r="AM134" s="213"/>
      <c r="AN134" s="213"/>
      <c r="AO134" s="213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213"/>
      <c r="BB134" s="213"/>
    </row>
    <row r="135" ht="12.75" customHeight="1" outlineLevel="1">
      <c r="A135" s="235"/>
      <c r="B135" s="236"/>
      <c r="C135" s="237" t="s">
        <v>1427</v>
      </c>
      <c r="D135" s="238"/>
      <c r="E135" s="239">
        <v>0.14</v>
      </c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3"/>
      <c r="Z135" s="213"/>
      <c r="AA135" s="213"/>
      <c r="AB135" s="213"/>
      <c r="AC135" s="213"/>
      <c r="AD135" s="213"/>
      <c r="AE135" s="213"/>
      <c r="AF135" s="213"/>
      <c r="AG135" s="213" t="s">
        <v>228</v>
      </c>
      <c r="AH135" s="213">
        <v>0.0</v>
      </c>
      <c r="AI135" s="213"/>
      <c r="AJ135" s="213"/>
      <c r="AK135" s="213"/>
      <c r="AL135" s="213"/>
      <c r="AM135" s="213"/>
      <c r="AN135" s="213"/>
      <c r="AO135" s="213"/>
      <c r="AP135" s="213"/>
      <c r="AQ135" s="213"/>
      <c r="AR135" s="213"/>
      <c r="AS135" s="213"/>
      <c r="AT135" s="213"/>
      <c r="AU135" s="213"/>
      <c r="AV135" s="213"/>
      <c r="AW135" s="213"/>
      <c r="AX135" s="213"/>
      <c r="AY135" s="213"/>
      <c r="AZ135" s="213"/>
      <c r="BA135" s="213"/>
      <c r="BB135" s="213"/>
    </row>
    <row r="136" ht="12.75" customHeight="1" outlineLevel="1">
      <c r="A136" s="235"/>
      <c r="B136" s="236"/>
      <c r="C136" s="237" t="s">
        <v>1260</v>
      </c>
      <c r="D136" s="238"/>
      <c r="E136" s="239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3"/>
      <c r="Z136" s="213"/>
      <c r="AA136" s="213"/>
      <c r="AB136" s="213"/>
      <c r="AC136" s="213"/>
      <c r="AD136" s="213"/>
      <c r="AE136" s="213"/>
      <c r="AF136" s="213"/>
      <c r="AG136" s="213" t="s">
        <v>228</v>
      </c>
      <c r="AH136" s="213">
        <v>0.0</v>
      </c>
      <c r="AI136" s="213"/>
      <c r="AJ136" s="213"/>
      <c r="AK136" s="213"/>
      <c r="AL136" s="213"/>
      <c r="AM136" s="213"/>
      <c r="AN136" s="213"/>
      <c r="AO136" s="213"/>
      <c r="AP136" s="213"/>
      <c r="AQ136" s="213"/>
      <c r="AR136" s="213"/>
      <c r="AS136" s="213"/>
      <c r="AT136" s="213"/>
      <c r="AU136" s="213"/>
      <c r="AV136" s="213"/>
      <c r="AW136" s="213"/>
      <c r="AX136" s="213"/>
      <c r="AY136" s="213"/>
      <c r="AZ136" s="213"/>
      <c r="BA136" s="213"/>
      <c r="BB136" s="213"/>
    </row>
    <row r="137" ht="12.75" customHeight="1" outlineLevel="1">
      <c r="A137" s="235"/>
      <c r="B137" s="236"/>
      <c r="C137" s="237" t="s">
        <v>1428</v>
      </c>
      <c r="D137" s="238"/>
      <c r="E137" s="239">
        <v>0.3</v>
      </c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3"/>
      <c r="Z137" s="213"/>
      <c r="AA137" s="213"/>
      <c r="AB137" s="213"/>
      <c r="AC137" s="213"/>
      <c r="AD137" s="213"/>
      <c r="AE137" s="213"/>
      <c r="AF137" s="213"/>
      <c r="AG137" s="213" t="s">
        <v>228</v>
      </c>
      <c r="AH137" s="213">
        <v>0.0</v>
      </c>
      <c r="AI137" s="213"/>
      <c r="AJ137" s="213"/>
      <c r="AK137" s="213"/>
      <c r="AL137" s="213"/>
      <c r="AM137" s="213"/>
      <c r="AN137" s="213"/>
      <c r="AO137" s="213"/>
      <c r="AP137" s="213"/>
      <c r="AQ137" s="213"/>
      <c r="AR137" s="213"/>
      <c r="AS137" s="213"/>
      <c r="AT137" s="213"/>
      <c r="AU137" s="213"/>
      <c r="AV137" s="213"/>
      <c r="AW137" s="213"/>
      <c r="AX137" s="213"/>
      <c r="AY137" s="213"/>
      <c r="AZ137" s="213"/>
      <c r="BA137" s="213"/>
      <c r="BB137" s="213"/>
    </row>
    <row r="138" ht="12.75" customHeight="1" outlineLevel="1">
      <c r="A138" s="214">
        <v>21.0</v>
      </c>
      <c r="B138" s="215" t="s">
        <v>540</v>
      </c>
      <c r="C138" s="216" t="s">
        <v>541</v>
      </c>
      <c r="D138" s="217" t="s">
        <v>234</v>
      </c>
      <c r="E138" s="218">
        <v>0.4986</v>
      </c>
      <c r="F138" s="219">
        <v>5.0</v>
      </c>
      <c r="G138" s="220">
        <f>ROUND(E138*F138,2)</f>
        <v>2.49</v>
      </c>
      <c r="H138" s="211"/>
      <c r="I138" s="212">
        <f>ROUND(E138*H138,2)</f>
        <v>0</v>
      </c>
      <c r="J138" s="211"/>
      <c r="K138" s="212">
        <f>ROUND(E138*J138,2)</f>
        <v>0</v>
      </c>
      <c r="L138" s="212">
        <v>21.0</v>
      </c>
      <c r="M138" s="212">
        <f>G138*(1+L138/100)</f>
        <v>3.0129</v>
      </c>
      <c r="N138" s="212">
        <v>0.0</v>
      </c>
      <c r="O138" s="212">
        <f>ROUND(E138*N138,2)</f>
        <v>0</v>
      </c>
      <c r="P138" s="212">
        <v>0.0</v>
      </c>
      <c r="Q138" s="212">
        <f>ROUND(E138*P138,2)</f>
        <v>0</v>
      </c>
      <c r="R138" s="212"/>
      <c r="S138" s="212" t="s">
        <v>184</v>
      </c>
      <c r="T138" s="212" t="s">
        <v>184</v>
      </c>
      <c r="U138" s="212">
        <v>1.35</v>
      </c>
      <c r="V138" s="212">
        <f>ROUND(E138*U138,2)</f>
        <v>0.67</v>
      </c>
      <c r="W138" s="212"/>
      <c r="X138" s="212" t="s">
        <v>225</v>
      </c>
      <c r="Y138" s="213"/>
      <c r="Z138" s="213"/>
      <c r="AA138" s="213"/>
      <c r="AB138" s="213"/>
      <c r="AC138" s="213"/>
      <c r="AD138" s="213"/>
      <c r="AE138" s="213"/>
      <c r="AF138" s="213"/>
      <c r="AG138" s="213" t="s">
        <v>226</v>
      </c>
      <c r="AH138" s="213"/>
      <c r="AI138" s="213"/>
      <c r="AJ138" s="213"/>
      <c r="AK138" s="213"/>
      <c r="AL138" s="213"/>
      <c r="AM138" s="213"/>
      <c r="AN138" s="213"/>
      <c r="AO138" s="213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  <c r="AZ138" s="213"/>
      <c r="BA138" s="213"/>
      <c r="BB138" s="213"/>
    </row>
    <row r="139" ht="12.75" customHeight="1" outlineLevel="1">
      <c r="A139" s="235"/>
      <c r="B139" s="236"/>
      <c r="C139" s="237" t="s">
        <v>533</v>
      </c>
      <c r="D139" s="238"/>
      <c r="E139" s="239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3"/>
      <c r="Z139" s="213"/>
      <c r="AA139" s="213"/>
      <c r="AB139" s="213"/>
      <c r="AC139" s="213"/>
      <c r="AD139" s="213"/>
      <c r="AE139" s="213"/>
      <c r="AF139" s="213"/>
      <c r="AG139" s="213" t="s">
        <v>228</v>
      </c>
      <c r="AH139" s="213">
        <v>0.0</v>
      </c>
      <c r="AI139" s="213"/>
      <c r="AJ139" s="213"/>
      <c r="AK139" s="213"/>
      <c r="AL139" s="213"/>
      <c r="AM139" s="213"/>
      <c r="AN139" s="213"/>
      <c r="AO139" s="213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  <c r="AZ139" s="213"/>
      <c r="BA139" s="213"/>
      <c r="BB139" s="213"/>
    </row>
    <row r="140" ht="12.75" customHeight="1" outlineLevel="1">
      <c r="A140" s="235"/>
      <c r="B140" s="236"/>
      <c r="C140" s="237" t="s">
        <v>1426</v>
      </c>
      <c r="D140" s="238"/>
      <c r="E140" s="239">
        <v>0.2</v>
      </c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3"/>
      <c r="Z140" s="213"/>
      <c r="AA140" s="213"/>
      <c r="AB140" s="213"/>
      <c r="AC140" s="213"/>
      <c r="AD140" s="213"/>
      <c r="AE140" s="213"/>
      <c r="AF140" s="213"/>
      <c r="AG140" s="213" t="s">
        <v>228</v>
      </c>
      <c r="AH140" s="213">
        <v>0.0</v>
      </c>
      <c r="AI140" s="213"/>
      <c r="AJ140" s="213"/>
      <c r="AK140" s="213"/>
      <c r="AL140" s="213"/>
      <c r="AM140" s="213"/>
      <c r="AN140" s="213"/>
      <c r="AO140" s="213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  <c r="AZ140" s="213"/>
      <c r="BA140" s="213"/>
      <c r="BB140" s="213"/>
    </row>
    <row r="141" ht="12.75" customHeight="1" outlineLevel="1">
      <c r="A141" s="235"/>
      <c r="B141" s="236"/>
      <c r="C141" s="237" t="s">
        <v>1260</v>
      </c>
      <c r="D141" s="238"/>
      <c r="E141" s="239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3"/>
      <c r="Z141" s="213"/>
      <c r="AA141" s="213"/>
      <c r="AB141" s="213"/>
      <c r="AC141" s="213"/>
      <c r="AD141" s="213"/>
      <c r="AE141" s="213"/>
      <c r="AF141" s="213"/>
      <c r="AG141" s="213" t="s">
        <v>228</v>
      </c>
      <c r="AH141" s="213">
        <v>0.0</v>
      </c>
      <c r="AI141" s="213"/>
      <c r="AJ141" s="213"/>
      <c r="AK141" s="213"/>
      <c r="AL141" s="213"/>
      <c r="AM141" s="213"/>
      <c r="AN141" s="213"/>
      <c r="AO141" s="213"/>
      <c r="AP141" s="213"/>
      <c r="AQ141" s="213"/>
      <c r="AR141" s="213"/>
      <c r="AS141" s="213"/>
      <c r="AT141" s="213"/>
      <c r="AU141" s="213"/>
      <c r="AV141" s="213"/>
      <c r="AW141" s="213"/>
      <c r="AX141" s="213"/>
      <c r="AY141" s="213"/>
      <c r="AZ141" s="213"/>
      <c r="BA141" s="213"/>
      <c r="BB141" s="213"/>
    </row>
    <row r="142" ht="12.75" customHeight="1" outlineLevel="1">
      <c r="A142" s="235"/>
      <c r="B142" s="236"/>
      <c r="C142" s="237" t="s">
        <v>1428</v>
      </c>
      <c r="D142" s="238"/>
      <c r="E142" s="239">
        <v>0.3</v>
      </c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3"/>
      <c r="Z142" s="213"/>
      <c r="AA142" s="213"/>
      <c r="AB142" s="213"/>
      <c r="AC142" s="213"/>
      <c r="AD142" s="213"/>
      <c r="AE142" s="213"/>
      <c r="AF142" s="213"/>
      <c r="AG142" s="213" t="s">
        <v>228</v>
      </c>
      <c r="AH142" s="213">
        <v>0.0</v>
      </c>
      <c r="AI142" s="213"/>
      <c r="AJ142" s="213"/>
      <c r="AK142" s="213"/>
      <c r="AL142" s="213"/>
      <c r="AM142" s="213"/>
      <c r="AN142" s="213"/>
      <c r="AO142" s="213"/>
      <c r="AP142" s="213"/>
      <c r="AQ142" s="213"/>
      <c r="AR142" s="213"/>
      <c r="AS142" s="213"/>
      <c r="AT142" s="213"/>
      <c r="AU142" s="213"/>
      <c r="AV142" s="213"/>
      <c r="AW142" s="213"/>
      <c r="AX142" s="213"/>
      <c r="AY142" s="213"/>
      <c r="AZ142" s="213"/>
      <c r="BA142" s="213"/>
      <c r="BB142" s="213"/>
    </row>
    <row r="143" ht="12.75" customHeight="1" outlineLevel="1">
      <c r="A143" s="214">
        <v>22.0</v>
      </c>
      <c r="B143" s="215" t="s">
        <v>542</v>
      </c>
      <c r="C143" s="216" t="s">
        <v>543</v>
      </c>
      <c r="D143" s="217" t="s">
        <v>224</v>
      </c>
      <c r="E143" s="218">
        <v>1.544</v>
      </c>
      <c r="F143" s="219">
        <v>532.5</v>
      </c>
      <c r="G143" s="220">
        <f>ROUND(E143*F143,2)</f>
        <v>822.18</v>
      </c>
      <c r="H143" s="211"/>
      <c r="I143" s="212">
        <f>ROUND(E143*H143,2)</f>
        <v>0</v>
      </c>
      <c r="J143" s="211"/>
      <c r="K143" s="212">
        <f>ROUND(E143*J143,2)</f>
        <v>0</v>
      </c>
      <c r="L143" s="212">
        <v>21.0</v>
      </c>
      <c r="M143" s="212">
        <f>G143*(1+L143/100)</f>
        <v>994.8378</v>
      </c>
      <c r="N143" s="212">
        <v>0.01411</v>
      </c>
      <c r="O143" s="212">
        <f>ROUND(E143*N143,2)</f>
        <v>0.02</v>
      </c>
      <c r="P143" s="212">
        <v>0.0</v>
      </c>
      <c r="Q143" s="212">
        <f>ROUND(E143*P143,2)</f>
        <v>0</v>
      </c>
      <c r="R143" s="212"/>
      <c r="S143" s="212" t="s">
        <v>184</v>
      </c>
      <c r="T143" s="212" t="s">
        <v>184</v>
      </c>
      <c r="U143" s="212">
        <v>0.396</v>
      </c>
      <c r="V143" s="212">
        <f>ROUND(E143*U143,2)</f>
        <v>0.61</v>
      </c>
      <c r="W143" s="212"/>
      <c r="X143" s="212" t="s">
        <v>225</v>
      </c>
      <c r="Y143" s="213"/>
      <c r="Z143" s="213"/>
      <c r="AA143" s="213"/>
      <c r="AB143" s="213"/>
      <c r="AC143" s="213"/>
      <c r="AD143" s="213"/>
      <c r="AE143" s="213"/>
      <c r="AF143" s="213"/>
      <c r="AG143" s="213" t="s">
        <v>226</v>
      </c>
      <c r="AH143" s="213"/>
      <c r="AI143" s="213"/>
      <c r="AJ143" s="213"/>
      <c r="AK143" s="213"/>
      <c r="AL143" s="213"/>
      <c r="AM143" s="213"/>
      <c r="AN143" s="213"/>
      <c r="AO143" s="213"/>
      <c r="AP143" s="213"/>
      <c r="AQ143" s="213"/>
      <c r="AR143" s="213"/>
      <c r="AS143" s="213"/>
      <c r="AT143" s="213"/>
      <c r="AU143" s="213"/>
      <c r="AV143" s="213"/>
      <c r="AW143" s="213"/>
      <c r="AX143" s="213"/>
      <c r="AY143" s="213"/>
      <c r="AZ143" s="213"/>
      <c r="BA143" s="213"/>
      <c r="BB143" s="213"/>
    </row>
    <row r="144" ht="12.75" customHeight="1" outlineLevel="1">
      <c r="A144" s="235"/>
      <c r="B144" s="236"/>
      <c r="C144" s="237" t="s">
        <v>533</v>
      </c>
      <c r="D144" s="238"/>
      <c r="E144" s="239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3"/>
      <c r="Z144" s="213"/>
      <c r="AA144" s="213"/>
      <c r="AB144" s="213"/>
      <c r="AC144" s="213"/>
      <c r="AD144" s="213"/>
      <c r="AE144" s="213"/>
      <c r="AF144" s="213"/>
      <c r="AG144" s="213" t="s">
        <v>228</v>
      </c>
      <c r="AH144" s="213">
        <v>0.0</v>
      </c>
      <c r="AI144" s="213"/>
      <c r="AJ144" s="213"/>
      <c r="AK144" s="213"/>
      <c r="AL144" s="213"/>
      <c r="AM144" s="213"/>
      <c r="AN144" s="213"/>
      <c r="AO144" s="213"/>
      <c r="AP144" s="213"/>
      <c r="AQ144" s="213"/>
      <c r="AR144" s="213"/>
      <c r="AS144" s="213"/>
      <c r="AT144" s="213"/>
      <c r="AU144" s="213"/>
      <c r="AV144" s="213"/>
      <c r="AW144" s="213"/>
      <c r="AX144" s="213"/>
      <c r="AY144" s="213"/>
      <c r="AZ144" s="213"/>
      <c r="BA144" s="213"/>
      <c r="BB144" s="213"/>
    </row>
    <row r="145" ht="12.75" customHeight="1" outlineLevel="1">
      <c r="A145" s="235"/>
      <c r="B145" s="236"/>
      <c r="C145" s="237" t="s">
        <v>1429</v>
      </c>
      <c r="D145" s="238"/>
      <c r="E145" s="239">
        <v>0.56</v>
      </c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3"/>
      <c r="Z145" s="213"/>
      <c r="AA145" s="213"/>
      <c r="AB145" s="213"/>
      <c r="AC145" s="213"/>
      <c r="AD145" s="213"/>
      <c r="AE145" s="213"/>
      <c r="AF145" s="213"/>
      <c r="AG145" s="213" t="s">
        <v>228</v>
      </c>
      <c r="AH145" s="213">
        <v>0.0</v>
      </c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13"/>
    </row>
    <row r="146" ht="12.75" customHeight="1" outlineLevel="1">
      <c r="A146" s="235"/>
      <c r="B146" s="236"/>
      <c r="C146" s="237" t="s">
        <v>1260</v>
      </c>
      <c r="D146" s="238"/>
      <c r="E146" s="239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3"/>
      <c r="Z146" s="213"/>
      <c r="AA146" s="213"/>
      <c r="AB146" s="213"/>
      <c r="AC146" s="213"/>
      <c r="AD146" s="213"/>
      <c r="AE146" s="213"/>
      <c r="AF146" s="213"/>
      <c r="AG146" s="213" t="s">
        <v>228</v>
      </c>
      <c r="AH146" s="213">
        <v>0.0</v>
      </c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</row>
    <row r="147" ht="12.75" customHeight="1" outlineLevel="1">
      <c r="A147" s="235"/>
      <c r="B147" s="236"/>
      <c r="C147" s="237" t="s">
        <v>1430</v>
      </c>
      <c r="D147" s="238"/>
      <c r="E147" s="239">
        <v>0.98</v>
      </c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3"/>
      <c r="Z147" s="213"/>
      <c r="AA147" s="213"/>
      <c r="AB147" s="213"/>
      <c r="AC147" s="213"/>
      <c r="AD147" s="213"/>
      <c r="AE147" s="213"/>
      <c r="AF147" s="213"/>
      <c r="AG147" s="213" t="s">
        <v>228</v>
      </c>
      <c r="AH147" s="213">
        <v>0.0</v>
      </c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</row>
    <row r="148" ht="12.75" customHeight="1" outlineLevel="1">
      <c r="A148" s="214">
        <v>23.0</v>
      </c>
      <c r="B148" s="215" t="s">
        <v>545</v>
      </c>
      <c r="C148" s="216" t="s">
        <v>546</v>
      </c>
      <c r="D148" s="217" t="s">
        <v>224</v>
      </c>
      <c r="E148" s="218">
        <v>1.544</v>
      </c>
      <c r="F148" s="219">
        <v>178.0</v>
      </c>
      <c r="G148" s="220">
        <f>ROUND(E148*F148,2)</f>
        <v>274.83</v>
      </c>
      <c r="H148" s="211"/>
      <c r="I148" s="212">
        <f>ROUND(E148*H148,2)</f>
        <v>0</v>
      </c>
      <c r="J148" s="211"/>
      <c r="K148" s="212">
        <f>ROUND(E148*J148,2)</f>
        <v>0</v>
      </c>
      <c r="L148" s="212">
        <v>21.0</v>
      </c>
      <c r="M148" s="212">
        <f>G148*(1+L148/100)</f>
        <v>332.5443</v>
      </c>
      <c r="N148" s="212">
        <v>0.0</v>
      </c>
      <c r="O148" s="212">
        <f>ROUND(E148*N148,2)</f>
        <v>0</v>
      </c>
      <c r="P148" s="212">
        <v>0.0</v>
      </c>
      <c r="Q148" s="212">
        <f>ROUND(E148*P148,2)</f>
        <v>0</v>
      </c>
      <c r="R148" s="212"/>
      <c r="S148" s="212" t="s">
        <v>184</v>
      </c>
      <c r="T148" s="212" t="s">
        <v>184</v>
      </c>
      <c r="U148" s="212">
        <v>0.24</v>
      </c>
      <c r="V148" s="212">
        <f>ROUND(E148*U148,2)</f>
        <v>0.37</v>
      </c>
      <c r="W148" s="212"/>
      <c r="X148" s="212" t="s">
        <v>225</v>
      </c>
      <c r="Y148" s="213"/>
      <c r="Z148" s="213"/>
      <c r="AA148" s="213"/>
      <c r="AB148" s="213"/>
      <c r="AC148" s="213"/>
      <c r="AD148" s="213"/>
      <c r="AE148" s="213"/>
      <c r="AF148" s="213"/>
      <c r="AG148" s="213" t="s">
        <v>226</v>
      </c>
      <c r="AH148" s="213"/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</row>
    <row r="149" ht="12.75" customHeight="1" outlineLevel="1">
      <c r="A149" s="235"/>
      <c r="B149" s="236"/>
      <c r="C149" s="237" t="s">
        <v>533</v>
      </c>
      <c r="D149" s="238"/>
      <c r="E149" s="239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3"/>
      <c r="Z149" s="213"/>
      <c r="AA149" s="213"/>
      <c r="AB149" s="213"/>
      <c r="AC149" s="213"/>
      <c r="AD149" s="213"/>
      <c r="AE149" s="213"/>
      <c r="AF149" s="213"/>
      <c r="AG149" s="213" t="s">
        <v>228</v>
      </c>
      <c r="AH149" s="213">
        <v>0.0</v>
      </c>
      <c r="AI149" s="213"/>
      <c r="AJ149" s="213"/>
      <c r="AK149" s="213"/>
      <c r="AL149" s="213"/>
      <c r="AM149" s="213"/>
      <c r="AN149" s="213"/>
      <c r="AO149" s="213"/>
      <c r="AP149" s="213"/>
      <c r="AQ149" s="213"/>
      <c r="AR149" s="213"/>
      <c r="AS149" s="213"/>
      <c r="AT149" s="213"/>
      <c r="AU149" s="213"/>
      <c r="AV149" s="213"/>
      <c r="AW149" s="213"/>
      <c r="AX149" s="213"/>
      <c r="AY149" s="213"/>
      <c r="AZ149" s="213"/>
      <c r="BA149" s="213"/>
      <c r="BB149" s="213"/>
    </row>
    <row r="150" ht="12.75" customHeight="1" outlineLevel="1">
      <c r="A150" s="235"/>
      <c r="B150" s="236"/>
      <c r="C150" s="237" t="s">
        <v>1429</v>
      </c>
      <c r="D150" s="238"/>
      <c r="E150" s="239">
        <v>0.56</v>
      </c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3"/>
      <c r="Z150" s="213"/>
      <c r="AA150" s="213"/>
      <c r="AB150" s="213"/>
      <c r="AC150" s="213"/>
      <c r="AD150" s="213"/>
      <c r="AE150" s="213"/>
      <c r="AF150" s="213"/>
      <c r="AG150" s="213" t="s">
        <v>228</v>
      </c>
      <c r="AH150" s="213">
        <v>0.0</v>
      </c>
      <c r="AI150" s="213"/>
      <c r="AJ150" s="213"/>
      <c r="AK150" s="213"/>
      <c r="AL150" s="213"/>
      <c r="AM150" s="213"/>
      <c r="AN150" s="213"/>
      <c r="AO150" s="213"/>
      <c r="AP150" s="213"/>
      <c r="AQ150" s="213"/>
      <c r="AR150" s="213"/>
      <c r="AS150" s="213"/>
      <c r="AT150" s="213"/>
      <c r="AU150" s="213"/>
      <c r="AV150" s="213"/>
      <c r="AW150" s="213"/>
      <c r="AX150" s="213"/>
      <c r="AY150" s="213"/>
      <c r="AZ150" s="213"/>
      <c r="BA150" s="213"/>
      <c r="BB150" s="213"/>
    </row>
    <row r="151" ht="12.75" customHeight="1" outlineLevel="1">
      <c r="A151" s="235"/>
      <c r="B151" s="236"/>
      <c r="C151" s="237" t="s">
        <v>1260</v>
      </c>
      <c r="D151" s="238"/>
      <c r="E151" s="239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3"/>
      <c r="Z151" s="213"/>
      <c r="AA151" s="213"/>
      <c r="AB151" s="213"/>
      <c r="AC151" s="213"/>
      <c r="AD151" s="213"/>
      <c r="AE151" s="213"/>
      <c r="AF151" s="213"/>
      <c r="AG151" s="213" t="s">
        <v>228</v>
      </c>
      <c r="AH151" s="213">
        <v>0.0</v>
      </c>
      <c r="AI151" s="213"/>
      <c r="AJ151" s="213"/>
      <c r="AK151" s="213"/>
      <c r="AL151" s="213"/>
      <c r="AM151" s="213"/>
      <c r="AN151" s="213"/>
      <c r="AO151" s="213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</row>
    <row r="152" ht="12.75" customHeight="1" outlineLevel="1">
      <c r="A152" s="235"/>
      <c r="B152" s="236"/>
      <c r="C152" s="237" t="s">
        <v>1430</v>
      </c>
      <c r="D152" s="238"/>
      <c r="E152" s="239">
        <v>0.98</v>
      </c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3"/>
      <c r="Z152" s="213"/>
      <c r="AA152" s="213"/>
      <c r="AB152" s="213"/>
      <c r="AC152" s="213"/>
      <c r="AD152" s="213"/>
      <c r="AE152" s="213"/>
      <c r="AF152" s="213"/>
      <c r="AG152" s="213" t="s">
        <v>228</v>
      </c>
      <c r="AH152" s="213">
        <v>0.0</v>
      </c>
      <c r="AI152" s="213"/>
      <c r="AJ152" s="213"/>
      <c r="AK152" s="213"/>
      <c r="AL152" s="213"/>
      <c r="AM152" s="213"/>
      <c r="AN152" s="213"/>
      <c r="AO152" s="213"/>
      <c r="AP152" s="213"/>
      <c r="AQ152" s="213"/>
      <c r="AR152" s="213"/>
      <c r="AS152" s="213"/>
      <c r="AT152" s="213"/>
      <c r="AU152" s="213"/>
      <c r="AV152" s="213"/>
      <c r="AW152" s="213"/>
      <c r="AX152" s="213"/>
      <c r="AY152" s="213"/>
      <c r="AZ152" s="213"/>
      <c r="BA152" s="213"/>
      <c r="BB152" s="213"/>
    </row>
    <row r="153" ht="12.75" customHeight="1">
      <c r="A153" s="196" t="s">
        <v>173</v>
      </c>
      <c r="B153" s="197" t="s">
        <v>106</v>
      </c>
      <c r="C153" s="198" t="s">
        <v>107</v>
      </c>
      <c r="D153" s="199"/>
      <c r="E153" s="200"/>
      <c r="F153" s="201"/>
      <c r="G153" s="202">
        <f>SUMIF(AG154:AG186,"&lt;&gt;NOR",G154:G186)</f>
        <v>45664.8</v>
      </c>
      <c r="H153" s="203"/>
      <c r="I153" s="203">
        <f>SUM(I154:I186)</f>
        <v>0</v>
      </c>
      <c r="J153" s="203"/>
      <c r="K153" s="203">
        <f>SUM(K154:K186)</f>
        <v>0</v>
      </c>
      <c r="L153" s="203"/>
      <c r="M153" s="203">
        <f>SUM(M154:M186)</f>
        <v>55254.408</v>
      </c>
      <c r="N153" s="203"/>
      <c r="O153" s="203">
        <f>SUM(O154:O186)</f>
        <v>10.71</v>
      </c>
      <c r="P153" s="203"/>
      <c r="Q153" s="203">
        <f>SUM(Q154:Q186)</f>
        <v>0</v>
      </c>
      <c r="R153" s="203"/>
      <c r="S153" s="203"/>
      <c r="T153" s="203"/>
      <c r="U153" s="203"/>
      <c r="V153" s="203">
        <f>SUM(V154:V186)</f>
        <v>19.05</v>
      </c>
      <c r="W153" s="203"/>
      <c r="X153" s="203"/>
      <c r="AG153" s="184" t="s">
        <v>174</v>
      </c>
    </row>
    <row r="154" ht="12.75" customHeight="1" outlineLevel="1">
      <c r="A154" s="204">
        <v>24.0</v>
      </c>
      <c r="B154" s="205" t="s">
        <v>547</v>
      </c>
      <c r="C154" s="206" t="s">
        <v>1281</v>
      </c>
      <c r="D154" s="207" t="s">
        <v>372</v>
      </c>
      <c r="E154" s="208">
        <v>2.0</v>
      </c>
      <c r="F154" s="209">
        <v>1922.9</v>
      </c>
      <c r="G154" s="210">
        <f t="shared" ref="G154:G155" si="1">ROUND(E154*F154,2)</f>
        <v>3845.8</v>
      </c>
      <c r="H154" s="211"/>
      <c r="I154" s="212">
        <f t="shared" ref="I154:I155" si="2">ROUND(E154*H154,2)</f>
        <v>0</v>
      </c>
      <c r="J154" s="211"/>
      <c r="K154" s="212">
        <f t="shared" ref="K154:K155" si="3">ROUND(E154*J154,2)</f>
        <v>0</v>
      </c>
      <c r="L154" s="212">
        <v>21.0</v>
      </c>
      <c r="M154" s="212">
        <f t="shared" ref="M154:M155" si="4">G154*(1+L154/100)</f>
        <v>4653.418</v>
      </c>
      <c r="N154" s="212">
        <v>0.0</v>
      </c>
      <c r="O154" s="212">
        <f t="shared" ref="O154:O155" si="5">ROUND(E154*N154,2)</f>
        <v>0</v>
      </c>
      <c r="P154" s="212">
        <v>0.0</v>
      </c>
      <c r="Q154" s="212">
        <f t="shared" ref="Q154:Q155" si="6">ROUND(E154*P154,2)</f>
        <v>0</v>
      </c>
      <c r="R154" s="212"/>
      <c r="S154" s="212" t="s">
        <v>178</v>
      </c>
      <c r="T154" s="212" t="s">
        <v>179</v>
      </c>
      <c r="U154" s="212">
        <v>0.0</v>
      </c>
      <c r="V154" s="212">
        <f t="shared" ref="V154:V155" si="7">ROUND(E154*U154,2)</f>
        <v>0</v>
      </c>
      <c r="W154" s="212"/>
      <c r="X154" s="212" t="s">
        <v>225</v>
      </c>
      <c r="Y154" s="213"/>
      <c r="Z154" s="213"/>
      <c r="AA154" s="213"/>
      <c r="AB154" s="213"/>
      <c r="AC154" s="213"/>
      <c r="AD154" s="213"/>
      <c r="AE154" s="213"/>
      <c r="AF154" s="213"/>
      <c r="AG154" s="213" t="s">
        <v>226</v>
      </c>
      <c r="AH154" s="213"/>
      <c r="AI154" s="213"/>
      <c r="AJ154" s="213"/>
      <c r="AK154" s="213"/>
      <c r="AL154" s="213"/>
      <c r="AM154" s="213"/>
      <c r="AN154" s="213"/>
      <c r="AO154" s="213"/>
      <c r="AP154" s="213"/>
      <c r="AQ154" s="213"/>
      <c r="AR154" s="213"/>
      <c r="AS154" s="213"/>
      <c r="AT154" s="213"/>
      <c r="AU154" s="213"/>
      <c r="AV154" s="213"/>
      <c r="AW154" s="213"/>
      <c r="AX154" s="213"/>
      <c r="AY154" s="213"/>
      <c r="AZ154" s="213"/>
      <c r="BA154" s="213"/>
      <c r="BB154" s="213"/>
    </row>
    <row r="155" ht="12.75" customHeight="1" outlineLevel="1">
      <c r="A155" s="214">
        <v>25.0</v>
      </c>
      <c r="B155" s="215" t="s">
        <v>1287</v>
      </c>
      <c r="C155" s="216" t="s">
        <v>1288</v>
      </c>
      <c r="D155" s="217" t="s">
        <v>251</v>
      </c>
      <c r="E155" s="218">
        <v>5.0</v>
      </c>
      <c r="F155" s="219">
        <v>145.0</v>
      </c>
      <c r="G155" s="220">
        <f t="shared" si="1"/>
        <v>725</v>
      </c>
      <c r="H155" s="211"/>
      <c r="I155" s="212">
        <f t="shared" si="2"/>
        <v>0</v>
      </c>
      <c r="J155" s="211"/>
      <c r="K155" s="212">
        <f t="shared" si="3"/>
        <v>0</v>
      </c>
      <c r="L155" s="212">
        <v>21.0</v>
      </c>
      <c r="M155" s="212">
        <f t="shared" si="4"/>
        <v>877.25</v>
      </c>
      <c r="N155" s="212">
        <v>0.0</v>
      </c>
      <c r="O155" s="212">
        <f t="shared" si="5"/>
        <v>0</v>
      </c>
      <c r="P155" s="212">
        <v>0.0</v>
      </c>
      <c r="Q155" s="212">
        <f t="shared" si="6"/>
        <v>0</v>
      </c>
      <c r="R155" s="212"/>
      <c r="S155" s="212" t="s">
        <v>184</v>
      </c>
      <c r="T155" s="212" t="s">
        <v>184</v>
      </c>
      <c r="U155" s="212">
        <v>0.066</v>
      </c>
      <c r="V155" s="212">
        <f t="shared" si="7"/>
        <v>0.33</v>
      </c>
      <c r="W155" s="212"/>
      <c r="X155" s="212" t="s">
        <v>225</v>
      </c>
      <c r="Y155" s="213"/>
      <c r="Z155" s="213"/>
      <c r="AA155" s="213"/>
      <c r="AB155" s="213"/>
      <c r="AC155" s="213"/>
      <c r="AD155" s="213"/>
      <c r="AE155" s="213"/>
      <c r="AF155" s="213"/>
      <c r="AG155" s="213" t="s">
        <v>226</v>
      </c>
      <c r="AH155" s="213"/>
      <c r="AI155" s="213"/>
      <c r="AJ155" s="213"/>
      <c r="AK155" s="213"/>
      <c r="AL155" s="213"/>
      <c r="AM155" s="213"/>
      <c r="AN155" s="213"/>
      <c r="AO155" s="213"/>
      <c r="AP155" s="213"/>
      <c r="AQ155" s="213"/>
      <c r="AR155" s="213"/>
      <c r="AS155" s="213"/>
      <c r="AT155" s="213"/>
      <c r="AU155" s="213"/>
      <c r="AV155" s="213"/>
      <c r="AW155" s="213"/>
      <c r="AX155" s="213"/>
      <c r="AY155" s="213"/>
      <c r="AZ155" s="213"/>
      <c r="BA155" s="213"/>
      <c r="BB155" s="213"/>
    </row>
    <row r="156" ht="12.75" customHeight="1" outlineLevel="1">
      <c r="A156" s="235"/>
      <c r="B156" s="236"/>
      <c r="C156" s="237" t="s">
        <v>1289</v>
      </c>
      <c r="D156" s="238"/>
      <c r="E156" s="239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3"/>
      <c r="Z156" s="213"/>
      <c r="AA156" s="213"/>
      <c r="AB156" s="213"/>
      <c r="AC156" s="213"/>
      <c r="AD156" s="213"/>
      <c r="AE156" s="213"/>
      <c r="AF156" s="213"/>
      <c r="AG156" s="213" t="s">
        <v>228</v>
      </c>
      <c r="AH156" s="213">
        <v>0.0</v>
      </c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</row>
    <row r="157" ht="12.75" customHeight="1" outlineLevel="1">
      <c r="A157" s="235"/>
      <c r="B157" s="236"/>
      <c r="C157" s="237" t="s">
        <v>631</v>
      </c>
      <c r="D157" s="238"/>
      <c r="E157" s="239">
        <v>5.0</v>
      </c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3"/>
      <c r="Z157" s="213"/>
      <c r="AA157" s="213"/>
      <c r="AB157" s="213"/>
      <c r="AC157" s="213"/>
      <c r="AD157" s="213"/>
      <c r="AE157" s="213"/>
      <c r="AF157" s="213"/>
      <c r="AG157" s="213" t="s">
        <v>228</v>
      </c>
      <c r="AH157" s="213">
        <v>0.0</v>
      </c>
      <c r="AI157" s="213"/>
      <c r="AJ157" s="213"/>
      <c r="AK157" s="213"/>
      <c r="AL157" s="213"/>
      <c r="AM157" s="213"/>
      <c r="AN157" s="213"/>
      <c r="AO157" s="213"/>
      <c r="AP157" s="213"/>
      <c r="AQ157" s="213"/>
      <c r="AR157" s="213"/>
      <c r="AS157" s="213"/>
      <c r="AT157" s="213"/>
      <c r="AU157" s="213"/>
      <c r="AV157" s="213"/>
      <c r="AW157" s="213"/>
      <c r="AX157" s="213"/>
      <c r="AY157" s="213"/>
      <c r="AZ157" s="213"/>
      <c r="BA157" s="213"/>
      <c r="BB157" s="213"/>
    </row>
    <row r="158" ht="12.75" customHeight="1" outlineLevel="1">
      <c r="A158" s="214">
        <v>26.0</v>
      </c>
      <c r="B158" s="215" t="s">
        <v>1291</v>
      </c>
      <c r="C158" s="216" t="s">
        <v>1292</v>
      </c>
      <c r="D158" s="217" t="s">
        <v>251</v>
      </c>
      <c r="E158" s="218">
        <v>22.6</v>
      </c>
      <c r="F158" s="219">
        <v>175.0</v>
      </c>
      <c r="G158" s="220">
        <f>ROUND(E158*F158,2)</f>
        <v>3955</v>
      </c>
      <c r="H158" s="211"/>
      <c r="I158" s="212">
        <f>ROUND(E158*H158,2)</f>
        <v>0</v>
      </c>
      <c r="J158" s="211"/>
      <c r="K158" s="212">
        <f>ROUND(E158*J158,2)</f>
        <v>0</v>
      </c>
      <c r="L158" s="212">
        <v>21.0</v>
      </c>
      <c r="M158" s="212">
        <f>G158*(1+L158/100)</f>
        <v>4785.55</v>
      </c>
      <c r="N158" s="212">
        <v>1.0E-5</v>
      </c>
      <c r="O158" s="212">
        <f>ROUND(E158*N158,2)</f>
        <v>0</v>
      </c>
      <c r="P158" s="212">
        <v>0.0</v>
      </c>
      <c r="Q158" s="212">
        <f>ROUND(E158*P158,2)</f>
        <v>0</v>
      </c>
      <c r="R158" s="212"/>
      <c r="S158" s="212" t="s">
        <v>184</v>
      </c>
      <c r="T158" s="212" t="s">
        <v>184</v>
      </c>
      <c r="U158" s="212">
        <v>0.097</v>
      </c>
      <c r="V158" s="212">
        <f>ROUND(E158*U158,2)</f>
        <v>2.19</v>
      </c>
      <c r="W158" s="212"/>
      <c r="X158" s="212" t="s">
        <v>225</v>
      </c>
      <c r="Y158" s="213"/>
      <c r="Z158" s="213"/>
      <c r="AA158" s="213"/>
      <c r="AB158" s="213"/>
      <c r="AC158" s="213"/>
      <c r="AD158" s="213"/>
      <c r="AE158" s="213"/>
      <c r="AF158" s="213"/>
      <c r="AG158" s="213" t="s">
        <v>292</v>
      </c>
      <c r="AH158" s="213"/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3"/>
      <c r="AX158" s="213"/>
      <c r="AY158" s="213"/>
      <c r="AZ158" s="213"/>
      <c r="BA158" s="213"/>
      <c r="BB158" s="213"/>
    </row>
    <row r="159" ht="12.75" customHeight="1" outlineLevel="1">
      <c r="A159" s="235"/>
      <c r="B159" s="236"/>
      <c r="C159" s="237" t="s">
        <v>1293</v>
      </c>
      <c r="D159" s="238"/>
      <c r="E159" s="239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3"/>
      <c r="Z159" s="213"/>
      <c r="AA159" s="213"/>
      <c r="AB159" s="213"/>
      <c r="AC159" s="213"/>
      <c r="AD159" s="213"/>
      <c r="AE159" s="213"/>
      <c r="AF159" s="213"/>
      <c r="AG159" s="213" t="s">
        <v>228</v>
      </c>
      <c r="AH159" s="213">
        <v>0.0</v>
      </c>
      <c r="AI159" s="213"/>
      <c r="AJ159" s="213"/>
      <c r="AK159" s="213"/>
      <c r="AL159" s="213"/>
      <c r="AM159" s="213"/>
      <c r="AN159" s="213"/>
      <c r="AO159" s="213"/>
      <c r="AP159" s="213"/>
      <c r="AQ159" s="213"/>
      <c r="AR159" s="213"/>
      <c r="AS159" s="213"/>
      <c r="AT159" s="213"/>
      <c r="AU159" s="213"/>
      <c r="AV159" s="213"/>
      <c r="AW159" s="213"/>
      <c r="AX159" s="213"/>
      <c r="AY159" s="213"/>
      <c r="AZ159" s="213"/>
      <c r="BA159" s="213"/>
      <c r="BB159" s="213"/>
    </row>
    <row r="160" ht="12.75" customHeight="1" outlineLevel="1">
      <c r="A160" s="235"/>
      <c r="B160" s="236"/>
      <c r="C160" s="237" t="s">
        <v>1431</v>
      </c>
      <c r="D160" s="238"/>
      <c r="E160" s="239">
        <v>22.6</v>
      </c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3"/>
      <c r="Z160" s="213"/>
      <c r="AA160" s="213"/>
      <c r="AB160" s="213"/>
      <c r="AC160" s="213"/>
      <c r="AD160" s="213"/>
      <c r="AE160" s="213"/>
      <c r="AF160" s="213"/>
      <c r="AG160" s="213" t="s">
        <v>228</v>
      </c>
      <c r="AH160" s="213">
        <v>0.0</v>
      </c>
      <c r="AI160" s="213"/>
      <c r="AJ160" s="213"/>
      <c r="AK160" s="213"/>
      <c r="AL160" s="213"/>
      <c r="AM160" s="213"/>
      <c r="AN160" s="213"/>
      <c r="AO160" s="213"/>
      <c r="AP160" s="213"/>
      <c r="AQ160" s="213"/>
      <c r="AR160" s="213"/>
      <c r="AS160" s="213"/>
      <c r="AT160" s="213"/>
      <c r="AU160" s="213"/>
      <c r="AV160" s="213"/>
      <c r="AW160" s="213"/>
      <c r="AX160" s="213"/>
      <c r="AY160" s="213"/>
      <c r="AZ160" s="213"/>
      <c r="BA160" s="213"/>
      <c r="BB160" s="213"/>
    </row>
    <row r="161" ht="12.75" customHeight="1" outlineLevel="1">
      <c r="A161" s="214">
        <v>27.0</v>
      </c>
      <c r="B161" s="215" t="s">
        <v>556</v>
      </c>
      <c r="C161" s="216" t="s">
        <v>557</v>
      </c>
      <c r="D161" s="217" t="s">
        <v>251</v>
      </c>
      <c r="E161" s="218">
        <v>5.0</v>
      </c>
      <c r="F161" s="219">
        <v>329.0</v>
      </c>
      <c r="G161" s="220">
        <f>ROUND(E161*F161,2)</f>
        <v>1645</v>
      </c>
      <c r="H161" s="211"/>
      <c r="I161" s="212">
        <f>ROUND(E161*H161,2)</f>
        <v>0</v>
      </c>
      <c r="J161" s="211"/>
      <c r="K161" s="212">
        <f>ROUND(E161*J161,2)</f>
        <v>0</v>
      </c>
      <c r="L161" s="212">
        <v>21.0</v>
      </c>
      <c r="M161" s="212">
        <f>G161*(1+L161/100)</f>
        <v>1990.45</v>
      </c>
      <c r="N161" s="212">
        <v>0.0</v>
      </c>
      <c r="O161" s="212">
        <f>ROUND(E161*N161,2)</f>
        <v>0</v>
      </c>
      <c r="P161" s="212">
        <v>0.0</v>
      </c>
      <c r="Q161" s="212">
        <f>ROUND(E161*P161,2)</f>
        <v>0</v>
      </c>
      <c r="R161" s="212"/>
      <c r="S161" s="212" t="s">
        <v>184</v>
      </c>
      <c r="T161" s="212" t="s">
        <v>184</v>
      </c>
      <c r="U161" s="212">
        <v>0.059</v>
      </c>
      <c r="V161" s="212">
        <f>ROUND(E161*U161,2)</f>
        <v>0.3</v>
      </c>
      <c r="W161" s="212"/>
      <c r="X161" s="212" t="s">
        <v>225</v>
      </c>
      <c r="Y161" s="213"/>
      <c r="Z161" s="213"/>
      <c r="AA161" s="213"/>
      <c r="AB161" s="213"/>
      <c r="AC161" s="213"/>
      <c r="AD161" s="213"/>
      <c r="AE161" s="213"/>
      <c r="AF161" s="213"/>
      <c r="AG161" s="213" t="s">
        <v>226</v>
      </c>
      <c r="AH161" s="213"/>
      <c r="AI161" s="213"/>
      <c r="AJ161" s="213"/>
      <c r="AK161" s="213"/>
      <c r="AL161" s="213"/>
      <c r="AM161" s="213"/>
      <c r="AN161" s="213"/>
      <c r="AO161" s="213"/>
      <c r="AP161" s="213"/>
      <c r="AQ161" s="213"/>
      <c r="AR161" s="213"/>
      <c r="AS161" s="213"/>
      <c r="AT161" s="213"/>
      <c r="AU161" s="213"/>
      <c r="AV161" s="213"/>
      <c r="AW161" s="213"/>
      <c r="AX161" s="213"/>
      <c r="AY161" s="213"/>
      <c r="AZ161" s="213"/>
      <c r="BA161" s="213"/>
      <c r="BB161" s="213"/>
    </row>
    <row r="162" ht="12.75" customHeight="1" outlineLevel="1">
      <c r="A162" s="235"/>
      <c r="B162" s="236"/>
      <c r="C162" s="237" t="s">
        <v>631</v>
      </c>
      <c r="D162" s="238"/>
      <c r="E162" s="239">
        <v>5.0</v>
      </c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3"/>
      <c r="Z162" s="213"/>
      <c r="AA162" s="213"/>
      <c r="AB162" s="213"/>
      <c r="AC162" s="213"/>
      <c r="AD162" s="213"/>
      <c r="AE162" s="213"/>
      <c r="AF162" s="213"/>
      <c r="AG162" s="213" t="s">
        <v>228</v>
      </c>
      <c r="AH162" s="213">
        <v>0.0</v>
      </c>
      <c r="AI162" s="213"/>
      <c r="AJ162" s="213"/>
      <c r="AK162" s="213"/>
      <c r="AL162" s="213"/>
      <c r="AM162" s="213"/>
      <c r="AN162" s="213"/>
      <c r="AO162" s="213"/>
      <c r="AP162" s="213"/>
      <c r="AQ162" s="213"/>
      <c r="AR162" s="213"/>
      <c r="AS162" s="213"/>
      <c r="AT162" s="213"/>
      <c r="AU162" s="213"/>
      <c r="AV162" s="213"/>
      <c r="AW162" s="213"/>
      <c r="AX162" s="213"/>
      <c r="AY162" s="213"/>
      <c r="AZ162" s="213"/>
      <c r="BA162" s="213"/>
      <c r="BB162" s="213"/>
    </row>
    <row r="163" ht="12.75" customHeight="1" outlineLevel="1">
      <c r="A163" s="214">
        <v>28.0</v>
      </c>
      <c r="B163" s="215" t="s">
        <v>1074</v>
      </c>
      <c r="C163" s="216" t="s">
        <v>1075</v>
      </c>
      <c r="D163" s="217" t="s">
        <v>251</v>
      </c>
      <c r="E163" s="218">
        <v>22.6</v>
      </c>
      <c r="F163" s="219">
        <v>160.5</v>
      </c>
      <c r="G163" s="220">
        <f>ROUND(E163*F163,2)</f>
        <v>3627.3</v>
      </c>
      <c r="H163" s="211"/>
      <c r="I163" s="212">
        <f>ROUND(E163*H163,2)</f>
        <v>0</v>
      </c>
      <c r="J163" s="211"/>
      <c r="K163" s="212">
        <f>ROUND(E163*J163,2)</f>
        <v>0</v>
      </c>
      <c r="L163" s="212">
        <v>21.0</v>
      </c>
      <c r="M163" s="212">
        <f>G163*(1+L163/100)</f>
        <v>4389.033</v>
      </c>
      <c r="N163" s="212">
        <v>0.0</v>
      </c>
      <c r="O163" s="212">
        <f>ROUND(E163*N163,2)</f>
        <v>0</v>
      </c>
      <c r="P163" s="212">
        <v>0.0</v>
      </c>
      <c r="Q163" s="212">
        <f>ROUND(E163*P163,2)</f>
        <v>0</v>
      </c>
      <c r="R163" s="212"/>
      <c r="S163" s="212" t="s">
        <v>184</v>
      </c>
      <c r="T163" s="212" t="s">
        <v>184</v>
      </c>
      <c r="U163" s="212">
        <v>0.079</v>
      </c>
      <c r="V163" s="212">
        <f>ROUND(E163*U163,2)</f>
        <v>1.79</v>
      </c>
      <c r="W163" s="212"/>
      <c r="X163" s="212" t="s">
        <v>225</v>
      </c>
      <c r="Y163" s="213"/>
      <c r="Z163" s="213"/>
      <c r="AA163" s="213"/>
      <c r="AB163" s="213"/>
      <c r="AC163" s="213"/>
      <c r="AD163" s="213"/>
      <c r="AE163" s="213"/>
      <c r="AF163" s="213"/>
      <c r="AG163" s="213" t="s">
        <v>226</v>
      </c>
      <c r="AH163" s="213"/>
      <c r="AI163" s="213"/>
      <c r="AJ163" s="213"/>
      <c r="AK163" s="213"/>
      <c r="AL163" s="213"/>
      <c r="AM163" s="213"/>
      <c r="AN163" s="213"/>
      <c r="AO163" s="213"/>
      <c r="AP163" s="213"/>
      <c r="AQ163" s="213"/>
      <c r="AR163" s="213"/>
      <c r="AS163" s="213"/>
      <c r="AT163" s="213"/>
      <c r="AU163" s="213"/>
      <c r="AV163" s="213"/>
      <c r="AW163" s="213"/>
      <c r="AX163" s="213"/>
      <c r="AY163" s="213"/>
      <c r="AZ163" s="213"/>
      <c r="BA163" s="213"/>
      <c r="BB163" s="213"/>
    </row>
    <row r="164" ht="12.75" customHeight="1" outlineLevel="1">
      <c r="A164" s="235"/>
      <c r="B164" s="236"/>
      <c r="C164" s="237" t="s">
        <v>1431</v>
      </c>
      <c r="D164" s="238"/>
      <c r="E164" s="239">
        <v>22.6</v>
      </c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3"/>
      <c r="Z164" s="213"/>
      <c r="AA164" s="213"/>
      <c r="AB164" s="213"/>
      <c r="AC164" s="213"/>
      <c r="AD164" s="213"/>
      <c r="AE164" s="213"/>
      <c r="AF164" s="213"/>
      <c r="AG164" s="213" t="s">
        <v>228</v>
      </c>
      <c r="AH164" s="213">
        <v>0.0</v>
      </c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</row>
    <row r="165" ht="12.75" customHeight="1" outlineLevel="1">
      <c r="A165" s="204">
        <v>29.0</v>
      </c>
      <c r="B165" s="205" t="s">
        <v>1076</v>
      </c>
      <c r="C165" s="206" t="s">
        <v>1077</v>
      </c>
      <c r="D165" s="207" t="s">
        <v>1078</v>
      </c>
      <c r="E165" s="208">
        <v>1.0</v>
      </c>
      <c r="F165" s="209">
        <v>4280.0</v>
      </c>
      <c r="G165" s="210">
        <f t="shared" ref="G165:G166" si="8">ROUND(E165*F165,2)</f>
        <v>4280</v>
      </c>
      <c r="H165" s="211"/>
      <c r="I165" s="212">
        <f t="shared" ref="I165:I166" si="9">ROUND(E165*H165,2)</f>
        <v>0</v>
      </c>
      <c r="J165" s="211"/>
      <c r="K165" s="212">
        <f t="shared" ref="K165:K166" si="10">ROUND(E165*J165,2)</f>
        <v>0</v>
      </c>
      <c r="L165" s="212">
        <v>21.0</v>
      </c>
      <c r="M165" s="212">
        <f t="shared" ref="M165:M166" si="11">G165*(1+L165/100)</f>
        <v>5178.8</v>
      </c>
      <c r="N165" s="212">
        <v>1.7E-4</v>
      </c>
      <c r="O165" s="212">
        <f t="shared" ref="O165:O166" si="12">ROUND(E165*N165,2)</f>
        <v>0</v>
      </c>
      <c r="P165" s="212">
        <v>0.0</v>
      </c>
      <c r="Q165" s="212">
        <f t="shared" ref="Q165:Q166" si="13">ROUND(E165*P165,2)</f>
        <v>0</v>
      </c>
      <c r="R165" s="212"/>
      <c r="S165" s="212" t="s">
        <v>184</v>
      </c>
      <c r="T165" s="212" t="s">
        <v>184</v>
      </c>
      <c r="U165" s="212">
        <v>7.1</v>
      </c>
      <c r="V165" s="212">
        <f t="shared" ref="V165:V166" si="14">ROUND(E165*U165,2)</f>
        <v>7.1</v>
      </c>
      <c r="W165" s="212"/>
      <c r="X165" s="212" t="s">
        <v>225</v>
      </c>
      <c r="Y165" s="213"/>
      <c r="Z165" s="213"/>
      <c r="AA165" s="213"/>
      <c r="AB165" s="213"/>
      <c r="AC165" s="213"/>
      <c r="AD165" s="213"/>
      <c r="AE165" s="213"/>
      <c r="AF165" s="213"/>
      <c r="AG165" s="213" t="s">
        <v>226</v>
      </c>
      <c r="AH165" s="213"/>
      <c r="AI165" s="213"/>
      <c r="AJ165" s="213"/>
      <c r="AK165" s="213"/>
      <c r="AL165" s="213"/>
      <c r="AM165" s="213"/>
      <c r="AN165" s="213"/>
      <c r="AO165" s="213"/>
      <c r="AP165" s="213"/>
      <c r="AQ165" s="213"/>
      <c r="AR165" s="213"/>
      <c r="AS165" s="213"/>
      <c r="AT165" s="213"/>
      <c r="AU165" s="213"/>
      <c r="AV165" s="213"/>
      <c r="AW165" s="213"/>
      <c r="AX165" s="213"/>
      <c r="AY165" s="213"/>
      <c r="AZ165" s="213"/>
      <c r="BA165" s="213"/>
      <c r="BB165" s="213"/>
    </row>
    <row r="166" ht="12.75" customHeight="1" outlineLevel="1">
      <c r="A166" s="214">
        <v>30.0</v>
      </c>
      <c r="B166" s="215" t="s">
        <v>558</v>
      </c>
      <c r="C166" s="216" t="s">
        <v>559</v>
      </c>
      <c r="D166" s="217" t="s">
        <v>234</v>
      </c>
      <c r="E166" s="218">
        <v>3.157</v>
      </c>
      <c r="F166" s="219">
        <v>3035.0</v>
      </c>
      <c r="G166" s="220">
        <f t="shared" si="8"/>
        <v>9581.5</v>
      </c>
      <c r="H166" s="211"/>
      <c r="I166" s="212">
        <f t="shared" si="9"/>
        <v>0</v>
      </c>
      <c r="J166" s="211"/>
      <c r="K166" s="212">
        <f t="shared" si="10"/>
        <v>0</v>
      </c>
      <c r="L166" s="212">
        <v>21.0</v>
      </c>
      <c r="M166" s="212">
        <f t="shared" si="11"/>
        <v>11593.615</v>
      </c>
      <c r="N166" s="212">
        <v>2.525</v>
      </c>
      <c r="O166" s="212">
        <f t="shared" si="12"/>
        <v>7.97</v>
      </c>
      <c r="P166" s="212">
        <v>0.0</v>
      </c>
      <c r="Q166" s="212">
        <f t="shared" si="13"/>
        <v>0</v>
      </c>
      <c r="R166" s="212"/>
      <c r="S166" s="212" t="s">
        <v>184</v>
      </c>
      <c r="T166" s="212" t="s">
        <v>184</v>
      </c>
      <c r="U166" s="212">
        <v>1.303</v>
      </c>
      <c r="V166" s="212">
        <f t="shared" si="14"/>
        <v>4.11</v>
      </c>
      <c r="W166" s="212"/>
      <c r="X166" s="212" t="s">
        <v>225</v>
      </c>
      <c r="Y166" s="213"/>
      <c r="Z166" s="213"/>
      <c r="AA166" s="213"/>
      <c r="AB166" s="213"/>
      <c r="AC166" s="213"/>
      <c r="AD166" s="213"/>
      <c r="AE166" s="213"/>
      <c r="AF166" s="213"/>
      <c r="AG166" s="213" t="s">
        <v>226</v>
      </c>
      <c r="AH166" s="213"/>
      <c r="AI166" s="213"/>
      <c r="AJ166" s="213"/>
      <c r="AK166" s="213"/>
      <c r="AL166" s="213"/>
      <c r="AM166" s="213"/>
      <c r="AN166" s="213"/>
      <c r="AO166" s="213"/>
      <c r="AP166" s="213"/>
      <c r="AQ166" s="213"/>
      <c r="AR166" s="213"/>
      <c r="AS166" s="213"/>
      <c r="AT166" s="213"/>
      <c r="AU166" s="213"/>
      <c r="AV166" s="213"/>
      <c r="AW166" s="213"/>
      <c r="AX166" s="213"/>
      <c r="AY166" s="213"/>
      <c r="AZ166" s="213"/>
      <c r="BA166" s="213"/>
      <c r="BB166" s="213"/>
    </row>
    <row r="167" ht="12.75" customHeight="1" outlineLevel="1">
      <c r="A167" s="235"/>
      <c r="B167" s="236"/>
      <c r="C167" s="237" t="s">
        <v>562</v>
      </c>
      <c r="D167" s="238"/>
      <c r="E167" s="239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3"/>
      <c r="Z167" s="213"/>
      <c r="AA167" s="213"/>
      <c r="AB167" s="213"/>
      <c r="AC167" s="213"/>
      <c r="AD167" s="213"/>
      <c r="AE167" s="213"/>
      <c r="AF167" s="213"/>
      <c r="AG167" s="213" t="s">
        <v>228</v>
      </c>
      <c r="AH167" s="213">
        <v>0.0</v>
      </c>
      <c r="AI167" s="213"/>
      <c r="AJ167" s="213"/>
      <c r="AK167" s="213"/>
      <c r="AL167" s="213"/>
      <c r="AM167" s="213"/>
      <c r="AN167" s="213"/>
      <c r="AO167" s="213"/>
      <c r="AP167" s="213"/>
      <c r="AQ167" s="213"/>
      <c r="AR167" s="213"/>
      <c r="AS167" s="213"/>
      <c r="AT167" s="213"/>
      <c r="AU167" s="213"/>
      <c r="AV167" s="213"/>
      <c r="AW167" s="213"/>
      <c r="AX167" s="213"/>
      <c r="AY167" s="213"/>
      <c r="AZ167" s="213"/>
      <c r="BA167" s="213"/>
      <c r="BB167" s="213"/>
    </row>
    <row r="168" ht="12.75" customHeight="1" outlineLevel="1">
      <c r="A168" s="235"/>
      <c r="B168" s="236"/>
      <c r="C168" s="237" t="s">
        <v>1432</v>
      </c>
      <c r="D168" s="238"/>
      <c r="E168" s="239">
        <v>0.16</v>
      </c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3"/>
      <c r="Z168" s="213"/>
      <c r="AA168" s="213"/>
      <c r="AB168" s="213"/>
      <c r="AC168" s="213"/>
      <c r="AD168" s="213"/>
      <c r="AE168" s="213"/>
      <c r="AF168" s="213"/>
      <c r="AG168" s="213" t="s">
        <v>228</v>
      </c>
      <c r="AH168" s="213">
        <v>0.0</v>
      </c>
      <c r="AI168" s="213"/>
      <c r="AJ168" s="213"/>
      <c r="AK168" s="213"/>
      <c r="AL168" s="213"/>
      <c r="AM168" s="213"/>
      <c r="AN168" s="213"/>
      <c r="AO168" s="213"/>
      <c r="AP168" s="213"/>
      <c r="AQ168" s="213"/>
      <c r="AR168" s="213"/>
      <c r="AS168" s="213"/>
      <c r="AT168" s="213"/>
      <c r="AU168" s="213"/>
      <c r="AV168" s="213"/>
      <c r="AW168" s="213"/>
      <c r="AX168" s="213"/>
      <c r="AY168" s="213"/>
      <c r="AZ168" s="213"/>
      <c r="BA168" s="213"/>
      <c r="BB168" s="213"/>
    </row>
    <row r="169" ht="12.75" customHeight="1" outlineLevel="1">
      <c r="A169" s="235"/>
      <c r="B169" s="236"/>
      <c r="C169" s="237" t="s">
        <v>1299</v>
      </c>
      <c r="D169" s="238"/>
      <c r="E169" s="239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3"/>
      <c r="Z169" s="213"/>
      <c r="AA169" s="213"/>
      <c r="AB169" s="213"/>
      <c r="AC169" s="213"/>
      <c r="AD169" s="213"/>
      <c r="AE169" s="213"/>
      <c r="AF169" s="213"/>
      <c r="AG169" s="213" t="s">
        <v>228</v>
      </c>
      <c r="AH169" s="213">
        <v>0.0</v>
      </c>
      <c r="AI169" s="213"/>
      <c r="AJ169" s="213"/>
      <c r="AK169" s="213"/>
      <c r="AL169" s="213"/>
      <c r="AM169" s="213"/>
      <c r="AN169" s="213"/>
      <c r="AO169" s="213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213"/>
      <c r="BA169" s="213"/>
      <c r="BB169" s="213"/>
    </row>
    <row r="170" ht="12.75" customHeight="1" outlineLevel="1">
      <c r="A170" s="235"/>
      <c r="B170" s="236"/>
      <c r="C170" s="237" t="s">
        <v>1300</v>
      </c>
      <c r="D170" s="238"/>
      <c r="E170" s="239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3"/>
      <c r="Z170" s="213"/>
      <c r="AA170" s="213"/>
      <c r="AB170" s="213"/>
      <c r="AC170" s="213"/>
      <c r="AD170" s="213"/>
      <c r="AE170" s="213"/>
      <c r="AF170" s="213"/>
      <c r="AG170" s="213" t="s">
        <v>228</v>
      </c>
      <c r="AH170" s="213">
        <v>0.0</v>
      </c>
      <c r="AI170" s="213"/>
      <c r="AJ170" s="213"/>
      <c r="AK170" s="213"/>
      <c r="AL170" s="213"/>
      <c r="AM170" s="213"/>
      <c r="AN170" s="213"/>
      <c r="AO170" s="213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</row>
    <row r="171" ht="12.75" customHeight="1" outlineLevel="1">
      <c r="A171" s="235"/>
      <c r="B171" s="236"/>
      <c r="C171" s="237" t="s">
        <v>1433</v>
      </c>
      <c r="D171" s="238"/>
      <c r="E171" s="239">
        <v>3.0</v>
      </c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3"/>
      <c r="Z171" s="213"/>
      <c r="AA171" s="213"/>
      <c r="AB171" s="213"/>
      <c r="AC171" s="213"/>
      <c r="AD171" s="213"/>
      <c r="AE171" s="213"/>
      <c r="AF171" s="213"/>
      <c r="AG171" s="213" t="s">
        <v>228</v>
      </c>
      <c r="AH171" s="213">
        <v>0.0</v>
      </c>
      <c r="AI171" s="213"/>
      <c r="AJ171" s="213"/>
      <c r="AK171" s="213"/>
      <c r="AL171" s="213"/>
      <c r="AM171" s="213"/>
      <c r="AN171" s="213"/>
      <c r="AO171" s="213"/>
      <c r="AP171" s="213"/>
      <c r="AQ171" s="213"/>
      <c r="AR171" s="213"/>
      <c r="AS171" s="213"/>
      <c r="AT171" s="213"/>
      <c r="AU171" s="213"/>
      <c r="AV171" s="213"/>
      <c r="AW171" s="213"/>
      <c r="AX171" s="213"/>
      <c r="AY171" s="213"/>
      <c r="AZ171" s="213"/>
      <c r="BA171" s="213"/>
      <c r="BB171" s="213"/>
    </row>
    <row r="172" ht="12.75" customHeight="1" outlineLevel="1">
      <c r="A172" s="214">
        <v>31.0</v>
      </c>
      <c r="B172" s="215" t="s">
        <v>564</v>
      </c>
      <c r="C172" s="216" t="s">
        <v>565</v>
      </c>
      <c r="D172" s="217" t="s">
        <v>234</v>
      </c>
      <c r="E172" s="218">
        <v>1.0</v>
      </c>
      <c r="F172" s="219">
        <v>3305.0</v>
      </c>
      <c r="G172" s="220">
        <f>ROUND(E172*F172,2)</f>
        <v>3305</v>
      </c>
      <c r="H172" s="211"/>
      <c r="I172" s="212">
        <f>ROUND(E172*H172,2)</f>
        <v>0</v>
      </c>
      <c r="J172" s="211"/>
      <c r="K172" s="212">
        <f>ROUND(E172*J172,2)</f>
        <v>0</v>
      </c>
      <c r="L172" s="212">
        <v>21.0</v>
      </c>
      <c r="M172" s="212">
        <f>G172*(1+L172/100)</f>
        <v>3999.05</v>
      </c>
      <c r="N172" s="212">
        <v>2.525</v>
      </c>
      <c r="O172" s="212">
        <f>ROUND(E172*N172,2)</f>
        <v>2.53</v>
      </c>
      <c r="P172" s="212">
        <v>0.0</v>
      </c>
      <c r="Q172" s="212">
        <f>ROUND(E172*P172,2)</f>
        <v>0</v>
      </c>
      <c r="R172" s="212"/>
      <c r="S172" s="212" t="s">
        <v>184</v>
      </c>
      <c r="T172" s="212" t="s">
        <v>184</v>
      </c>
      <c r="U172" s="212">
        <v>1.303</v>
      </c>
      <c r="V172" s="212">
        <f>ROUND(E172*U172,2)</f>
        <v>1.3</v>
      </c>
      <c r="W172" s="212"/>
      <c r="X172" s="212" t="s">
        <v>225</v>
      </c>
      <c r="Y172" s="213"/>
      <c r="Z172" s="213"/>
      <c r="AA172" s="213"/>
      <c r="AB172" s="213"/>
      <c r="AC172" s="213"/>
      <c r="AD172" s="213"/>
      <c r="AE172" s="213"/>
      <c r="AF172" s="213"/>
      <c r="AG172" s="213" t="s">
        <v>226</v>
      </c>
      <c r="AH172" s="213"/>
      <c r="AI172" s="213"/>
      <c r="AJ172" s="213"/>
      <c r="AK172" s="213"/>
      <c r="AL172" s="213"/>
      <c r="AM172" s="213"/>
      <c r="AN172" s="213"/>
      <c r="AO172" s="213"/>
      <c r="AP172" s="213"/>
      <c r="AQ172" s="213"/>
      <c r="AR172" s="213"/>
      <c r="AS172" s="213"/>
      <c r="AT172" s="213"/>
      <c r="AU172" s="213"/>
      <c r="AV172" s="213"/>
      <c r="AW172" s="213"/>
      <c r="AX172" s="213"/>
      <c r="AY172" s="213"/>
      <c r="AZ172" s="213"/>
      <c r="BA172" s="213"/>
      <c r="BB172" s="213"/>
    </row>
    <row r="173" ht="12.75" customHeight="1" outlineLevel="1">
      <c r="A173" s="235"/>
      <c r="B173" s="236"/>
      <c r="C173" s="237" t="s">
        <v>566</v>
      </c>
      <c r="D173" s="238"/>
      <c r="E173" s="239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3"/>
      <c r="Z173" s="213"/>
      <c r="AA173" s="213"/>
      <c r="AB173" s="213"/>
      <c r="AC173" s="213"/>
      <c r="AD173" s="213"/>
      <c r="AE173" s="213"/>
      <c r="AF173" s="213"/>
      <c r="AG173" s="213" t="s">
        <v>228</v>
      </c>
      <c r="AH173" s="213">
        <v>0.0</v>
      </c>
      <c r="AI173" s="213"/>
      <c r="AJ173" s="213"/>
      <c r="AK173" s="213"/>
      <c r="AL173" s="213"/>
      <c r="AM173" s="213"/>
      <c r="AN173" s="213"/>
      <c r="AO173" s="213"/>
      <c r="AP173" s="213"/>
      <c r="AQ173" s="213"/>
      <c r="AR173" s="213"/>
      <c r="AS173" s="213"/>
      <c r="AT173" s="213"/>
      <c r="AU173" s="213"/>
      <c r="AV173" s="213"/>
      <c r="AW173" s="213"/>
      <c r="AX173" s="213"/>
      <c r="AY173" s="213"/>
      <c r="AZ173" s="213"/>
      <c r="BA173" s="213"/>
      <c r="BB173" s="213"/>
    </row>
    <row r="174" ht="12.75" customHeight="1" outlineLevel="1">
      <c r="A174" s="235"/>
      <c r="B174" s="236"/>
      <c r="C174" s="237" t="s">
        <v>567</v>
      </c>
      <c r="D174" s="238"/>
      <c r="E174" s="239">
        <v>1.0</v>
      </c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3"/>
      <c r="Z174" s="213"/>
      <c r="AA174" s="213"/>
      <c r="AB174" s="213"/>
      <c r="AC174" s="213"/>
      <c r="AD174" s="213"/>
      <c r="AE174" s="213"/>
      <c r="AF174" s="213"/>
      <c r="AG174" s="213" t="s">
        <v>228</v>
      </c>
      <c r="AH174" s="213">
        <v>0.0</v>
      </c>
      <c r="AI174" s="213"/>
      <c r="AJ174" s="213"/>
      <c r="AK174" s="213"/>
      <c r="AL174" s="213"/>
      <c r="AM174" s="213"/>
      <c r="AN174" s="213"/>
      <c r="AO174" s="213"/>
      <c r="AP174" s="213"/>
      <c r="AQ174" s="213"/>
      <c r="AR174" s="213"/>
      <c r="AS174" s="213"/>
      <c r="AT174" s="213"/>
      <c r="AU174" s="213"/>
      <c r="AV174" s="213"/>
      <c r="AW174" s="213"/>
      <c r="AX174" s="213"/>
      <c r="AY174" s="213"/>
      <c r="AZ174" s="213"/>
      <c r="BA174" s="213"/>
      <c r="BB174" s="213"/>
    </row>
    <row r="175" ht="12.75" customHeight="1" outlineLevel="1">
      <c r="A175" s="214">
        <v>32.0</v>
      </c>
      <c r="B175" s="215" t="s">
        <v>568</v>
      </c>
      <c r="C175" s="216" t="s">
        <v>569</v>
      </c>
      <c r="D175" s="217" t="s">
        <v>224</v>
      </c>
      <c r="E175" s="218">
        <v>2.0</v>
      </c>
      <c r="F175" s="219">
        <v>262.0</v>
      </c>
      <c r="G175" s="220">
        <f>ROUND(E175*F175,2)</f>
        <v>524</v>
      </c>
      <c r="H175" s="211"/>
      <c r="I175" s="212">
        <f>ROUND(E175*H175,2)</f>
        <v>0</v>
      </c>
      <c r="J175" s="211"/>
      <c r="K175" s="212">
        <f>ROUND(E175*J175,2)</f>
        <v>0</v>
      </c>
      <c r="L175" s="212">
        <v>21.0</v>
      </c>
      <c r="M175" s="212">
        <f>G175*(1+L175/100)</f>
        <v>634.04</v>
      </c>
      <c r="N175" s="212">
        <v>0.00418</v>
      </c>
      <c r="O175" s="212">
        <f>ROUND(E175*N175,2)</f>
        <v>0.01</v>
      </c>
      <c r="P175" s="212">
        <v>0.0</v>
      </c>
      <c r="Q175" s="212">
        <f>ROUND(E175*P175,2)</f>
        <v>0</v>
      </c>
      <c r="R175" s="212"/>
      <c r="S175" s="212" t="s">
        <v>184</v>
      </c>
      <c r="T175" s="212" t="s">
        <v>184</v>
      </c>
      <c r="U175" s="212">
        <v>0.963</v>
      </c>
      <c r="V175" s="212">
        <f>ROUND(E175*U175,2)</f>
        <v>1.93</v>
      </c>
      <c r="W175" s="212"/>
      <c r="X175" s="212" t="s">
        <v>225</v>
      </c>
      <c r="Y175" s="213"/>
      <c r="Z175" s="213"/>
      <c r="AA175" s="213"/>
      <c r="AB175" s="213"/>
      <c r="AC175" s="213"/>
      <c r="AD175" s="213"/>
      <c r="AE175" s="213"/>
      <c r="AF175" s="213"/>
      <c r="AG175" s="213" t="s">
        <v>226</v>
      </c>
      <c r="AH175" s="213"/>
      <c r="AI175" s="213"/>
      <c r="AJ175" s="213"/>
      <c r="AK175" s="213"/>
      <c r="AL175" s="213"/>
      <c r="AM175" s="213"/>
      <c r="AN175" s="213"/>
      <c r="AO175" s="213"/>
      <c r="AP175" s="213"/>
      <c r="AQ175" s="213"/>
      <c r="AR175" s="213"/>
      <c r="AS175" s="213"/>
      <c r="AT175" s="213"/>
      <c r="AU175" s="213"/>
      <c r="AV175" s="213"/>
      <c r="AW175" s="213"/>
      <c r="AX175" s="213"/>
      <c r="AY175" s="213"/>
      <c r="AZ175" s="213"/>
      <c r="BA175" s="213"/>
      <c r="BB175" s="213"/>
    </row>
    <row r="176" ht="12.75" customHeight="1" outlineLevel="1">
      <c r="A176" s="235"/>
      <c r="B176" s="236"/>
      <c r="C176" s="237" t="s">
        <v>566</v>
      </c>
      <c r="D176" s="238"/>
      <c r="E176" s="239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3"/>
      <c r="Z176" s="213"/>
      <c r="AA176" s="213"/>
      <c r="AB176" s="213"/>
      <c r="AC176" s="213"/>
      <c r="AD176" s="213"/>
      <c r="AE176" s="213"/>
      <c r="AF176" s="213"/>
      <c r="AG176" s="213" t="s">
        <v>228</v>
      </c>
      <c r="AH176" s="213">
        <v>0.0</v>
      </c>
      <c r="AI176" s="213"/>
      <c r="AJ176" s="213"/>
      <c r="AK176" s="213"/>
      <c r="AL176" s="213"/>
      <c r="AM176" s="213"/>
      <c r="AN176" s="213"/>
      <c r="AO176" s="213"/>
      <c r="AP176" s="213"/>
      <c r="AQ176" s="213"/>
      <c r="AR176" s="213"/>
      <c r="AS176" s="213"/>
      <c r="AT176" s="213"/>
      <c r="AU176" s="213"/>
      <c r="AV176" s="213"/>
      <c r="AW176" s="213"/>
      <c r="AX176" s="213"/>
      <c r="AY176" s="213"/>
      <c r="AZ176" s="213"/>
      <c r="BA176" s="213"/>
      <c r="BB176" s="213"/>
    </row>
    <row r="177" ht="12.75" customHeight="1" outlineLevel="1">
      <c r="A177" s="235"/>
      <c r="B177" s="236"/>
      <c r="C177" s="237" t="s">
        <v>571</v>
      </c>
      <c r="D177" s="238"/>
      <c r="E177" s="239">
        <v>2.0</v>
      </c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3"/>
      <c r="Z177" s="213"/>
      <c r="AA177" s="213"/>
      <c r="AB177" s="213"/>
      <c r="AC177" s="213"/>
      <c r="AD177" s="213"/>
      <c r="AE177" s="213"/>
      <c r="AF177" s="213"/>
      <c r="AG177" s="213" t="s">
        <v>228</v>
      </c>
      <c r="AH177" s="213">
        <v>0.0</v>
      </c>
      <c r="AI177" s="213"/>
      <c r="AJ177" s="213"/>
      <c r="AK177" s="213"/>
      <c r="AL177" s="213"/>
      <c r="AM177" s="213"/>
      <c r="AN177" s="213"/>
      <c r="AO177" s="213"/>
      <c r="AP177" s="213"/>
      <c r="AQ177" s="213"/>
      <c r="AR177" s="213"/>
      <c r="AS177" s="213"/>
      <c r="AT177" s="213"/>
      <c r="AU177" s="213"/>
      <c r="AV177" s="213"/>
      <c r="AW177" s="213"/>
      <c r="AX177" s="213"/>
      <c r="AY177" s="213"/>
      <c r="AZ177" s="213"/>
      <c r="BA177" s="213"/>
      <c r="BB177" s="213"/>
    </row>
    <row r="178" ht="12.75" customHeight="1" outlineLevel="1">
      <c r="A178" s="214">
        <v>33.0</v>
      </c>
      <c r="B178" s="215" t="s">
        <v>1314</v>
      </c>
      <c r="C178" s="216" t="s">
        <v>1315</v>
      </c>
      <c r="D178" s="217" t="s">
        <v>372</v>
      </c>
      <c r="E178" s="218">
        <v>1.0</v>
      </c>
      <c r="F178" s="219">
        <v>1611.2</v>
      </c>
      <c r="G178" s="220">
        <f>ROUND(E178*F178,2)</f>
        <v>1611.2</v>
      </c>
      <c r="H178" s="211"/>
      <c r="I178" s="212">
        <f>ROUND(E178*H178,2)</f>
        <v>0</v>
      </c>
      <c r="J178" s="211"/>
      <c r="K178" s="212">
        <f>ROUND(E178*J178,2)</f>
        <v>0</v>
      </c>
      <c r="L178" s="212">
        <v>21.0</v>
      </c>
      <c r="M178" s="212">
        <f>G178*(1+L178/100)</f>
        <v>1949.552</v>
      </c>
      <c r="N178" s="212">
        <v>0.01605</v>
      </c>
      <c r="O178" s="212">
        <f>ROUND(E178*N178,2)</f>
        <v>0.02</v>
      </c>
      <c r="P178" s="212">
        <v>0.0</v>
      </c>
      <c r="Q178" s="212">
        <f>ROUND(E178*P178,2)</f>
        <v>0</v>
      </c>
      <c r="R178" s="212" t="s">
        <v>322</v>
      </c>
      <c r="S178" s="212" t="s">
        <v>184</v>
      </c>
      <c r="T178" s="212" t="s">
        <v>184</v>
      </c>
      <c r="U178" s="212">
        <v>0.0</v>
      </c>
      <c r="V178" s="212">
        <f>ROUND(E178*U178,2)</f>
        <v>0</v>
      </c>
      <c r="W178" s="212"/>
      <c r="X178" s="212" t="s">
        <v>323</v>
      </c>
      <c r="Y178" s="213"/>
      <c r="Z178" s="213"/>
      <c r="AA178" s="213"/>
      <c r="AB178" s="213"/>
      <c r="AC178" s="213"/>
      <c r="AD178" s="213"/>
      <c r="AE178" s="213"/>
      <c r="AF178" s="213"/>
      <c r="AG178" s="213" t="s">
        <v>324</v>
      </c>
      <c r="AH178" s="213"/>
      <c r="AI178" s="213"/>
      <c r="AJ178" s="213"/>
      <c r="AK178" s="213"/>
      <c r="AL178" s="213"/>
      <c r="AM178" s="213"/>
      <c r="AN178" s="213"/>
      <c r="AO178" s="213"/>
      <c r="AP178" s="213"/>
      <c r="AQ178" s="213"/>
      <c r="AR178" s="213"/>
      <c r="AS178" s="213"/>
      <c r="AT178" s="213"/>
      <c r="AU178" s="213"/>
      <c r="AV178" s="213"/>
      <c r="AW178" s="213"/>
      <c r="AX178" s="213"/>
      <c r="AY178" s="213"/>
      <c r="AZ178" s="213"/>
      <c r="BA178" s="213"/>
      <c r="BB178" s="213"/>
    </row>
    <row r="179" ht="12.75" customHeight="1" outlineLevel="1">
      <c r="A179" s="235"/>
      <c r="B179" s="236"/>
      <c r="C179" s="237" t="s">
        <v>1289</v>
      </c>
      <c r="D179" s="238"/>
      <c r="E179" s="239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3"/>
      <c r="Z179" s="213"/>
      <c r="AA179" s="213"/>
      <c r="AB179" s="213"/>
      <c r="AC179" s="213"/>
      <c r="AD179" s="213"/>
      <c r="AE179" s="213"/>
      <c r="AF179" s="213"/>
      <c r="AG179" s="213" t="s">
        <v>228</v>
      </c>
      <c r="AH179" s="213">
        <v>0.0</v>
      </c>
      <c r="AI179" s="213"/>
      <c r="AJ179" s="213"/>
      <c r="AK179" s="213"/>
      <c r="AL179" s="213"/>
      <c r="AM179" s="213"/>
      <c r="AN179" s="213"/>
      <c r="AO179" s="213"/>
      <c r="AP179" s="213"/>
      <c r="AQ179" s="213"/>
      <c r="AR179" s="213"/>
      <c r="AS179" s="213"/>
      <c r="AT179" s="213"/>
      <c r="AU179" s="213"/>
      <c r="AV179" s="213"/>
      <c r="AW179" s="213"/>
      <c r="AX179" s="213"/>
      <c r="AY179" s="213"/>
      <c r="AZ179" s="213"/>
      <c r="BA179" s="213"/>
      <c r="BB179" s="213"/>
    </row>
    <row r="180" ht="12.75" customHeight="1" outlineLevel="1">
      <c r="A180" s="235"/>
      <c r="B180" s="236"/>
      <c r="C180" s="237" t="s">
        <v>374</v>
      </c>
      <c r="D180" s="238"/>
      <c r="E180" s="239">
        <v>1.0</v>
      </c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3"/>
      <c r="Z180" s="213"/>
      <c r="AA180" s="213"/>
      <c r="AB180" s="213"/>
      <c r="AC180" s="213"/>
      <c r="AD180" s="213"/>
      <c r="AE180" s="213"/>
      <c r="AF180" s="213"/>
      <c r="AG180" s="213" t="s">
        <v>228</v>
      </c>
      <c r="AH180" s="213">
        <v>0.0</v>
      </c>
      <c r="AI180" s="213"/>
      <c r="AJ180" s="213"/>
      <c r="AK180" s="213"/>
      <c r="AL180" s="213"/>
      <c r="AM180" s="213"/>
      <c r="AN180" s="213"/>
      <c r="AO180" s="213"/>
      <c r="AP180" s="213"/>
      <c r="AQ180" s="213"/>
      <c r="AR180" s="213"/>
      <c r="AS180" s="213"/>
      <c r="AT180" s="213"/>
      <c r="AU180" s="213"/>
      <c r="AV180" s="213"/>
      <c r="AW180" s="213"/>
      <c r="AX180" s="213"/>
      <c r="AY180" s="213"/>
      <c r="AZ180" s="213"/>
      <c r="BA180" s="213"/>
      <c r="BB180" s="213"/>
    </row>
    <row r="181" ht="12.75" customHeight="1" outlineLevel="1">
      <c r="A181" s="214">
        <v>34.0</v>
      </c>
      <c r="B181" s="215" t="s">
        <v>1434</v>
      </c>
      <c r="C181" s="216" t="s">
        <v>1435</v>
      </c>
      <c r="D181" s="217" t="s">
        <v>372</v>
      </c>
      <c r="E181" s="218">
        <v>1.0</v>
      </c>
      <c r="F181" s="219">
        <v>2391.4</v>
      </c>
      <c r="G181" s="220">
        <f>ROUND(E181*F181,2)</f>
        <v>2391.4</v>
      </c>
      <c r="H181" s="211"/>
      <c r="I181" s="212">
        <f>ROUND(E181*H181,2)</f>
        <v>0</v>
      </c>
      <c r="J181" s="211"/>
      <c r="K181" s="212">
        <f>ROUND(E181*J181,2)</f>
        <v>0</v>
      </c>
      <c r="L181" s="212">
        <v>21.0</v>
      </c>
      <c r="M181" s="212">
        <f>G181*(1+L181/100)</f>
        <v>2893.594</v>
      </c>
      <c r="N181" s="212">
        <v>0.02337</v>
      </c>
      <c r="O181" s="212">
        <f>ROUND(E181*N181,2)</f>
        <v>0.02</v>
      </c>
      <c r="P181" s="212">
        <v>0.0</v>
      </c>
      <c r="Q181" s="212">
        <f>ROUND(E181*P181,2)</f>
        <v>0</v>
      </c>
      <c r="R181" s="212" t="s">
        <v>322</v>
      </c>
      <c r="S181" s="212" t="s">
        <v>184</v>
      </c>
      <c r="T181" s="212" t="s">
        <v>184</v>
      </c>
      <c r="U181" s="212">
        <v>0.0</v>
      </c>
      <c r="V181" s="212">
        <f>ROUND(E181*U181,2)</f>
        <v>0</v>
      </c>
      <c r="W181" s="212"/>
      <c r="X181" s="212" t="s">
        <v>323</v>
      </c>
      <c r="Y181" s="213"/>
      <c r="Z181" s="213"/>
      <c r="AA181" s="213"/>
      <c r="AB181" s="213"/>
      <c r="AC181" s="213"/>
      <c r="AD181" s="213"/>
      <c r="AE181" s="213"/>
      <c r="AF181" s="213"/>
      <c r="AG181" s="213" t="s">
        <v>324</v>
      </c>
      <c r="AH181" s="213"/>
      <c r="AI181" s="213"/>
      <c r="AJ181" s="213"/>
      <c r="AK181" s="213"/>
      <c r="AL181" s="213"/>
      <c r="AM181" s="213"/>
      <c r="AN181" s="213"/>
      <c r="AO181" s="213"/>
      <c r="AP181" s="213"/>
      <c r="AQ181" s="213"/>
      <c r="AR181" s="213"/>
      <c r="AS181" s="213"/>
      <c r="AT181" s="213"/>
      <c r="AU181" s="213"/>
      <c r="AV181" s="213"/>
      <c r="AW181" s="213"/>
      <c r="AX181" s="213"/>
      <c r="AY181" s="213"/>
      <c r="AZ181" s="213"/>
      <c r="BA181" s="213"/>
      <c r="BB181" s="213"/>
    </row>
    <row r="182" ht="12.75" customHeight="1" outlineLevel="1">
      <c r="A182" s="235"/>
      <c r="B182" s="236"/>
      <c r="C182" s="237" t="s">
        <v>1293</v>
      </c>
      <c r="D182" s="238"/>
      <c r="E182" s="239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3"/>
      <c r="Z182" s="213"/>
      <c r="AA182" s="213"/>
      <c r="AB182" s="213"/>
      <c r="AC182" s="213"/>
      <c r="AD182" s="213"/>
      <c r="AE182" s="213"/>
      <c r="AF182" s="213"/>
      <c r="AG182" s="213" t="s">
        <v>228</v>
      </c>
      <c r="AH182" s="213">
        <v>0.0</v>
      </c>
      <c r="AI182" s="213"/>
      <c r="AJ182" s="213"/>
      <c r="AK182" s="213"/>
      <c r="AL182" s="213"/>
      <c r="AM182" s="213"/>
      <c r="AN182" s="213"/>
      <c r="AO182" s="213"/>
      <c r="AP182" s="213"/>
      <c r="AQ182" s="213"/>
      <c r="AR182" s="213"/>
      <c r="AS182" s="213"/>
      <c r="AT182" s="213"/>
      <c r="AU182" s="213"/>
      <c r="AV182" s="213"/>
      <c r="AW182" s="213"/>
      <c r="AX182" s="213"/>
      <c r="AY182" s="213"/>
      <c r="AZ182" s="213"/>
      <c r="BA182" s="213"/>
      <c r="BB182" s="213"/>
    </row>
    <row r="183" ht="12.75" customHeight="1" outlineLevel="1">
      <c r="A183" s="235"/>
      <c r="B183" s="236"/>
      <c r="C183" s="237" t="s">
        <v>374</v>
      </c>
      <c r="D183" s="238"/>
      <c r="E183" s="239">
        <v>1.0</v>
      </c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3"/>
      <c r="Z183" s="213"/>
      <c r="AA183" s="213"/>
      <c r="AB183" s="213"/>
      <c r="AC183" s="213"/>
      <c r="AD183" s="213"/>
      <c r="AE183" s="213"/>
      <c r="AF183" s="213"/>
      <c r="AG183" s="213" t="s">
        <v>228</v>
      </c>
      <c r="AH183" s="213">
        <v>0.0</v>
      </c>
      <c r="AI183" s="213"/>
      <c r="AJ183" s="213"/>
      <c r="AK183" s="213"/>
      <c r="AL183" s="213"/>
      <c r="AM183" s="213"/>
      <c r="AN183" s="213"/>
      <c r="AO183" s="213"/>
      <c r="AP183" s="213"/>
      <c r="AQ183" s="213"/>
      <c r="AR183" s="213"/>
      <c r="AS183" s="213"/>
      <c r="AT183" s="213"/>
      <c r="AU183" s="213"/>
      <c r="AV183" s="213"/>
      <c r="AW183" s="213"/>
      <c r="AX183" s="213"/>
      <c r="AY183" s="213"/>
      <c r="AZ183" s="213"/>
      <c r="BA183" s="213"/>
      <c r="BB183" s="213"/>
    </row>
    <row r="184" ht="12.75" customHeight="1" outlineLevel="1">
      <c r="A184" s="214">
        <v>35.0</v>
      </c>
      <c r="B184" s="215" t="s">
        <v>1318</v>
      </c>
      <c r="C184" s="216" t="s">
        <v>1319</v>
      </c>
      <c r="D184" s="217" t="s">
        <v>372</v>
      </c>
      <c r="E184" s="218">
        <v>4.0</v>
      </c>
      <c r="F184" s="219">
        <v>2543.4</v>
      </c>
      <c r="G184" s="220">
        <f>ROUND(E184*F184,2)</f>
        <v>10173.6</v>
      </c>
      <c r="H184" s="211"/>
      <c r="I184" s="212">
        <f>ROUND(E184*H184,2)</f>
        <v>0</v>
      </c>
      <c r="J184" s="211"/>
      <c r="K184" s="212">
        <f>ROUND(E184*J184,2)</f>
        <v>0</v>
      </c>
      <c r="L184" s="212">
        <v>21.0</v>
      </c>
      <c r="M184" s="212">
        <f>G184*(1+L184/100)</f>
        <v>12310.056</v>
      </c>
      <c r="N184" s="212">
        <v>0.03895</v>
      </c>
      <c r="O184" s="212">
        <f>ROUND(E184*N184,2)</f>
        <v>0.16</v>
      </c>
      <c r="P184" s="212">
        <v>0.0</v>
      </c>
      <c r="Q184" s="212">
        <f>ROUND(E184*P184,2)</f>
        <v>0</v>
      </c>
      <c r="R184" s="212" t="s">
        <v>322</v>
      </c>
      <c r="S184" s="212" t="s">
        <v>184</v>
      </c>
      <c r="T184" s="212" t="s">
        <v>184</v>
      </c>
      <c r="U184" s="212">
        <v>0.0</v>
      </c>
      <c r="V184" s="212">
        <f>ROUND(E184*U184,2)</f>
        <v>0</v>
      </c>
      <c r="W184" s="212"/>
      <c r="X184" s="212" t="s">
        <v>323</v>
      </c>
      <c r="Y184" s="213"/>
      <c r="Z184" s="213"/>
      <c r="AA184" s="213"/>
      <c r="AB184" s="213"/>
      <c r="AC184" s="213"/>
      <c r="AD184" s="213"/>
      <c r="AE184" s="213"/>
      <c r="AF184" s="213"/>
      <c r="AG184" s="213" t="s">
        <v>324</v>
      </c>
      <c r="AH184" s="213"/>
      <c r="AI184" s="213"/>
      <c r="AJ184" s="213"/>
      <c r="AK184" s="213"/>
      <c r="AL184" s="213"/>
      <c r="AM184" s="213"/>
      <c r="AN184" s="213"/>
      <c r="AO184" s="213"/>
      <c r="AP184" s="213"/>
      <c r="AQ184" s="213"/>
      <c r="AR184" s="213"/>
      <c r="AS184" s="213"/>
      <c r="AT184" s="213"/>
      <c r="AU184" s="213"/>
      <c r="AV184" s="213"/>
      <c r="AW184" s="213"/>
      <c r="AX184" s="213"/>
      <c r="AY184" s="213"/>
      <c r="AZ184" s="213"/>
      <c r="BA184" s="213"/>
      <c r="BB184" s="213"/>
    </row>
    <row r="185" ht="12.75" customHeight="1" outlineLevel="1">
      <c r="A185" s="235"/>
      <c r="B185" s="236"/>
      <c r="C185" s="237" t="s">
        <v>1293</v>
      </c>
      <c r="D185" s="238"/>
      <c r="E185" s="239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3"/>
      <c r="Z185" s="213"/>
      <c r="AA185" s="213"/>
      <c r="AB185" s="213"/>
      <c r="AC185" s="213"/>
      <c r="AD185" s="213"/>
      <c r="AE185" s="213"/>
      <c r="AF185" s="213"/>
      <c r="AG185" s="213" t="s">
        <v>228</v>
      </c>
      <c r="AH185" s="213">
        <v>0.0</v>
      </c>
      <c r="AI185" s="213"/>
      <c r="AJ185" s="213"/>
      <c r="AK185" s="213"/>
      <c r="AL185" s="213"/>
      <c r="AM185" s="213"/>
      <c r="AN185" s="213"/>
      <c r="AO185" s="213"/>
      <c r="AP185" s="213"/>
      <c r="AQ185" s="213"/>
      <c r="AR185" s="213"/>
      <c r="AS185" s="213"/>
      <c r="AT185" s="213"/>
      <c r="AU185" s="213"/>
      <c r="AV185" s="213"/>
      <c r="AW185" s="213"/>
      <c r="AX185" s="213"/>
      <c r="AY185" s="213"/>
      <c r="AZ185" s="213"/>
      <c r="BA185" s="213"/>
      <c r="BB185" s="213"/>
    </row>
    <row r="186" ht="12.75" customHeight="1" outlineLevel="1">
      <c r="A186" s="235"/>
      <c r="B186" s="236"/>
      <c r="C186" s="237" t="s">
        <v>584</v>
      </c>
      <c r="D186" s="238"/>
      <c r="E186" s="239">
        <v>4.0</v>
      </c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3"/>
      <c r="Z186" s="213"/>
      <c r="AA186" s="213"/>
      <c r="AB186" s="213"/>
      <c r="AC186" s="213"/>
      <c r="AD186" s="213"/>
      <c r="AE186" s="213"/>
      <c r="AF186" s="213"/>
      <c r="AG186" s="213" t="s">
        <v>228</v>
      </c>
      <c r="AH186" s="213">
        <v>0.0</v>
      </c>
      <c r="AI186" s="213"/>
      <c r="AJ186" s="213"/>
      <c r="AK186" s="213"/>
      <c r="AL186" s="213"/>
      <c r="AM186" s="213"/>
      <c r="AN186" s="213"/>
      <c r="AO186" s="213"/>
      <c r="AP186" s="213"/>
      <c r="AQ186" s="213"/>
      <c r="AR186" s="213"/>
      <c r="AS186" s="213"/>
      <c r="AT186" s="213"/>
      <c r="AU186" s="213"/>
      <c r="AV186" s="213"/>
      <c r="AW186" s="213"/>
      <c r="AX186" s="213"/>
      <c r="AY186" s="213"/>
      <c r="AZ186" s="213"/>
      <c r="BA186" s="213"/>
      <c r="BB186" s="213"/>
    </row>
    <row r="187" ht="12.75" customHeight="1">
      <c r="A187" s="196" t="s">
        <v>173</v>
      </c>
      <c r="B187" s="197" t="s">
        <v>108</v>
      </c>
      <c r="C187" s="198" t="s">
        <v>109</v>
      </c>
      <c r="D187" s="199"/>
      <c r="E187" s="200"/>
      <c r="F187" s="201"/>
      <c r="G187" s="202">
        <f>SUMIF(AG188:AG206,"&lt;&gt;NOR",G188:G206)</f>
        <v>46965.7</v>
      </c>
      <c r="H187" s="203"/>
      <c r="I187" s="203">
        <f>SUM(I188:I206)</f>
        <v>0</v>
      </c>
      <c r="J187" s="203"/>
      <c r="K187" s="203">
        <f>SUM(K188:K206)</f>
        <v>0</v>
      </c>
      <c r="L187" s="203"/>
      <c r="M187" s="203">
        <f>SUM(M188:M206)</f>
        <v>56828.497</v>
      </c>
      <c r="N187" s="203"/>
      <c r="O187" s="203">
        <f>SUM(O188:O206)</f>
        <v>3.25</v>
      </c>
      <c r="P187" s="203"/>
      <c r="Q187" s="203">
        <f>SUM(Q188:Q206)</f>
        <v>0</v>
      </c>
      <c r="R187" s="203"/>
      <c r="S187" s="203"/>
      <c r="T187" s="203"/>
      <c r="U187" s="203"/>
      <c r="V187" s="203">
        <f>SUM(V188:V206)</f>
        <v>7.51</v>
      </c>
      <c r="W187" s="203"/>
      <c r="X187" s="203"/>
      <c r="AG187" s="184" t="s">
        <v>174</v>
      </c>
    </row>
    <row r="188" ht="12.75" customHeight="1" outlineLevel="1">
      <c r="A188" s="214">
        <v>36.0</v>
      </c>
      <c r="B188" s="215" t="s">
        <v>577</v>
      </c>
      <c r="C188" s="216" t="s">
        <v>578</v>
      </c>
      <c r="D188" s="217" t="s">
        <v>372</v>
      </c>
      <c r="E188" s="218">
        <v>1.0</v>
      </c>
      <c r="F188" s="219">
        <v>258.5</v>
      </c>
      <c r="G188" s="220">
        <f>ROUND(E188*F188,2)</f>
        <v>258.5</v>
      </c>
      <c r="H188" s="211"/>
      <c r="I188" s="212">
        <f>ROUND(E188*H188,2)</f>
        <v>0</v>
      </c>
      <c r="J188" s="211"/>
      <c r="K188" s="212">
        <f>ROUND(E188*J188,2)</f>
        <v>0</v>
      </c>
      <c r="L188" s="212">
        <v>21.0</v>
      </c>
      <c r="M188" s="212">
        <f>G188*(1+L188/100)</f>
        <v>312.785</v>
      </c>
      <c r="N188" s="212">
        <v>0.0066</v>
      </c>
      <c r="O188" s="212">
        <f>ROUND(E188*N188,2)</f>
        <v>0.01</v>
      </c>
      <c r="P188" s="212">
        <v>0.0</v>
      </c>
      <c r="Q188" s="212">
        <f>ROUND(E188*P188,2)</f>
        <v>0</v>
      </c>
      <c r="R188" s="212"/>
      <c r="S188" s="212" t="s">
        <v>184</v>
      </c>
      <c r="T188" s="212" t="s">
        <v>184</v>
      </c>
      <c r="U188" s="212">
        <v>0.56</v>
      </c>
      <c r="V188" s="212">
        <f>ROUND(E188*U188,2)</f>
        <v>0.56</v>
      </c>
      <c r="W188" s="212"/>
      <c r="X188" s="212" t="s">
        <v>225</v>
      </c>
      <c r="Y188" s="213"/>
      <c r="Z188" s="213"/>
      <c r="AA188" s="213"/>
      <c r="AB188" s="213"/>
      <c r="AC188" s="213"/>
      <c r="AD188" s="213"/>
      <c r="AE188" s="213"/>
      <c r="AF188" s="213"/>
      <c r="AG188" s="213" t="s">
        <v>226</v>
      </c>
      <c r="AH188" s="213"/>
      <c r="AI188" s="213"/>
      <c r="AJ188" s="213"/>
      <c r="AK188" s="213"/>
      <c r="AL188" s="213"/>
      <c r="AM188" s="213"/>
      <c r="AN188" s="213"/>
      <c r="AO188" s="213"/>
      <c r="AP188" s="213"/>
      <c r="AQ188" s="213"/>
      <c r="AR188" s="213"/>
      <c r="AS188" s="213"/>
      <c r="AT188" s="213"/>
      <c r="AU188" s="213"/>
      <c r="AV188" s="213"/>
      <c r="AW188" s="213"/>
      <c r="AX188" s="213"/>
      <c r="AY188" s="213"/>
      <c r="AZ188" s="213"/>
      <c r="BA188" s="213"/>
      <c r="BB188" s="213"/>
    </row>
    <row r="189" ht="12.75" customHeight="1" outlineLevel="1">
      <c r="A189" s="235"/>
      <c r="B189" s="236"/>
      <c r="C189" s="237" t="s">
        <v>374</v>
      </c>
      <c r="D189" s="238"/>
      <c r="E189" s="239">
        <v>1.0</v>
      </c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3"/>
      <c r="Z189" s="213"/>
      <c r="AA189" s="213"/>
      <c r="AB189" s="213"/>
      <c r="AC189" s="213"/>
      <c r="AD189" s="213"/>
      <c r="AE189" s="213"/>
      <c r="AF189" s="213"/>
      <c r="AG189" s="213" t="s">
        <v>228</v>
      </c>
      <c r="AH189" s="213">
        <v>0.0</v>
      </c>
      <c r="AI189" s="213"/>
      <c r="AJ189" s="213"/>
      <c r="AK189" s="213"/>
      <c r="AL189" s="213"/>
      <c r="AM189" s="213"/>
      <c r="AN189" s="213"/>
      <c r="AO189" s="213"/>
      <c r="AP189" s="213"/>
      <c r="AQ189" s="213"/>
      <c r="AR189" s="213"/>
      <c r="AS189" s="213"/>
      <c r="AT189" s="213"/>
      <c r="AU189" s="213"/>
      <c r="AV189" s="213"/>
      <c r="AW189" s="213"/>
      <c r="AX189" s="213"/>
      <c r="AY189" s="213"/>
      <c r="AZ189" s="213"/>
      <c r="BA189" s="213"/>
      <c r="BB189" s="213"/>
    </row>
    <row r="190" ht="12.75" customHeight="1" outlineLevel="1">
      <c r="A190" s="214">
        <v>37.0</v>
      </c>
      <c r="B190" s="215" t="s">
        <v>370</v>
      </c>
      <c r="C190" s="216" t="s">
        <v>580</v>
      </c>
      <c r="D190" s="217" t="s">
        <v>224</v>
      </c>
      <c r="E190" s="218">
        <v>0.2</v>
      </c>
      <c r="F190" s="219">
        <v>4125.0</v>
      </c>
      <c r="G190" s="220">
        <f>ROUND(E190*F190,2)</f>
        <v>825</v>
      </c>
      <c r="H190" s="211"/>
      <c r="I190" s="212">
        <f>ROUND(E190*H190,2)</f>
        <v>0</v>
      </c>
      <c r="J190" s="211"/>
      <c r="K190" s="212">
        <f>ROUND(E190*J190,2)</f>
        <v>0</v>
      </c>
      <c r="L190" s="212">
        <v>21.0</v>
      </c>
      <c r="M190" s="212">
        <f>G190*(1+L190/100)</f>
        <v>998.25</v>
      </c>
      <c r="N190" s="212">
        <v>0.0</v>
      </c>
      <c r="O190" s="212">
        <f>ROUND(E190*N190,2)</f>
        <v>0</v>
      </c>
      <c r="P190" s="212">
        <v>0.0</v>
      </c>
      <c r="Q190" s="212">
        <f>ROUND(E190*P190,2)</f>
        <v>0</v>
      </c>
      <c r="R190" s="212"/>
      <c r="S190" s="212" t="s">
        <v>178</v>
      </c>
      <c r="T190" s="212" t="s">
        <v>179</v>
      </c>
      <c r="U190" s="212">
        <v>0.0</v>
      </c>
      <c r="V190" s="212">
        <f>ROUND(E190*U190,2)</f>
        <v>0</v>
      </c>
      <c r="W190" s="212"/>
      <c r="X190" s="212" t="s">
        <v>225</v>
      </c>
      <c r="Y190" s="213"/>
      <c r="Z190" s="213"/>
      <c r="AA190" s="213"/>
      <c r="AB190" s="213"/>
      <c r="AC190" s="213"/>
      <c r="AD190" s="213"/>
      <c r="AE190" s="213"/>
      <c r="AF190" s="213"/>
      <c r="AG190" s="213" t="s">
        <v>226</v>
      </c>
      <c r="AH190" s="213"/>
      <c r="AI190" s="213"/>
      <c r="AJ190" s="213"/>
      <c r="AK190" s="213"/>
      <c r="AL190" s="213"/>
      <c r="AM190" s="213"/>
      <c r="AN190" s="213"/>
      <c r="AO190" s="213"/>
      <c r="AP190" s="213"/>
      <c r="AQ190" s="213"/>
      <c r="AR190" s="213"/>
      <c r="AS190" s="213"/>
      <c r="AT190" s="213"/>
      <c r="AU190" s="213"/>
      <c r="AV190" s="213"/>
      <c r="AW190" s="213"/>
      <c r="AX190" s="213"/>
      <c r="AY190" s="213"/>
      <c r="AZ190" s="213"/>
      <c r="BA190" s="213"/>
      <c r="BB190" s="213"/>
    </row>
    <row r="191" ht="12.75" customHeight="1" outlineLevel="1">
      <c r="A191" s="235"/>
      <c r="B191" s="236"/>
      <c r="C191" s="237" t="s">
        <v>562</v>
      </c>
      <c r="D191" s="238"/>
      <c r="E191" s="239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3"/>
      <c r="Z191" s="213"/>
      <c r="AA191" s="213"/>
      <c r="AB191" s="213"/>
      <c r="AC191" s="213"/>
      <c r="AD191" s="213"/>
      <c r="AE191" s="213"/>
      <c r="AF191" s="213"/>
      <c r="AG191" s="213" t="s">
        <v>228</v>
      </c>
      <c r="AH191" s="213">
        <v>0.0</v>
      </c>
      <c r="AI191" s="213"/>
      <c r="AJ191" s="213"/>
      <c r="AK191" s="213"/>
      <c r="AL191" s="213"/>
      <c r="AM191" s="213"/>
      <c r="AN191" s="213"/>
      <c r="AO191" s="213"/>
      <c r="AP191" s="213"/>
      <c r="AQ191" s="213"/>
      <c r="AR191" s="213"/>
      <c r="AS191" s="213"/>
      <c r="AT191" s="213"/>
      <c r="AU191" s="213"/>
      <c r="AV191" s="213"/>
      <c r="AW191" s="213"/>
      <c r="AX191" s="213"/>
      <c r="AY191" s="213"/>
      <c r="AZ191" s="213"/>
      <c r="BA191" s="213"/>
      <c r="BB191" s="213"/>
    </row>
    <row r="192" ht="12.75" customHeight="1" outlineLevel="1">
      <c r="A192" s="235"/>
      <c r="B192" s="236"/>
      <c r="C192" s="237" t="s">
        <v>1436</v>
      </c>
      <c r="D192" s="238"/>
      <c r="E192" s="239">
        <v>0.2</v>
      </c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3"/>
      <c r="Z192" s="213"/>
      <c r="AA192" s="213"/>
      <c r="AB192" s="213"/>
      <c r="AC192" s="213"/>
      <c r="AD192" s="213"/>
      <c r="AE192" s="213"/>
      <c r="AF192" s="213"/>
      <c r="AG192" s="213" t="s">
        <v>228</v>
      </c>
      <c r="AH192" s="213">
        <v>0.0</v>
      </c>
      <c r="AI192" s="213"/>
      <c r="AJ192" s="213"/>
      <c r="AK192" s="213"/>
      <c r="AL192" s="213"/>
      <c r="AM192" s="213"/>
      <c r="AN192" s="213"/>
      <c r="AO192" s="213"/>
      <c r="AP192" s="213"/>
      <c r="AQ192" s="213"/>
      <c r="AR192" s="213"/>
      <c r="AS192" s="213"/>
      <c r="AT192" s="213"/>
      <c r="AU192" s="213"/>
      <c r="AV192" s="213"/>
      <c r="AW192" s="213"/>
      <c r="AX192" s="213"/>
      <c r="AY192" s="213"/>
      <c r="AZ192" s="213"/>
      <c r="BA192" s="213"/>
      <c r="BB192" s="213"/>
    </row>
    <row r="193" ht="12.75" customHeight="1" outlineLevel="1">
      <c r="A193" s="214">
        <v>38.0</v>
      </c>
      <c r="B193" s="215" t="s">
        <v>375</v>
      </c>
      <c r="C193" s="216" t="s">
        <v>1337</v>
      </c>
      <c r="D193" s="217" t="s">
        <v>372</v>
      </c>
      <c r="E193" s="218">
        <v>2.0</v>
      </c>
      <c r="F193" s="219">
        <v>11683.4</v>
      </c>
      <c r="G193" s="220">
        <f>ROUND(E193*F193,2)</f>
        <v>23366.8</v>
      </c>
      <c r="H193" s="211"/>
      <c r="I193" s="212">
        <f>ROUND(E193*H193,2)</f>
        <v>0</v>
      </c>
      <c r="J193" s="211"/>
      <c r="K193" s="212">
        <f>ROUND(E193*J193,2)</f>
        <v>0</v>
      </c>
      <c r="L193" s="212">
        <v>21.0</v>
      </c>
      <c r="M193" s="212">
        <f>G193*(1+L193/100)</f>
        <v>28273.828</v>
      </c>
      <c r="N193" s="212">
        <v>0.3</v>
      </c>
      <c r="O193" s="212">
        <f>ROUND(E193*N193,2)</f>
        <v>0.6</v>
      </c>
      <c r="P193" s="212">
        <v>0.0</v>
      </c>
      <c r="Q193" s="212">
        <f>ROUND(E193*P193,2)</f>
        <v>0</v>
      </c>
      <c r="R193" s="212"/>
      <c r="S193" s="212" t="s">
        <v>178</v>
      </c>
      <c r="T193" s="212" t="s">
        <v>179</v>
      </c>
      <c r="U193" s="212">
        <v>0.0</v>
      </c>
      <c r="V193" s="212">
        <f>ROUND(E193*U193,2)</f>
        <v>0</v>
      </c>
      <c r="W193" s="212"/>
      <c r="X193" s="212" t="s">
        <v>225</v>
      </c>
      <c r="Y193" s="213"/>
      <c r="Z193" s="213"/>
      <c r="AA193" s="213"/>
      <c r="AB193" s="213"/>
      <c r="AC193" s="213"/>
      <c r="AD193" s="213"/>
      <c r="AE193" s="213"/>
      <c r="AF193" s="213"/>
      <c r="AG193" s="213" t="s">
        <v>226</v>
      </c>
      <c r="AH193" s="213"/>
      <c r="AI193" s="213"/>
      <c r="AJ193" s="213"/>
      <c r="AK193" s="213"/>
      <c r="AL193" s="213"/>
      <c r="AM193" s="213"/>
      <c r="AN193" s="213"/>
      <c r="AO193" s="213"/>
      <c r="AP193" s="213"/>
      <c r="AQ193" s="213"/>
      <c r="AR193" s="213"/>
      <c r="AS193" s="213"/>
      <c r="AT193" s="213"/>
      <c r="AU193" s="213"/>
      <c r="AV193" s="213"/>
      <c r="AW193" s="213"/>
      <c r="AX193" s="213"/>
      <c r="AY193" s="213"/>
      <c r="AZ193" s="213"/>
      <c r="BA193" s="213"/>
      <c r="BB193" s="213"/>
    </row>
    <row r="194" ht="12.75" customHeight="1" outlineLevel="1">
      <c r="A194" s="235"/>
      <c r="B194" s="236"/>
      <c r="C194" s="237" t="s">
        <v>1437</v>
      </c>
      <c r="D194" s="238"/>
      <c r="E194" s="239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3"/>
      <c r="Z194" s="213"/>
      <c r="AA194" s="213"/>
      <c r="AB194" s="213"/>
      <c r="AC194" s="213"/>
      <c r="AD194" s="213"/>
      <c r="AE194" s="213"/>
      <c r="AF194" s="213"/>
      <c r="AG194" s="213" t="s">
        <v>228</v>
      </c>
      <c r="AH194" s="213">
        <v>0.0</v>
      </c>
      <c r="AI194" s="213"/>
      <c r="AJ194" s="213"/>
      <c r="AK194" s="213"/>
      <c r="AL194" s="213"/>
      <c r="AM194" s="213"/>
      <c r="AN194" s="213"/>
      <c r="AO194" s="213"/>
      <c r="AP194" s="213"/>
      <c r="AQ194" s="213"/>
      <c r="AR194" s="213"/>
      <c r="AS194" s="213"/>
      <c r="AT194" s="213"/>
      <c r="AU194" s="213"/>
      <c r="AV194" s="213"/>
      <c r="AW194" s="213"/>
      <c r="AX194" s="213"/>
      <c r="AY194" s="213"/>
      <c r="AZ194" s="213"/>
      <c r="BA194" s="213"/>
      <c r="BB194" s="213"/>
    </row>
    <row r="195" ht="12.75" customHeight="1" outlineLevel="1">
      <c r="A195" s="235"/>
      <c r="B195" s="236"/>
      <c r="C195" s="237" t="s">
        <v>456</v>
      </c>
      <c r="D195" s="238"/>
      <c r="E195" s="239">
        <v>2.0</v>
      </c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3"/>
      <c r="Z195" s="213"/>
      <c r="AA195" s="213"/>
      <c r="AB195" s="213"/>
      <c r="AC195" s="213"/>
      <c r="AD195" s="213"/>
      <c r="AE195" s="213"/>
      <c r="AF195" s="213"/>
      <c r="AG195" s="213" t="s">
        <v>228</v>
      </c>
      <c r="AH195" s="213">
        <v>0.0</v>
      </c>
      <c r="AI195" s="213"/>
      <c r="AJ195" s="213"/>
      <c r="AK195" s="213"/>
      <c r="AL195" s="213"/>
      <c r="AM195" s="213"/>
      <c r="AN195" s="213"/>
      <c r="AO195" s="213"/>
      <c r="AP195" s="213"/>
      <c r="AQ195" s="213"/>
      <c r="AR195" s="213"/>
      <c r="AS195" s="213"/>
      <c r="AT195" s="213"/>
      <c r="AU195" s="213"/>
      <c r="AV195" s="213"/>
      <c r="AW195" s="213"/>
      <c r="AX195" s="213"/>
      <c r="AY195" s="213"/>
      <c r="AZ195" s="213"/>
      <c r="BA195" s="213"/>
      <c r="BB195" s="213"/>
    </row>
    <row r="196" ht="12.75" customHeight="1" outlineLevel="1">
      <c r="A196" s="214">
        <v>39.0</v>
      </c>
      <c r="B196" s="215" t="s">
        <v>582</v>
      </c>
      <c r="C196" s="216" t="s">
        <v>583</v>
      </c>
      <c r="D196" s="217" t="s">
        <v>372</v>
      </c>
      <c r="E196" s="218">
        <v>3.0</v>
      </c>
      <c r="F196" s="219">
        <v>1002.8</v>
      </c>
      <c r="G196" s="220">
        <f>ROUND(E196*F196,2)</f>
        <v>3008.4</v>
      </c>
      <c r="H196" s="211"/>
      <c r="I196" s="212">
        <f>ROUND(E196*H196,2)</f>
        <v>0</v>
      </c>
      <c r="J196" s="211"/>
      <c r="K196" s="212">
        <f>ROUND(E196*J196,2)</f>
        <v>0</v>
      </c>
      <c r="L196" s="212">
        <v>21.0</v>
      </c>
      <c r="M196" s="212">
        <f>G196*(1+L196/100)</f>
        <v>3640.164</v>
      </c>
      <c r="N196" s="212">
        <v>0.0</v>
      </c>
      <c r="O196" s="212">
        <f>ROUND(E196*N196,2)</f>
        <v>0</v>
      </c>
      <c r="P196" s="212">
        <v>0.0</v>
      </c>
      <c r="Q196" s="212">
        <f>ROUND(E196*P196,2)</f>
        <v>0</v>
      </c>
      <c r="R196" s="212"/>
      <c r="S196" s="212" t="s">
        <v>184</v>
      </c>
      <c r="T196" s="212" t="s">
        <v>184</v>
      </c>
      <c r="U196" s="212">
        <v>1.752</v>
      </c>
      <c r="V196" s="212">
        <f>ROUND(E196*U196,2)</f>
        <v>5.26</v>
      </c>
      <c r="W196" s="212"/>
      <c r="X196" s="212" t="s">
        <v>225</v>
      </c>
      <c r="Y196" s="213"/>
      <c r="Z196" s="213"/>
      <c r="AA196" s="213"/>
      <c r="AB196" s="213"/>
      <c r="AC196" s="213"/>
      <c r="AD196" s="213"/>
      <c r="AE196" s="213"/>
      <c r="AF196" s="213"/>
      <c r="AG196" s="213" t="s">
        <v>226</v>
      </c>
      <c r="AH196" s="213"/>
      <c r="AI196" s="213"/>
      <c r="AJ196" s="213"/>
      <c r="AK196" s="213"/>
      <c r="AL196" s="213"/>
      <c r="AM196" s="213"/>
      <c r="AN196" s="213"/>
      <c r="AO196" s="213"/>
      <c r="AP196" s="213"/>
      <c r="AQ196" s="213"/>
      <c r="AR196" s="213"/>
      <c r="AS196" s="213"/>
      <c r="AT196" s="213"/>
      <c r="AU196" s="213"/>
      <c r="AV196" s="213"/>
      <c r="AW196" s="213"/>
      <c r="AX196" s="213"/>
      <c r="AY196" s="213"/>
      <c r="AZ196" s="213"/>
      <c r="BA196" s="213"/>
      <c r="BB196" s="213"/>
    </row>
    <row r="197" ht="12.75" customHeight="1" outlineLevel="1">
      <c r="A197" s="235"/>
      <c r="B197" s="236"/>
      <c r="C197" s="237" t="s">
        <v>459</v>
      </c>
      <c r="D197" s="238"/>
      <c r="E197" s="239">
        <v>3.0</v>
      </c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3"/>
      <c r="Z197" s="213"/>
      <c r="AA197" s="213"/>
      <c r="AB197" s="213"/>
      <c r="AC197" s="213"/>
      <c r="AD197" s="213"/>
      <c r="AE197" s="213"/>
      <c r="AF197" s="213"/>
      <c r="AG197" s="213" t="s">
        <v>228</v>
      </c>
      <c r="AH197" s="213">
        <v>0.0</v>
      </c>
      <c r="AI197" s="213"/>
      <c r="AJ197" s="213"/>
      <c r="AK197" s="213"/>
      <c r="AL197" s="213"/>
      <c r="AM197" s="213"/>
      <c r="AN197" s="213"/>
      <c r="AO197" s="213"/>
      <c r="AP197" s="213"/>
      <c r="AQ197" s="213"/>
      <c r="AR197" s="213"/>
      <c r="AS197" s="213"/>
      <c r="AT197" s="213"/>
      <c r="AU197" s="213"/>
      <c r="AV197" s="213"/>
      <c r="AW197" s="213"/>
      <c r="AX197" s="213"/>
      <c r="AY197" s="213"/>
      <c r="AZ197" s="213"/>
      <c r="BA197" s="213"/>
      <c r="BB197" s="213"/>
    </row>
    <row r="198" ht="12.75" customHeight="1" outlineLevel="1">
      <c r="A198" s="204">
        <v>40.0</v>
      </c>
      <c r="B198" s="205" t="s">
        <v>585</v>
      </c>
      <c r="C198" s="206" t="s">
        <v>586</v>
      </c>
      <c r="D198" s="207" t="s">
        <v>372</v>
      </c>
      <c r="E198" s="208">
        <v>1.0</v>
      </c>
      <c r="F198" s="209">
        <v>1387.0</v>
      </c>
      <c r="G198" s="210">
        <f t="shared" ref="G198:G199" si="15">ROUND(E198*F198,2)</f>
        <v>1387</v>
      </c>
      <c r="H198" s="211"/>
      <c r="I198" s="212">
        <f t="shared" ref="I198:I199" si="16">ROUND(E198*H198,2)</f>
        <v>0</v>
      </c>
      <c r="J198" s="211"/>
      <c r="K198" s="212">
        <f t="shared" ref="K198:K199" si="17">ROUND(E198*J198,2)</f>
        <v>0</v>
      </c>
      <c r="L198" s="212">
        <v>21.0</v>
      </c>
      <c r="M198" s="212">
        <f t="shared" ref="M198:M199" si="18">G198*(1+L198/100)</f>
        <v>1678.27</v>
      </c>
      <c r="N198" s="212">
        <v>0.00702</v>
      </c>
      <c r="O198" s="212">
        <f t="shared" ref="O198:O199" si="19">ROUND(E198*N198,2)</f>
        <v>0.01</v>
      </c>
      <c r="P198" s="212">
        <v>0.0</v>
      </c>
      <c r="Q198" s="212">
        <f t="shared" ref="Q198:Q199" si="20">ROUND(E198*P198,2)</f>
        <v>0</v>
      </c>
      <c r="R198" s="212"/>
      <c r="S198" s="212" t="s">
        <v>184</v>
      </c>
      <c r="T198" s="212" t="s">
        <v>184</v>
      </c>
      <c r="U198" s="212">
        <v>1.694</v>
      </c>
      <c r="V198" s="212">
        <f t="shared" ref="V198:V199" si="21">ROUND(E198*U198,2)</f>
        <v>1.69</v>
      </c>
      <c r="W198" s="212"/>
      <c r="X198" s="212" t="s">
        <v>225</v>
      </c>
      <c r="Y198" s="213"/>
      <c r="Z198" s="213"/>
      <c r="AA198" s="213"/>
      <c r="AB198" s="213"/>
      <c r="AC198" s="213"/>
      <c r="AD198" s="213"/>
      <c r="AE198" s="213"/>
      <c r="AF198" s="213"/>
      <c r="AG198" s="213" t="s">
        <v>226</v>
      </c>
      <c r="AH198" s="213"/>
      <c r="AI198" s="213"/>
      <c r="AJ198" s="213"/>
      <c r="AK198" s="213"/>
      <c r="AL198" s="213"/>
      <c r="AM198" s="213"/>
      <c r="AN198" s="213"/>
      <c r="AO198" s="213"/>
      <c r="AP198" s="213"/>
      <c r="AQ198" s="213"/>
      <c r="AR198" s="213"/>
      <c r="AS198" s="213"/>
      <c r="AT198" s="213"/>
      <c r="AU198" s="213"/>
      <c r="AV198" s="213"/>
      <c r="AW198" s="213"/>
      <c r="AX198" s="213"/>
      <c r="AY198" s="213"/>
      <c r="AZ198" s="213"/>
      <c r="BA198" s="213"/>
      <c r="BB198" s="213"/>
    </row>
    <row r="199" ht="12.75" customHeight="1" outlineLevel="1">
      <c r="A199" s="214">
        <v>41.0</v>
      </c>
      <c r="B199" s="215" t="s">
        <v>587</v>
      </c>
      <c r="C199" s="216" t="s">
        <v>588</v>
      </c>
      <c r="D199" s="217" t="s">
        <v>372</v>
      </c>
      <c r="E199" s="218">
        <v>1.0</v>
      </c>
      <c r="F199" s="219">
        <v>4350.5</v>
      </c>
      <c r="G199" s="220">
        <f t="shared" si="15"/>
        <v>4350.5</v>
      </c>
      <c r="H199" s="211"/>
      <c r="I199" s="212">
        <f t="shared" si="16"/>
        <v>0</v>
      </c>
      <c r="J199" s="211"/>
      <c r="K199" s="212">
        <f t="shared" si="17"/>
        <v>0</v>
      </c>
      <c r="L199" s="212">
        <v>21.0</v>
      </c>
      <c r="M199" s="212">
        <f t="shared" si="18"/>
        <v>5264.105</v>
      </c>
      <c r="N199" s="212">
        <v>0.162</v>
      </c>
      <c r="O199" s="212">
        <f t="shared" si="19"/>
        <v>0.16</v>
      </c>
      <c r="P199" s="212">
        <v>0.0</v>
      </c>
      <c r="Q199" s="212">
        <f t="shared" si="20"/>
        <v>0</v>
      </c>
      <c r="R199" s="212" t="s">
        <v>322</v>
      </c>
      <c r="S199" s="212" t="s">
        <v>184</v>
      </c>
      <c r="T199" s="212" t="s">
        <v>184</v>
      </c>
      <c r="U199" s="212">
        <v>0.0</v>
      </c>
      <c r="V199" s="212">
        <f t="shared" si="21"/>
        <v>0</v>
      </c>
      <c r="W199" s="212"/>
      <c r="X199" s="212" t="s">
        <v>323</v>
      </c>
      <c r="Y199" s="213"/>
      <c r="Z199" s="213"/>
      <c r="AA199" s="213"/>
      <c r="AB199" s="213"/>
      <c r="AC199" s="213"/>
      <c r="AD199" s="213"/>
      <c r="AE199" s="213"/>
      <c r="AF199" s="213"/>
      <c r="AG199" s="213" t="s">
        <v>324</v>
      </c>
      <c r="AH199" s="213"/>
      <c r="AI199" s="213"/>
      <c r="AJ199" s="213"/>
      <c r="AK199" s="213"/>
      <c r="AL199" s="213"/>
      <c r="AM199" s="213"/>
      <c r="AN199" s="213"/>
      <c r="AO199" s="213"/>
      <c r="AP199" s="213"/>
      <c r="AQ199" s="213"/>
      <c r="AR199" s="213"/>
      <c r="AS199" s="213"/>
      <c r="AT199" s="213"/>
      <c r="AU199" s="213"/>
      <c r="AV199" s="213"/>
      <c r="AW199" s="213"/>
      <c r="AX199" s="213"/>
      <c r="AY199" s="213"/>
      <c r="AZ199" s="213"/>
      <c r="BA199" s="213"/>
      <c r="BB199" s="213"/>
    </row>
    <row r="200" ht="12.75" customHeight="1" outlineLevel="1">
      <c r="A200" s="235"/>
      <c r="B200" s="236"/>
      <c r="C200" s="237" t="s">
        <v>589</v>
      </c>
      <c r="D200" s="238"/>
      <c r="E200" s="239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3"/>
      <c r="Z200" s="213"/>
      <c r="AA200" s="213"/>
      <c r="AB200" s="213"/>
      <c r="AC200" s="213"/>
      <c r="AD200" s="213"/>
      <c r="AE200" s="213"/>
      <c r="AF200" s="213"/>
      <c r="AG200" s="213" t="s">
        <v>228</v>
      </c>
      <c r="AH200" s="213">
        <v>0.0</v>
      </c>
      <c r="AI200" s="213"/>
      <c r="AJ200" s="213"/>
      <c r="AK200" s="213"/>
      <c r="AL200" s="213"/>
      <c r="AM200" s="213"/>
      <c r="AN200" s="213"/>
      <c r="AO200" s="213"/>
      <c r="AP200" s="213"/>
      <c r="AQ200" s="213"/>
      <c r="AR200" s="213"/>
      <c r="AS200" s="213"/>
      <c r="AT200" s="213"/>
      <c r="AU200" s="213"/>
      <c r="AV200" s="213"/>
      <c r="AW200" s="213"/>
      <c r="AX200" s="213"/>
      <c r="AY200" s="213"/>
      <c r="AZ200" s="213"/>
      <c r="BA200" s="213"/>
      <c r="BB200" s="213"/>
    </row>
    <row r="201" ht="12.75" customHeight="1" outlineLevel="1">
      <c r="A201" s="235"/>
      <c r="B201" s="236"/>
      <c r="C201" s="237" t="s">
        <v>374</v>
      </c>
      <c r="D201" s="238"/>
      <c r="E201" s="239">
        <v>1.0</v>
      </c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3"/>
      <c r="Z201" s="213"/>
      <c r="AA201" s="213"/>
      <c r="AB201" s="213"/>
      <c r="AC201" s="213"/>
      <c r="AD201" s="213"/>
      <c r="AE201" s="213"/>
      <c r="AF201" s="213"/>
      <c r="AG201" s="213" t="s">
        <v>228</v>
      </c>
      <c r="AH201" s="213">
        <v>0.0</v>
      </c>
      <c r="AI201" s="213"/>
      <c r="AJ201" s="213"/>
      <c r="AK201" s="213"/>
      <c r="AL201" s="213"/>
      <c r="AM201" s="213"/>
      <c r="AN201" s="213"/>
      <c r="AO201" s="213"/>
      <c r="AP201" s="213"/>
      <c r="AQ201" s="213"/>
      <c r="AR201" s="213"/>
      <c r="AS201" s="213"/>
      <c r="AT201" s="213"/>
      <c r="AU201" s="213"/>
      <c r="AV201" s="213"/>
      <c r="AW201" s="213"/>
      <c r="AX201" s="213"/>
      <c r="AY201" s="213"/>
      <c r="AZ201" s="213"/>
      <c r="BA201" s="213"/>
      <c r="BB201" s="213"/>
    </row>
    <row r="202" ht="12.75" customHeight="1" outlineLevel="1">
      <c r="A202" s="204">
        <v>42.0</v>
      </c>
      <c r="B202" s="205" t="s">
        <v>1097</v>
      </c>
      <c r="C202" s="206" t="s">
        <v>1098</v>
      </c>
      <c r="D202" s="207" t="s">
        <v>372</v>
      </c>
      <c r="E202" s="208">
        <v>1.0</v>
      </c>
      <c r="F202" s="209">
        <v>263.5</v>
      </c>
      <c r="G202" s="210">
        <f t="shared" ref="G202:G206" si="22">ROUND(E202*F202,2)</f>
        <v>263.5</v>
      </c>
      <c r="H202" s="211"/>
      <c r="I202" s="212">
        <f t="shared" ref="I202:I206" si="23">ROUND(E202*H202,2)</f>
        <v>0</v>
      </c>
      <c r="J202" s="211"/>
      <c r="K202" s="212">
        <f t="shared" ref="K202:K206" si="24">ROUND(E202*J202,2)</f>
        <v>0</v>
      </c>
      <c r="L202" s="212">
        <v>21.0</v>
      </c>
      <c r="M202" s="212">
        <f t="shared" ref="M202:M206" si="25">G202*(1+L202/100)</f>
        <v>318.835</v>
      </c>
      <c r="N202" s="212">
        <v>0.08</v>
      </c>
      <c r="O202" s="212">
        <f t="shared" ref="O202:O206" si="26">ROUND(E202*N202,2)</f>
        <v>0.08</v>
      </c>
      <c r="P202" s="212">
        <v>0.0</v>
      </c>
      <c r="Q202" s="212">
        <f t="shared" ref="Q202:Q206" si="27">ROUND(E202*P202,2)</f>
        <v>0</v>
      </c>
      <c r="R202" s="212" t="s">
        <v>322</v>
      </c>
      <c r="S202" s="212" t="s">
        <v>184</v>
      </c>
      <c r="T202" s="212" t="s">
        <v>184</v>
      </c>
      <c r="U202" s="212">
        <v>0.0</v>
      </c>
      <c r="V202" s="212">
        <f t="shared" ref="V202:V206" si="28">ROUND(E202*U202,2)</f>
        <v>0</v>
      </c>
      <c r="W202" s="212"/>
      <c r="X202" s="212" t="s">
        <v>323</v>
      </c>
      <c r="Y202" s="213"/>
      <c r="Z202" s="213"/>
      <c r="AA202" s="213"/>
      <c r="AB202" s="213"/>
      <c r="AC202" s="213"/>
      <c r="AD202" s="213"/>
      <c r="AE202" s="213"/>
      <c r="AF202" s="213"/>
      <c r="AG202" s="213" t="s">
        <v>1094</v>
      </c>
      <c r="AH202" s="213"/>
      <c r="AI202" s="213"/>
      <c r="AJ202" s="213"/>
      <c r="AK202" s="213"/>
      <c r="AL202" s="213"/>
      <c r="AM202" s="213"/>
      <c r="AN202" s="213"/>
      <c r="AO202" s="213"/>
      <c r="AP202" s="213"/>
      <c r="AQ202" s="213"/>
      <c r="AR202" s="213"/>
      <c r="AS202" s="213"/>
      <c r="AT202" s="213"/>
      <c r="AU202" s="213"/>
      <c r="AV202" s="213"/>
      <c r="AW202" s="213"/>
      <c r="AX202" s="213"/>
      <c r="AY202" s="213"/>
      <c r="AZ202" s="213"/>
      <c r="BA202" s="213"/>
      <c r="BB202" s="213"/>
    </row>
    <row r="203" ht="12.75" customHeight="1" outlineLevel="1">
      <c r="A203" s="204">
        <v>43.0</v>
      </c>
      <c r="B203" s="205" t="s">
        <v>590</v>
      </c>
      <c r="C203" s="206" t="s">
        <v>591</v>
      </c>
      <c r="D203" s="207" t="s">
        <v>372</v>
      </c>
      <c r="E203" s="208">
        <v>1.0</v>
      </c>
      <c r="F203" s="209">
        <v>1032.0</v>
      </c>
      <c r="G203" s="210">
        <f t="shared" si="22"/>
        <v>1032</v>
      </c>
      <c r="H203" s="211"/>
      <c r="I203" s="212">
        <f t="shared" si="23"/>
        <v>0</v>
      </c>
      <c r="J203" s="211"/>
      <c r="K203" s="212">
        <f t="shared" si="24"/>
        <v>0</v>
      </c>
      <c r="L203" s="212">
        <v>21.0</v>
      </c>
      <c r="M203" s="212">
        <f t="shared" si="25"/>
        <v>1248.72</v>
      </c>
      <c r="N203" s="212">
        <v>0.185</v>
      </c>
      <c r="O203" s="212">
        <f t="shared" si="26"/>
        <v>0.19</v>
      </c>
      <c r="P203" s="212">
        <v>0.0</v>
      </c>
      <c r="Q203" s="212">
        <f t="shared" si="27"/>
        <v>0</v>
      </c>
      <c r="R203" s="212" t="s">
        <v>322</v>
      </c>
      <c r="S203" s="212" t="s">
        <v>184</v>
      </c>
      <c r="T203" s="212" t="s">
        <v>184</v>
      </c>
      <c r="U203" s="212">
        <v>0.0</v>
      </c>
      <c r="V203" s="212">
        <f t="shared" si="28"/>
        <v>0</v>
      </c>
      <c r="W203" s="212"/>
      <c r="X203" s="212" t="s">
        <v>323</v>
      </c>
      <c r="Y203" s="213"/>
      <c r="Z203" s="213"/>
      <c r="AA203" s="213"/>
      <c r="AB203" s="213"/>
      <c r="AC203" s="213"/>
      <c r="AD203" s="213"/>
      <c r="AE203" s="213"/>
      <c r="AF203" s="213"/>
      <c r="AG203" s="213" t="s">
        <v>324</v>
      </c>
      <c r="AH203" s="213"/>
      <c r="AI203" s="213"/>
      <c r="AJ203" s="213"/>
      <c r="AK203" s="213"/>
      <c r="AL203" s="213"/>
      <c r="AM203" s="213"/>
      <c r="AN203" s="213"/>
      <c r="AO203" s="213"/>
      <c r="AP203" s="213"/>
      <c r="AQ203" s="213"/>
      <c r="AR203" s="213"/>
      <c r="AS203" s="213"/>
      <c r="AT203" s="213"/>
      <c r="AU203" s="213"/>
      <c r="AV203" s="213"/>
      <c r="AW203" s="213"/>
      <c r="AX203" s="213"/>
      <c r="AY203" s="213"/>
      <c r="AZ203" s="213"/>
      <c r="BA203" s="213"/>
      <c r="BB203" s="213"/>
    </row>
    <row r="204" ht="12.75" customHeight="1" outlineLevel="1">
      <c r="A204" s="204">
        <v>44.0</v>
      </c>
      <c r="B204" s="205" t="s">
        <v>596</v>
      </c>
      <c r="C204" s="206" t="s">
        <v>597</v>
      </c>
      <c r="D204" s="207" t="s">
        <v>372</v>
      </c>
      <c r="E204" s="208">
        <v>1.0</v>
      </c>
      <c r="F204" s="209">
        <v>1727.0</v>
      </c>
      <c r="G204" s="210">
        <f t="shared" si="22"/>
        <v>1727</v>
      </c>
      <c r="H204" s="211"/>
      <c r="I204" s="212">
        <f t="shared" si="23"/>
        <v>0</v>
      </c>
      <c r="J204" s="211"/>
      <c r="K204" s="212">
        <f t="shared" si="24"/>
        <v>0</v>
      </c>
      <c r="L204" s="212">
        <v>21.0</v>
      </c>
      <c r="M204" s="212">
        <f t="shared" si="25"/>
        <v>2089.67</v>
      </c>
      <c r="N204" s="212">
        <v>0.585</v>
      </c>
      <c r="O204" s="212">
        <f t="shared" si="26"/>
        <v>0.59</v>
      </c>
      <c r="P204" s="212">
        <v>0.0</v>
      </c>
      <c r="Q204" s="212">
        <f t="shared" si="27"/>
        <v>0</v>
      </c>
      <c r="R204" s="212" t="s">
        <v>322</v>
      </c>
      <c r="S204" s="212" t="s">
        <v>184</v>
      </c>
      <c r="T204" s="212" t="s">
        <v>184</v>
      </c>
      <c r="U204" s="212">
        <v>0.0</v>
      </c>
      <c r="V204" s="212">
        <f t="shared" si="28"/>
        <v>0</v>
      </c>
      <c r="W204" s="212"/>
      <c r="X204" s="212" t="s">
        <v>323</v>
      </c>
      <c r="Y204" s="213"/>
      <c r="Z204" s="213"/>
      <c r="AA204" s="213"/>
      <c r="AB204" s="213"/>
      <c r="AC204" s="213"/>
      <c r="AD204" s="213"/>
      <c r="AE204" s="213"/>
      <c r="AF204" s="213"/>
      <c r="AG204" s="213" t="s">
        <v>324</v>
      </c>
      <c r="AH204" s="213"/>
      <c r="AI204" s="213"/>
      <c r="AJ204" s="213"/>
      <c r="AK204" s="213"/>
      <c r="AL204" s="213"/>
      <c r="AM204" s="213"/>
      <c r="AN204" s="213"/>
      <c r="AO204" s="213"/>
      <c r="AP204" s="213"/>
      <c r="AQ204" s="213"/>
      <c r="AR204" s="213"/>
      <c r="AS204" s="213"/>
      <c r="AT204" s="213"/>
      <c r="AU204" s="213"/>
      <c r="AV204" s="213"/>
      <c r="AW204" s="213"/>
      <c r="AX204" s="213"/>
      <c r="AY204" s="213"/>
      <c r="AZ204" s="213"/>
      <c r="BA204" s="213"/>
      <c r="BB204" s="213"/>
    </row>
    <row r="205" ht="12.75" customHeight="1" outlineLevel="1">
      <c r="A205" s="204">
        <v>45.0</v>
      </c>
      <c r="B205" s="205" t="s">
        <v>598</v>
      </c>
      <c r="C205" s="206" t="s">
        <v>599</v>
      </c>
      <c r="D205" s="207" t="s">
        <v>372</v>
      </c>
      <c r="E205" s="208">
        <v>1.0</v>
      </c>
      <c r="F205" s="209">
        <v>9915.0</v>
      </c>
      <c r="G205" s="210">
        <f t="shared" si="22"/>
        <v>9915</v>
      </c>
      <c r="H205" s="211"/>
      <c r="I205" s="212">
        <f t="shared" si="23"/>
        <v>0</v>
      </c>
      <c r="J205" s="211"/>
      <c r="K205" s="212">
        <f t="shared" si="24"/>
        <v>0</v>
      </c>
      <c r="L205" s="212">
        <v>21.0</v>
      </c>
      <c r="M205" s="212">
        <f t="shared" si="25"/>
        <v>11997.15</v>
      </c>
      <c r="N205" s="212">
        <v>1.6</v>
      </c>
      <c r="O205" s="212">
        <f t="shared" si="26"/>
        <v>1.6</v>
      </c>
      <c r="P205" s="212">
        <v>0.0</v>
      </c>
      <c r="Q205" s="212">
        <f t="shared" si="27"/>
        <v>0</v>
      </c>
      <c r="R205" s="212" t="s">
        <v>322</v>
      </c>
      <c r="S205" s="212" t="s">
        <v>184</v>
      </c>
      <c r="T205" s="212" t="s">
        <v>184</v>
      </c>
      <c r="U205" s="212">
        <v>0.0</v>
      </c>
      <c r="V205" s="212">
        <f t="shared" si="28"/>
        <v>0</v>
      </c>
      <c r="W205" s="212"/>
      <c r="X205" s="212" t="s">
        <v>323</v>
      </c>
      <c r="Y205" s="213"/>
      <c r="Z205" s="213"/>
      <c r="AA205" s="213"/>
      <c r="AB205" s="213"/>
      <c r="AC205" s="213"/>
      <c r="AD205" s="213"/>
      <c r="AE205" s="213"/>
      <c r="AF205" s="213"/>
      <c r="AG205" s="213" t="s">
        <v>324</v>
      </c>
      <c r="AH205" s="213"/>
      <c r="AI205" s="213"/>
      <c r="AJ205" s="213"/>
      <c r="AK205" s="213"/>
      <c r="AL205" s="213"/>
      <c r="AM205" s="213"/>
      <c r="AN205" s="213"/>
      <c r="AO205" s="213"/>
      <c r="AP205" s="213"/>
      <c r="AQ205" s="213"/>
      <c r="AR205" s="213"/>
      <c r="AS205" s="213"/>
      <c r="AT205" s="213"/>
      <c r="AU205" s="213"/>
      <c r="AV205" s="213"/>
      <c r="AW205" s="213"/>
      <c r="AX205" s="213"/>
      <c r="AY205" s="213"/>
      <c r="AZ205" s="213"/>
      <c r="BA205" s="213"/>
      <c r="BB205" s="213"/>
    </row>
    <row r="206" ht="12.75" customHeight="1" outlineLevel="1">
      <c r="A206" s="204">
        <v>46.0</v>
      </c>
      <c r="B206" s="205" t="s">
        <v>600</v>
      </c>
      <c r="C206" s="206" t="s">
        <v>601</v>
      </c>
      <c r="D206" s="207" t="s">
        <v>372</v>
      </c>
      <c r="E206" s="208">
        <v>4.0</v>
      </c>
      <c r="F206" s="209">
        <v>208.0</v>
      </c>
      <c r="G206" s="210">
        <f t="shared" si="22"/>
        <v>832</v>
      </c>
      <c r="H206" s="211"/>
      <c r="I206" s="212">
        <f t="shared" si="23"/>
        <v>0</v>
      </c>
      <c r="J206" s="211"/>
      <c r="K206" s="212">
        <f t="shared" si="24"/>
        <v>0</v>
      </c>
      <c r="L206" s="212">
        <v>21.0</v>
      </c>
      <c r="M206" s="212">
        <f t="shared" si="25"/>
        <v>1006.72</v>
      </c>
      <c r="N206" s="212">
        <v>0.002</v>
      </c>
      <c r="O206" s="212">
        <f t="shared" si="26"/>
        <v>0.01</v>
      </c>
      <c r="P206" s="212">
        <v>0.0</v>
      </c>
      <c r="Q206" s="212">
        <f t="shared" si="27"/>
        <v>0</v>
      </c>
      <c r="R206" s="212" t="s">
        <v>322</v>
      </c>
      <c r="S206" s="212" t="s">
        <v>184</v>
      </c>
      <c r="T206" s="212" t="s">
        <v>184</v>
      </c>
      <c r="U206" s="212">
        <v>0.0</v>
      </c>
      <c r="V206" s="212">
        <f t="shared" si="28"/>
        <v>0</v>
      </c>
      <c r="W206" s="212"/>
      <c r="X206" s="212" t="s">
        <v>323</v>
      </c>
      <c r="Y206" s="213"/>
      <c r="Z206" s="213"/>
      <c r="AA206" s="213"/>
      <c r="AB206" s="213"/>
      <c r="AC206" s="213"/>
      <c r="AD206" s="213"/>
      <c r="AE206" s="213"/>
      <c r="AF206" s="213"/>
      <c r="AG206" s="213" t="s">
        <v>324</v>
      </c>
      <c r="AH206" s="213"/>
      <c r="AI206" s="213"/>
      <c r="AJ206" s="213"/>
      <c r="AK206" s="213"/>
      <c r="AL206" s="213"/>
      <c r="AM206" s="213"/>
      <c r="AN206" s="213"/>
      <c r="AO206" s="213"/>
      <c r="AP206" s="213"/>
      <c r="AQ206" s="213"/>
      <c r="AR206" s="213"/>
      <c r="AS206" s="213"/>
      <c r="AT206" s="213"/>
      <c r="AU206" s="213"/>
      <c r="AV206" s="213"/>
      <c r="AW206" s="213"/>
      <c r="AX206" s="213"/>
      <c r="AY206" s="213"/>
      <c r="AZ206" s="213"/>
      <c r="BA206" s="213"/>
      <c r="BB206" s="213"/>
    </row>
    <row r="207" ht="12.75" customHeight="1">
      <c r="A207" s="196" t="s">
        <v>173</v>
      </c>
      <c r="B207" s="197" t="s">
        <v>120</v>
      </c>
      <c r="C207" s="198" t="s">
        <v>121</v>
      </c>
      <c r="D207" s="199"/>
      <c r="E207" s="200"/>
      <c r="F207" s="201"/>
      <c r="G207" s="202">
        <f>SUMIF(AG208,"&lt;&gt;NOR",G208)</f>
        <v>876.94</v>
      </c>
      <c r="H207" s="203"/>
      <c r="I207" s="203">
        <f>SUM(I208)</f>
        <v>0</v>
      </c>
      <c r="J207" s="203"/>
      <c r="K207" s="203">
        <f>SUM(K208)</f>
        <v>0</v>
      </c>
      <c r="L207" s="203"/>
      <c r="M207" s="203">
        <f>SUM(M208)</f>
        <v>1061.0974</v>
      </c>
      <c r="N207" s="203"/>
      <c r="O207" s="203">
        <f>SUM(O208)</f>
        <v>0</v>
      </c>
      <c r="P207" s="203"/>
      <c r="Q207" s="203">
        <f>SUM(Q208)</f>
        <v>0</v>
      </c>
      <c r="R207" s="203"/>
      <c r="S207" s="203"/>
      <c r="T207" s="203"/>
      <c r="U207" s="203"/>
      <c r="V207" s="203">
        <f>SUM(V208)</f>
        <v>0.95</v>
      </c>
      <c r="W207" s="203"/>
      <c r="X207" s="203"/>
      <c r="AG207" s="184" t="s">
        <v>174</v>
      </c>
    </row>
    <row r="208" ht="12.75" customHeight="1" outlineLevel="1">
      <c r="A208" s="204">
        <v>47.0</v>
      </c>
      <c r="B208" s="205" t="s">
        <v>1101</v>
      </c>
      <c r="C208" s="206" t="s">
        <v>1102</v>
      </c>
      <c r="D208" s="207" t="s">
        <v>251</v>
      </c>
      <c r="E208" s="208">
        <v>0.12</v>
      </c>
      <c r="F208" s="209">
        <v>7307.85</v>
      </c>
      <c r="G208" s="210">
        <f>ROUND(E208*F208,2)</f>
        <v>876.94</v>
      </c>
      <c r="H208" s="211"/>
      <c r="I208" s="212">
        <f>ROUND(E208*H208,2)</f>
        <v>0</v>
      </c>
      <c r="J208" s="211"/>
      <c r="K208" s="212">
        <f>ROUND(E208*J208,2)</f>
        <v>0</v>
      </c>
      <c r="L208" s="212">
        <v>21.0</v>
      </c>
      <c r="M208" s="212">
        <f>G208*(1+L208/100)</f>
        <v>1061.0974</v>
      </c>
      <c r="N208" s="212">
        <v>0.0</v>
      </c>
      <c r="O208" s="212">
        <f>ROUND(E208*N208,2)</f>
        <v>0</v>
      </c>
      <c r="P208" s="212">
        <v>0.00287</v>
      </c>
      <c r="Q208" s="212">
        <f>ROUND(E208*P208,2)</f>
        <v>0</v>
      </c>
      <c r="R208" s="212"/>
      <c r="S208" s="212" t="s">
        <v>184</v>
      </c>
      <c r="T208" s="212" t="s">
        <v>184</v>
      </c>
      <c r="U208" s="212">
        <v>7.9</v>
      </c>
      <c r="V208" s="212">
        <f>ROUND(E208*U208,2)</f>
        <v>0.95</v>
      </c>
      <c r="W208" s="212"/>
      <c r="X208" s="212" t="s">
        <v>225</v>
      </c>
      <c r="Y208" s="213"/>
      <c r="Z208" s="213"/>
      <c r="AA208" s="213"/>
      <c r="AB208" s="213"/>
      <c r="AC208" s="213"/>
      <c r="AD208" s="213"/>
      <c r="AE208" s="213"/>
      <c r="AF208" s="213"/>
      <c r="AG208" s="213" t="s">
        <v>226</v>
      </c>
      <c r="AH208" s="213"/>
      <c r="AI208" s="213"/>
      <c r="AJ208" s="213"/>
      <c r="AK208" s="213"/>
      <c r="AL208" s="213"/>
      <c r="AM208" s="213"/>
      <c r="AN208" s="213"/>
      <c r="AO208" s="213"/>
      <c r="AP208" s="213"/>
      <c r="AQ208" s="213"/>
      <c r="AR208" s="213"/>
      <c r="AS208" s="213"/>
      <c r="AT208" s="213"/>
      <c r="AU208" s="213"/>
      <c r="AV208" s="213"/>
      <c r="AW208" s="213"/>
      <c r="AX208" s="213"/>
      <c r="AY208" s="213"/>
      <c r="AZ208" s="213"/>
      <c r="BA208" s="213"/>
      <c r="BB208" s="213"/>
    </row>
    <row r="209" ht="12.75" customHeight="1">
      <c r="A209" s="196" t="s">
        <v>173</v>
      </c>
      <c r="B209" s="197" t="s">
        <v>122</v>
      </c>
      <c r="C209" s="198" t="s">
        <v>123</v>
      </c>
      <c r="D209" s="199"/>
      <c r="E209" s="200"/>
      <c r="F209" s="201"/>
      <c r="G209" s="202">
        <f>SUMIF(AG210:AG213,"&lt;&gt;NOR",G210:G213)</f>
        <v>13145.46</v>
      </c>
      <c r="H209" s="203"/>
      <c r="I209" s="203">
        <f>SUM(I210:I213)</f>
        <v>0</v>
      </c>
      <c r="J209" s="203"/>
      <c r="K209" s="203">
        <f>SUM(K210:K213)</f>
        <v>0</v>
      </c>
      <c r="L209" s="203"/>
      <c r="M209" s="203">
        <f>SUM(M210:M213)</f>
        <v>15906.0066</v>
      </c>
      <c r="N209" s="203"/>
      <c r="O209" s="203">
        <f>SUM(O210:O213)</f>
        <v>0</v>
      </c>
      <c r="P209" s="203"/>
      <c r="Q209" s="203">
        <f>SUM(Q210:Q213)</f>
        <v>0</v>
      </c>
      <c r="R209" s="203"/>
      <c r="S209" s="203"/>
      <c r="T209" s="203"/>
      <c r="U209" s="203"/>
      <c r="V209" s="203">
        <f>SUM(V210:V213)</f>
        <v>48.21</v>
      </c>
      <c r="W209" s="203"/>
      <c r="X209" s="203"/>
      <c r="AG209" s="184" t="s">
        <v>174</v>
      </c>
    </row>
    <row r="210" ht="12.75" customHeight="1" outlineLevel="1">
      <c r="A210" s="214">
        <v>48.0</v>
      </c>
      <c r="B210" s="215" t="s">
        <v>395</v>
      </c>
      <c r="C210" s="216" t="s">
        <v>396</v>
      </c>
      <c r="D210" s="217" t="s">
        <v>316</v>
      </c>
      <c r="E210" s="218">
        <v>106.70883</v>
      </c>
      <c r="F210" s="219">
        <v>123.19</v>
      </c>
      <c r="G210" s="220">
        <f>ROUND(E210*F210,2)</f>
        <v>13145.46</v>
      </c>
      <c r="H210" s="211"/>
      <c r="I210" s="212">
        <f>ROUND(E210*H210,2)</f>
        <v>0</v>
      </c>
      <c r="J210" s="211"/>
      <c r="K210" s="212">
        <f>ROUND(E210*J210,2)</f>
        <v>0</v>
      </c>
      <c r="L210" s="212">
        <v>21.0</v>
      </c>
      <c r="M210" s="212">
        <f>G210*(1+L210/100)</f>
        <v>15906.0066</v>
      </c>
      <c r="N210" s="212">
        <v>0.0</v>
      </c>
      <c r="O210" s="212">
        <f>ROUND(E210*N210,2)</f>
        <v>0</v>
      </c>
      <c r="P210" s="212">
        <v>0.0</v>
      </c>
      <c r="Q210" s="212">
        <f>ROUND(E210*P210,2)</f>
        <v>0</v>
      </c>
      <c r="R210" s="212"/>
      <c r="S210" s="212" t="s">
        <v>184</v>
      </c>
      <c r="T210" s="212" t="s">
        <v>184</v>
      </c>
      <c r="U210" s="212">
        <v>0.4518</v>
      </c>
      <c r="V210" s="212">
        <f>ROUND(E210*U210,2)</f>
        <v>48.21</v>
      </c>
      <c r="W210" s="212"/>
      <c r="X210" s="212" t="s">
        <v>397</v>
      </c>
      <c r="Y210" s="213"/>
      <c r="Z210" s="213"/>
      <c r="AA210" s="213"/>
      <c r="AB210" s="213"/>
      <c r="AC210" s="213"/>
      <c r="AD210" s="213"/>
      <c r="AE210" s="213"/>
      <c r="AF210" s="213"/>
      <c r="AG210" s="213" t="s">
        <v>398</v>
      </c>
      <c r="AH210" s="213"/>
      <c r="AI210" s="213"/>
      <c r="AJ210" s="213"/>
      <c r="AK210" s="213"/>
      <c r="AL210" s="213"/>
      <c r="AM210" s="213"/>
      <c r="AN210" s="213"/>
      <c r="AO210" s="213"/>
      <c r="AP210" s="213"/>
      <c r="AQ210" s="213"/>
      <c r="AR210" s="213"/>
      <c r="AS210" s="213"/>
      <c r="AT210" s="213"/>
      <c r="AU210" s="213"/>
      <c r="AV210" s="213"/>
      <c r="AW210" s="213"/>
      <c r="AX210" s="213"/>
      <c r="AY210" s="213"/>
      <c r="AZ210" s="213"/>
      <c r="BA210" s="213"/>
      <c r="BB210" s="213"/>
    </row>
    <row r="211" ht="12.75" customHeight="1" outlineLevel="1">
      <c r="A211" s="235"/>
      <c r="B211" s="236"/>
      <c r="C211" s="237" t="s">
        <v>399</v>
      </c>
      <c r="D211" s="238"/>
      <c r="E211" s="239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3"/>
      <c r="Z211" s="213"/>
      <c r="AA211" s="213"/>
      <c r="AB211" s="213"/>
      <c r="AC211" s="213"/>
      <c r="AD211" s="213"/>
      <c r="AE211" s="213"/>
      <c r="AF211" s="213"/>
      <c r="AG211" s="213" t="s">
        <v>228</v>
      </c>
      <c r="AH211" s="213">
        <v>0.0</v>
      </c>
      <c r="AI211" s="213"/>
      <c r="AJ211" s="213"/>
      <c r="AK211" s="213"/>
      <c r="AL211" s="213"/>
      <c r="AM211" s="213"/>
      <c r="AN211" s="213"/>
      <c r="AO211" s="213"/>
      <c r="AP211" s="213"/>
      <c r="AQ211" s="213"/>
      <c r="AR211" s="213"/>
      <c r="AS211" s="213"/>
      <c r="AT211" s="213"/>
      <c r="AU211" s="213"/>
      <c r="AV211" s="213"/>
      <c r="AW211" s="213"/>
      <c r="AX211" s="213"/>
      <c r="AY211" s="213"/>
      <c r="AZ211" s="213"/>
      <c r="BA211" s="213"/>
      <c r="BB211" s="213"/>
    </row>
    <row r="212" ht="12.75" customHeight="1" outlineLevel="1">
      <c r="A212" s="235"/>
      <c r="B212" s="236"/>
      <c r="C212" s="237" t="s">
        <v>1438</v>
      </c>
      <c r="D212" s="238"/>
      <c r="E212" s="239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3"/>
      <c r="Z212" s="213"/>
      <c r="AA212" s="213"/>
      <c r="AB212" s="213"/>
      <c r="AC212" s="213"/>
      <c r="AD212" s="213"/>
      <c r="AE212" s="213"/>
      <c r="AF212" s="213"/>
      <c r="AG212" s="213" t="s">
        <v>228</v>
      </c>
      <c r="AH212" s="213">
        <v>0.0</v>
      </c>
      <c r="AI212" s="213"/>
      <c r="AJ212" s="213"/>
      <c r="AK212" s="213"/>
      <c r="AL212" s="213"/>
      <c r="AM212" s="213"/>
      <c r="AN212" s="213"/>
      <c r="AO212" s="213"/>
      <c r="AP212" s="213"/>
      <c r="AQ212" s="213"/>
      <c r="AR212" s="213"/>
      <c r="AS212" s="213"/>
      <c r="AT212" s="213"/>
      <c r="AU212" s="213"/>
      <c r="AV212" s="213"/>
      <c r="AW212" s="213"/>
      <c r="AX212" s="213"/>
      <c r="AY212" s="213"/>
      <c r="AZ212" s="213"/>
      <c r="BA212" s="213"/>
      <c r="BB212" s="213"/>
    </row>
    <row r="213" ht="12.75" customHeight="1" outlineLevel="1">
      <c r="A213" s="235"/>
      <c r="B213" s="236"/>
      <c r="C213" s="237" t="s">
        <v>1439</v>
      </c>
      <c r="D213" s="238"/>
      <c r="E213" s="239">
        <v>106.70883</v>
      </c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3"/>
      <c r="Z213" s="213"/>
      <c r="AA213" s="213"/>
      <c r="AB213" s="213"/>
      <c r="AC213" s="213"/>
      <c r="AD213" s="213"/>
      <c r="AE213" s="213"/>
      <c r="AF213" s="213"/>
      <c r="AG213" s="213" t="s">
        <v>228</v>
      </c>
      <c r="AH213" s="213">
        <v>0.0</v>
      </c>
      <c r="AI213" s="213"/>
      <c r="AJ213" s="213"/>
      <c r="AK213" s="213"/>
      <c r="AL213" s="213"/>
      <c r="AM213" s="213"/>
      <c r="AN213" s="213"/>
      <c r="AO213" s="213"/>
      <c r="AP213" s="213"/>
      <c r="AQ213" s="213"/>
      <c r="AR213" s="213"/>
      <c r="AS213" s="213"/>
      <c r="AT213" s="213"/>
      <c r="AU213" s="213"/>
      <c r="AV213" s="213"/>
      <c r="AW213" s="213"/>
      <c r="AX213" s="213"/>
      <c r="AY213" s="213"/>
      <c r="AZ213" s="213"/>
      <c r="BA213" s="213"/>
      <c r="BB213" s="213"/>
    </row>
    <row r="214" ht="12.75" customHeight="1">
      <c r="A214" s="175"/>
      <c r="B214" s="179"/>
      <c r="C214" s="221"/>
      <c r="D214" s="181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AE214" s="184">
        <v>15.0</v>
      </c>
      <c r="AF214" s="184">
        <v>21.0</v>
      </c>
      <c r="AG214" s="184" t="s">
        <v>160</v>
      </c>
    </row>
    <row r="215" ht="12.75" customHeight="1">
      <c r="A215" s="222"/>
      <c r="B215" s="223" t="s">
        <v>24</v>
      </c>
      <c r="C215" s="224"/>
      <c r="D215" s="225"/>
      <c r="E215" s="226"/>
      <c r="F215" s="226"/>
      <c r="G215" s="227">
        <f>G8+G105+G111+G116+G126+G153+G187+G207+G209</f>
        <v>255083.75</v>
      </c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AE215" s="184">
        <f>SUMIF(L7:L213,AE214,G7:G213)</f>
        <v>0</v>
      </c>
      <c r="AF215" s="184">
        <f>SUMIF(L7:L213,AF214,G7:G213)</f>
        <v>255083.75</v>
      </c>
      <c r="AG215" s="184" t="s">
        <v>218</v>
      </c>
    </row>
    <row r="216" ht="12.75" customHeight="1">
      <c r="A216" s="175"/>
      <c r="B216" s="179"/>
      <c r="C216" s="221"/>
      <c r="D216" s="181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</row>
    <row r="217" ht="12.75" customHeight="1">
      <c r="A217" s="175"/>
      <c r="B217" s="179"/>
      <c r="C217" s="221"/>
      <c r="D217" s="181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</row>
    <row r="218" ht="12.75" customHeight="1">
      <c r="A218" s="175" t="s">
        <v>219</v>
      </c>
      <c r="D218" s="181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</row>
    <row r="219" ht="12.75" customHeight="1">
      <c r="A219" s="228"/>
      <c r="B219" s="27"/>
      <c r="C219" s="27"/>
      <c r="D219" s="27"/>
      <c r="E219" s="27"/>
      <c r="F219" s="27"/>
      <c r="G219" s="229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AG219" s="184" t="s">
        <v>220</v>
      </c>
    </row>
    <row r="220" ht="12.75" customHeight="1">
      <c r="A220" s="230"/>
      <c r="G220" s="231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</row>
    <row r="221" ht="12.75" customHeight="1">
      <c r="A221" s="230"/>
      <c r="G221" s="231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</row>
    <row r="222" ht="12.75" customHeight="1">
      <c r="A222" s="230"/>
      <c r="G222" s="231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</row>
    <row r="223" ht="12.75" customHeight="1">
      <c r="A223" s="232"/>
      <c r="B223" s="38"/>
      <c r="C223" s="38"/>
      <c r="D223" s="38"/>
      <c r="E223" s="38"/>
      <c r="F223" s="38"/>
      <c r="G223" s="233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</row>
    <row r="224" ht="12.75" customHeight="1">
      <c r="A224" s="175"/>
      <c r="B224" s="179"/>
      <c r="C224" s="221"/>
      <c r="D224" s="181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</row>
    <row r="225" ht="12.75" customHeight="1">
      <c r="B225" s="185"/>
      <c r="C225" s="234"/>
      <c r="D225" s="126"/>
      <c r="AG225" s="184" t="s">
        <v>221</v>
      </c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  <c r="D293" s="126"/>
    </row>
    <row r="294" ht="12.75" customHeight="1">
      <c r="B294" s="185"/>
      <c r="C294" s="185"/>
      <c r="D294" s="126"/>
    </row>
    <row r="295" ht="12.75" customHeight="1">
      <c r="B295" s="185"/>
      <c r="C295" s="185"/>
      <c r="D295" s="126"/>
    </row>
    <row r="296" ht="12.75" customHeight="1">
      <c r="B296" s="185"/>
      <c r="C296" s="185"/>
      <c r="D296" s="126"/>
    </row>
    <row r="297" ht="12.75" customHeight="1">
      <c r="B297" s="185"/>
      <c r="C297" s="185"/>
      <c r="D297" s="126"/>
    </row>
    <row r="298" ht="12.75" customHeight="1">
      <c r="B298" s="185"/>
      <c r="C298" s="185"/>
      <c r="D298" s="126"/>
    </row>
    <row r="299" ht="12.75" customHeight="1">
      <c r="B299" s="185"/>
      <c r="C299" s="185"/>
      <c r="D299" s="126"/>
    </row>
    <row r="300" ht="12.75" customHeight="1">
      <c r="B300" s="185"/>
      <c r="C300" s="185"/>
      <c r="D300" s="126"/>
    </row>
    <row r="301" ht="12.75" customHeight="1">
      <c r="B301" s="185"/>
      <c r="C301" s="185"/>
      <c r="D301" s="126"/>
    </row>
    <row r="302" ht="12.75" customHeight="1">
      <c r="B302" s="185"/>
      <c r="C302" s="185"/>
      <c r="D302" s="126"/>
    </row>
    <row r="303" ht="12.75" customHeight="1">
      <c r="B303" s="185"/>
      <c r="C303" s="185"/>
      <c r="D303" s="126"/>
    </row>
    <row r="304" ht="12.75" customHeight="1">
      <c r="B304" s="185"/>
      <c r="C304" s="185"/>
      <c r="D304" s="126"/>
    </row>
    <row r="305" ht="12.75" customHeight="1">
      <c r="B305" s="185"/>
      <c r="C305" s="185"/>
      <c r="D305" s="126"/>
    </row>
    <row r="306" ht="12.75" customHeight="1">
      <c r="B306" s="185"/>
      <c r="C306" s="185"/>
      <c r="D306" s="126"/>
    </row>
    <row r="307" ht="12.75" customHeight="1">
      <c r="B307" s="185"/>
      <c r="C307" s="185"/>
      <c r="D307" s="126"/>
    </row>
    <row r="308" ht="12.75" customHeight="1">
      <c r="B308" s="185"/>
      <c r="C308" s="185"/>
      <c r="D308" s="126"/>
    </row>
    <row r="309" ht="12.75" customHeight="1">
      <c r="B309" s="185"/>
      <c r="C309" s="185"/>
      <c r="D309" s="126"/>
    </row>
    <row r="310" ht="12.75" customHeight="1">
      <c r="B310" s="185"/>
      <c r="C310" s="185"/>
      <c r="D310" s="126"/>
    </row>
    <row r="311" ht="12.75" customHeight="1">
      <c r="B311" s="185"/>
      <c r="C311" s="185"/>
      <c r="D311" s="126"/>
    </row>
    <row r="312" ht="12.75" customHeight="1">
      <c r="B312" s="185"/>
      <c r="C312" s="185"/>
      <c r="D312" s="126"/>
    </row>
    <row r="313" ht="12.75" customHeight="1">
      <c r="B313" s="185"/>
      <c r="C313" s="185"/>
      <c r="D313" s="126"/>
    </row>
    <row r="314" ht="12.75" customHeight="1">
      <c r="B314" s="185"/>
      <c r="C314" s="185"/>
      <c r="D314" s="126"/>
    </row>
    <row r="315" ht="12.75" customHeight="1">
      <c r="B315" s="185"/>
      <c r="C315" s="185"/>
      <c r="D315" s="126"/>
    </row>
    <row r="316" ht="12.75" customHeight="1">
      <c r="B316" s="185"/>
      <c r="C316" s="185"/>
      <c r="D316" s="126"/>
    </row>
    <row r="317" ht="12.75" customHeight="1">
      <c r="B317" s="185"/>
      <c r="C317" s="185"/>
      <c r="D317" s="126"/>
    </row>
    <row r="318" ht="12.75" customHeight="1">
      <c r="B318" s="185"/>
      <c r="C318" s="185"/>
      <c r="D318" s="126"/>
    </row>
    <row r="319" ht="12.75" customHeight="1">
      <c r="B319" s="185"/>
      <c r="C319" s="185"/>
      <c r="D319" s="126"/>
    </row>
    <row r="320" ht="12.75" customHeight="1">
      <c r="B320" s="185"/>
      <c r="C320" s="185"/>
      <c r="D320" s="126"/>
    </row>
    <row r="321" ht="12.75" customHeight="1">
      <c r="B321" s="185"/>
      <c r="C321" s="185"/>
      <c r="D321" s="126"/>
    </row>
    <row r="322" ht="12.75" customHeight="1">
      <c r="B322" s="185"/>
      <c r="C322" s="185"/>
      <c r="D322" s="126"/>
    </row>
    <row r="323" ht="12.75" customHeight="1">
      <c r="B323" s="185"/>
      <c r="C323" s="185"/>
      <c r="D323" s="126"/>
    </row>
    <row r="324" ht="12.75" customHeight="1">
      <c r="B324" s="185"/>
      <c r="C324" s="185"/>
      <c r="D324" s="126"/>
    </row>
    <row r="325" ht="12.75" customHeight="1">
      <c r="B325" s="185"/>
      <c r="C325" s="185"/>
      <c r="D325" s="126"/>
    </row>
    <row r="326" ht="12.75" customHeight="1">
      <c r="B326" s="185"/>
      <c r="C326" s="185"/>
      <c r="D326" s="126"/>
    </row>
    <row r="327" ht="12.75" customHeight="1">
      <c r="B327" s="185"/>
      <c r="C327" s="185"/>
      <c r="D327" s="126"/>
    </row>
    <row r="328" ht="12.75" customHeight="1">
      <c r="B328" s="185"/>
      <c r="C328" s="185"/>
      <c r="D328" s="126"/>
    </row>
    <row r="329" ht="12.75" customHeight="1">
      <c r="B329" s="185"/>
      <c r="C329" s="185"/>
      <c r="D329" s="126"/>
    </row>
    <row r="330" ht="12.75" customHeight="1">
      <c r="B330" s="185"/>
      <c r="C330" s="185"/>
      <c r="D330" s="126"/>
    </row>
    <row r="331" ht="12.75" customHeight="1">
      <c r="B331" s="185"/>
      <c r="C331" s="185"/>
      <c r="D331" s="126"/>
    </row>
    <row r="332" ht="12.75" customHeight="1">
      <c r="B332" s="185"/>
      <c r="C332" s="185"/>
      <c r="D332" s="126"/>
    </row>
    <row r="333" ht="12.75" customHeight="1">
      <c r="B333" s="185"/>
      <c r="C333" s="185"/>
      <c r="D333" s="126"/>
    </row>
    <row r="334" ht="12.75" customHeight="1">
      <c r="B334" s="185"/>
      <c r="C334" s="185"/>
      <c r="D334" s="126"/>
    </row>
    <row r="335" ht="12.75" customHeight="1">
      <c r="B335" s="185"/>
      <c r="C335" s="185"/>
      <c r="D335" s="126"/>
    </row>
    <row r="336" ht="12.75" customHeight="1">
      <c r="B336" s="185"/>
      <c r="C336" s="185"/>
      <c r="D336" s="126"/>
    </row>
    <row r="337" ht="12.75" customHeight="1">
      <c r="B337" s="185"/>
      <c r="C337" s="185"/>
      <c r="D337" s="126"/>
    </row>
    <row r="338" ht="12.75" customHeight="1">
      <c r="B338" s="185"/>
      <c r="C338" s="185"/>
      <c r="D338" s="126"/>
    </row>
    <row r="339" ht="12.75" customHeight="1">
      <c r="B339" s="185"/>
      <c r="C339" s="185"/>
      <c r="D339" s="126"/>
    </row>
    <row r="340" ht="12.75" customHeight="1">
      <c r="B340" s="185"/>
      <c r="C340" s="185"/>
      <c r="D340" s="126"/>
    </row>
    <row r="341" ht="12.75" customHeight="1">
      <c r="B341" s="185"/>
      <c r="C341" s="185"/>
      <c r="D341" s="126"/>
    </row>
    <row r="342" ht="12.75" customHeight="1">
      <c r="B342" s="185"/>
      <c r="C342" s="185"/>
      <c r="D342" s="126"/>
    </row>
    <row r="343" ht="12.75" customHeight="1">
      <c r="B343" s="185"/>
      <c r="C343" s="185"/>
      <c r="D343" s="126"/>
    </row>
    <row r="344" ht="12.75" customHeight="1">
      <c r="B344" s="185"/>
      <c r="C344" s="185"/>
      <c r="D344" s="126"/>
    </row>
    <row r="345" ht="12.75" customHeight="1">
      <c r="B345" s="185"/>
      <c r="C345" s="185"/>
      <c r="D345" s="126"/>
    </row>
    <row r="346" ht="12.75" customHeight="1">
      <c r="B346" s="185"/>
      <c r="C346" s="185"/>
      <c r="D346" s="126"/>
    </row>
    <row r="347" ht="12.75" customHeight="1">
      <c r="B347" s="185"/>
      <c r="C347" s="185"/>
      <c r="D347" s="126"/>
    </row>
    <row r="348" ht="12.75" customHeight="1">
      <c r="B348" s="185"/>
      <c r="C348" s="185"/>
      <c r="D348" s="126"/>
    </row>
    <row r="349" ht="12.75" customHeight="1">
      <c r="B349" s="185"/>
      <c r="C349" s="185"/>
      <c r="D349" s="126"/>
    </row>
    <row r="350" ht="12.75" customHeight="1">
      <c r="B350" s="185"/>
      <c r="C350" s="185"/>
      <c r="D350" s="126"/>
    </row>
    <row r="351" ht="12.75" customHeight="1">
      <c r="B351" s="185"/>
      <c r="C351" s="185"/>
      <c r="D351" s="126"/>
    </row>
    <row r="352" ht="12.75" customHeight="1">
      <c r="B352" s="185"/>
      <c r="C352" s="185"/>
      <c r="D352" s="126"/>
    </row>
    <row r="353" ht="12.75" customHeight="1">
      <c r="B353" s="185"/>
      <c r="C353" s="185"/>
      <c r="D353" s="126"/>
    </row>
    <row r="354" ht="12.75" customHeight="1">
      <c r="B354" s="185"/>
      <c r="C354" s="185"/>
      <c r="D354" s="126"/>
    </row>
    <row r="355" ht="12.75" customHeight="1">
      <c r="B355" s="185"/>
      <c r="C355" s="185"/>
      <c r="D355" s="126"/>
    </row>
    <row r="356" ht="12.75" customHeight="1">
      <c r="B356" s="185"/>
      <c r="C356" s="185"/>
      <c r="D356" s="126"/>
    </row>
    <row r="357" ht="12.75" customHeight="1">
      <c r="B357" s="185"/>
      <c r="C357" s="185"/>
      <c r="D357" s="126"/>
    </row>
    <row r="358" ht="12.75" customHeight="1">
      <c r="B358" s="185"/>
      <c r="C358" s="185"/>
      <c r="D358" s="126"/>
    </row>
    <row r="359" ht="12.75" customHeight="1">
      <c r="B359" s="185"/>
      <c r="C359" s="185"/>
      <c r="D359" s="126"/>
    </row>
    <row r="360" ht="12.75" customHeight="1">
      <c r="B360" s="185"/>
      <c r="C360" s="185"/>
      <c r="D360" s="126"/>
    </row>
    <row r="361" ht="12.75" customHeight="1">
      <c r="B361" s="185"/>
      <c r="C361" s="185"/>
      <c r="D361" s="126"/>
    </row>
    <row r="362" ht="12.75" customHeight="1">
      <c r="B362" s="185"/>
      <c r="C362" s="185"/>
      <c r="D362" s="126"/>
    </row>
    <row r="363" ht="12.75" customHeight="1">
      <c r="B363" s="185"/>
      <c r="C363" s="185"/>
      <c r="D363" s="126"/>
    </row>
    <row r="364" ht="12.75" customHeight="1">
      <c r="B364" s="185"/>
      <c r="C364" s="185"/>
      <c r="D364" s="126"/>
    </row>
    <row r="365" ht="12.75" customHeight="1">
      <c r="B365" s="185"/>
      <c r="C365" s="185"/>
      <c r="D365" s="126"/>
    </row>
    <row r="366" ht="12.75" customHeight="1">
      <c r="B366" s="185"/>
      <c r="C366" s="185"/>
      <c r="D366" s="126"/>
    </row>
    <row r="367" ht="12.75" customHeight="1">
      <c r="B367" s="185"/>
      <c r="C367" s="185"/>
      <c r="D367" s="126"/>
    </row>
    <row r="368" ht="12.75" customHeight="1">
      <c r="B368" s="185"/>
      <c r="C368" s="185"/>
      <c r="D368" s="126"/>
    </row>
    <row r="369" ht="12.75" customHeight="1">
      <c r="B369" s="185"/>
      <c r="C369" s="185"/>
      <c r="D369" s="126"/>
    </row>
    <row r="370" ht="12.75" customHeight="1">
      <c r="B370" s="185"/>
      <c r="C370" s="185"/>
      <c r="D370" s="126"/>
    </row>
    <row r="371" ht="12.75" customHeight="1">
      <c r="B371" s="185"/>
      <c r="C371" s="185"/>
      <c r="D371" s="126"/>
    </row>
    <row r="372" ht="12.75" customHeight="1">
      <c r="B372" s="185"/>
      <c r="C372" s="185"/>
      <c r="D372" s="126"/>
    </row>
    <row r="373" ht="12.75" customHeight="1">
      <c r="B373" s="185"/>
      <c r="C373" s="185"/>
      <c r="D373" s="126"/>
    </row>
    <row r="374" ht="12.75" customHeight="1">
      <c r="B374" s="185"/>
      <c r="C374" s="185"/>
      <c r="D374" s="126"/>
    </row>
    <row r="375" ht="12.75" customHeight="1">
      <c r="B375" s="185"/>
      <c r="C375" s="185"/>
      <c r="D375" s="126"/>
    </row>
    <row r="376" ht="12.75" customHeight="1">
      <c r="B376" s="185"/>
      <c r="C376" s="185"/>
      <c r="D376" s="126"/>
    </row>
    <row r="377" ht="12.75" customHeight="1">
      <c r="B377" s="185"/>
      <c r="C377" s="185"/>
      <c r="D377" s="126"/>
    </row>
    <row r="378" ht="12.75" customHeight="1">
      <c r="B378" s="185"/>
      <c r="C378" s="185"/>
      <c r="D378" s="126"/>
    </row>
    <row r="379" ht="12.75" customHeight="1">
      <c r="B379" s="185"/>
      <c r="C379" s="185"/>
      <c r="D379" s="126"/>
    </row>
    <row r="380" ht="12.75" customHeight="1">
      <c r="B380" s="185"/>
      <c r="C380" s="185"/>
      <c r="D380" s="126"/>
    </row>
    <row r="381" ht="12.75" customHeight="1">
      <c r="B381" s="185"/>
      <c r="C381" s="185"/>
      <c r="D381" s="126"/>
    </row>
    <row r="382" ht="12.75" customHeight="1">
      <c r="B382" s="185"/>
      <c r="C382" s="185"/>
      <c r="D382" s="126"/>
    </row>
    <row r="383" ht="12.75" customHeight="1">
      <c r="B383" s="185"/>
      <c r="C383" s="185"/>
      <c r="D383" s="126"/>
    </row>
    <row r="384" ht="12.75" customHeight="1">
      <c r="B384" s="185"/>
      <c r="C384" s="185"/>
      <c r="D384" s="126"/>
    </row>
    <row r="385" ht="12.75" customHeight="1">
      <c r="B385" s="185"/>
      <c r="C385" s="185"/>
      <c r="D385" s="126"/>
    </row>
    <row r="386" ht="12.75" customHeight="1">
      <c r="B386" s="185"/>
      <c r="C386" s="185"/>
      <c r="D386" s="126"/>
    </row>
    <row r="387" ht="12.75" customHeight="1">
      <c r="B387" s="185"/>
      <c r="C387" s="185"/>
      <c r="D387" s="126"/>
    </row>
    <row r="388" ht="12.75" customHeight="1">
      <c r="B388" s="185"/>
      <c r="C388" s="185"/>
      <c r="D388" s="126"/>
    </row>
    <row r="389" ht="12.75" customHeight="1">
      <c r="B389" s="185"/>
      <c r="C389" s="185"/>
      <c r="D389" s="126"/>
    </row>
    <row r="390" ht="12.75" customHeight="1">
      <c r="B390" s="185"/>
      <c r="C390" s="185"/>
      <c r="D390" s="126"/>
    </row>
    <row r="391" ht="12.75" customHeight="1">
      <c r="B391" s="185"/>
      <c r="C391" s="185"/>
      <c r="D391" s="126"/>
    </row>
    <row r="392" ht="12.75" customHeight="1">
      <c r="B392" s="185"/>
      <c r="C392" s="185"/>
      <c r="D392" s="126"/>
    </row>
    <row r="393" ht="12.75" customHeight="1">
      <c r="B393" s="185"/>
      <c r="C393" s="185"/>
      <c r="D393" s="126"/>
    </row>
    <row r="394" ht="12.75" customHeight="1">
      <c r="B394" s="185"/>
      <c r="C394" s="185"/>
      <c r="D394" s="126"/>
    </row>
    <row r="395" ht="12.75" customHeight="1">
      <c r="B395" s="185"/>
      <c r="C395" s="185"/>
      <c r="D395" s="126"/>
    </row>
    <row r="396" ht="12.75" customHeight="1">
      <c r="B396" s="185"/>
      <c r="C396" s="185"/>
      <c r="D396" s="126"/>
    </row>
    <row r="397" ht="12.75" customHeight="1">
      <c r="B397" s="185"/>
      <c r="C397" s="185"/>
      <c r="D397" s="126"/>
    </row>
    <row r="398" ht="12.75" customHeight="1">
      <c r="B398" s="185"/>
      <c r="C398" s="185"/>
      <c r="D398" s="126"/>
    </row>
    <row r="399" ht="12.75" customHeight="1">
      <c r="B399" s="185"/>
      <c r="C399" s="185"/>
      <c r="D399" s="126"/>
    </row>
    <row r="400" ht="12.75" customHeight="1">
      <c r="B400" s="185"/>
      <c r="C400" s="185"/>
      <c r="D400" s="126"/>
    </row>
    <row r="401" ht="12.75" customHeight="1">
      <c r="B401" s="185"/>
      <c r="C401" s="185"/>
      <c r="D401" s="126"/>
    </row>
    <row r="402" ht="12.75" customHeight="1">
      <c r="B402" s="185"/>
      <c r="C402" s="185"/>
      <c r="D402" s="126"/>
    </row>
    <row r="403" ht="12.75" customHeight="1">
      <c r="B403" s="185"/>
      <c r="C403" s="185"/>
      <c r="D403" s="126"/>
    </row>
    <row r="404" ht="12.75" customHeight="1">
      <c r="B404" s="185"/>
      <c r="C404" s="185"/>
      <c r="D404" s="126"/>
    </row>
    <row r="405" ht="12.75" customHeight="1">
      <c r="B405" s="185"/>
      <c r="C405" s="185"/>
      <c r="D405" s="126"/>
    </row>
    <row r="406" ht="12.75" customHeight="1">
      <c r="B406" s="185"/>
      <c r="C406" s="185"/>
      <c r="D406" s="126"/>
    </row>
    <row r="407" ht="12.75" customHeight="1">
      <c r="B407" s="185"/>
      <c r="C407" s="185"/>
      <c r="D407" s="126"/>
    </row>
    <row r="408" ht="12.75" customHeight="1">
      <c r="B408" s="185"/>
      <c r="C408" s="185"/>
      <c r="D408" s="126"/>
    </row>
    <row r="409" ht="12.75" customHeight="1">
      <c r="B409" s="185"/>
      <c r="C409" s="185"/>
      <c r="D409" s="126"/>
    </row>
    <row r="410" ht="12.75" customHeight="1">
      <c r="B410" s="185"/>
      <c r="C410" s="185"/>
      <c r="D410" s="126"/>
    </row>
    <row r="411" ht="12.75" customHeight="1">
      <c r="B411" s="185"/>
      <c r="C411" s="185"/>
      <c r="D411" s="126"/>
    </row>
    <row r="412" ht="12.75" customHeight="1">
      <c r="B412" s="185"/>
      <c r="C412" s="185"/>
      <c r="D412" s="126"/>
    </row>
    <row r="413" ht="12.75" customHeight="1">
      <c r="B413" s="185"/>
      <c r="C413" s="185"/>
      <c r="D413" s="126"/>
    </row>
    <row r="414" ht="12.75" customHeight="1">
      <c r="B414" s="185"/>
      <c r="C414" s="185"/>
      <c r="D414" s="126"/>
    </row>
    <row r="415" ht="12.75" customHeight="1">
      <c r="B415" s="185"/>
      <c r="C415" s="185"/>
      <c r="D415" s="126"/>
    </row>
    <row r="416" ht="12.75" customHeight="1">
      <c r="B416" s="185"/>
      <c r="C416" s="185"/>
      <c r="D416" s="126"/>
    </row>
    <row r="417" ht="12.75" customHeight="1">
      <c r="B417" s="185"/>
      <c r="C417" s="185"/>
      <c r="D417" s="126"/>
    </row>
    <row r="418" ht="12.75" customHeight="1">
      <c r="B418" s="185"/>
      <c r="C418" s="185"/>
      <c r="D418" s="126"/>
    </row>
    <row r="419" ht="12.75" customHeight="1">
      <c r="B419" s="185"/>
      <c r="C419" s="185"/>
      <c r="D419" s="126"/>
    </row>
    <row r="420" ht="12.75" customHeight="1">
      <c r="B420" s="185"/>
      <c r="C420" s="185"/>
      <c r="D420" s="126"/>
    </row>
    <row r="421" ht="12.75" customHeight="1">
      <c r="B421" s="185"/>
      <c r="C421" s="185"/>
      <c r="D421" s="126"/>
    </row>
    <row r="422" ht="12.75" customHeight="1">
      <c r="B422" s="185"/>
      <c r="C422" s="185"/>
      <c r="D422" s="126"/>
    </row>
    <row r="423" ht="12.75" customHeight="1">
      <c r="B423" s="185"/>
      <c r="C423" s="185"/>
      <c r="D423" s="126"/>
    </row>
    <row r="424" ht="12.75" customHeight="1">
      <c r="B424" s="185"/>
      <c r="C424" s="185"/>
      <c r="D424" s="126"/>
    </row>
    <row r="425" ht="12.75" customHeight="1">
      <c r="B425" s="185"/>
      <c r="C425" s="185"/>
      <c r="D425" s="126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218:C218"/>
    <mergeCell ref="A219:G223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85</v>
      </c>
      <c r="C3" s="177" t="s">
        <v>86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85</v>
      </c>
      <c r="C4" s="188" t="s">
        <v>86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126</v>
      </c>
      <c r="C8" s="198" t="s">
        <v>127</v>
      </c>
      <c r="D8" s="199"/>
      <c r="E8" s="200"/>
      <c r="F8" s="201"/>
      <c r="G8" s="202">
        <f>SUMIF(AG9:AG10,"&lt;&gt;NOR",G9:G10)</f>
        <v>228895.4</v>
      </c>
      <c r="H8" s="203"/>
      <c r="I8" s="203">
        <f>SUM(I9:I10)</f>
        <v>0</v>
      </c>
      <c r="J8" s="203"/>
      <c r="K8" s="203">
        <f>SUM(K9:K10)</f>
        <v>0</v>
      </c>
      <c r="L8" s="203"/>
      <c r="M8" s="203">
        <f>SUM(M9:M10)</f>
        <v>276963.434</v>
      </c>
      <c r="N8" s="203"/>
      <c r="O8" s="203">
        <f>SUM(O9:O10)</f>
        <v>0</v>
      </c>
      <c r="P8" s="203"/>
      <c r="Q8" s="203">
        <f>SUM(Q9:Q10)</f>
        <v>0</v>
      </c>
      <c r="R8" s="203"/>
      <c r="S8" s="203"/>
      <c r="T8" s="203"/>
      <c r="U8" s="203"/>
      <c r="V8" s="203">
        <f>SUM(V9:V10)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694</v>
      </c>
      <c r="C9" s="206" t="s">
        <v>695</v>
      </c>
      <c r="D9" s="207" t="s">
        <v>251</v>
      </c>
      <c r="E9" s="208">
        <v>550.0</v>
      </c>
      <c r="F9" s="209">
        <v>362.1</v>
      </c>
      <c r="G9" s="210">
        <f t="shared" ref="G9:G10" si="1">ROUND(E9*F9,2)</f>
        <v>199155</v>
      </c>
      <c r="H9" s="211"/>
      <c r="I9" s="212">
        <f t="shared" ref="I9:I10" si="2">ROUND(E9*H9,2)</f>
        <v>0</v>
      </c>
      <c r="J9" s="211"/>
      <c r="K9" s="212">
        <f t="shared" ref="K9:K10" si="3">ROUND(E9*J9,2)</f>
        <v>0</v>
      </c>
      <c r="L9" s="212">
        <v>21.0</v>
      </c>
      <c r="M9" s="212">
        <f t="shared" ref="M9:M10" si="4">G9*(1+L9/100)</f>
        <v>240977.55</v>
      </c>
      <c r="N9" s="212">
        <v>0.0</v>
      </c>
      <c r="O9" s="212">
        <f t="shared" ref="O9:O10" si="5">ROUND(E9*N9,2)</f>
        <v>0</v>
      </c>
      <c r="P9" s="212">
        <v>0.0</v>
      </c>
      <c r="Q9" s="212">
        <f t="shared" ref="Q9:Q10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10" si="7">ROUND(E9*U9,2)</f>
        <v>0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04">
        <v>2.0</v>
      </c>
      <c r="B10" s="205" t="s">
        <v>696</v>
      </c>
      <c r="C10" s="206" t="s">
        <v>1440</v>
      </c>
      <c r="D10" s="207" t="s">
        <v>372</v>
      </c>
      <c r="E10" s="208">
        <v>1.0</v>
      </c>
      <c r="F10" s="209">
        <v>29740.4</v>
      </c>
      <c r="G10" s="210">
        <f t="shared" si="1"/>
        <v>29740.4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35985.884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178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>
      <c r="A11" s="196" t="s">
        <v>173</v>
      </c>
      <c r="B11" s="197" t="s">
        <v>128</v>
      </c>
      <c r="C11" s="198" t="s">
        <v>129</v>
      </c>
      <c r="D11" s="199"/>
      <c r="E11" s="200"/>
      <c r="F11" s="201"/>
      <c r="G11" s="202">
        <f>SUMIF(AG12:AG14,"&lt;&gt;NOR",G12:G14)</f>
        <v>31722.6</v>
      </c>
      <c r="H11" s="203"/>
      <c r="I11" s="203">
        <f>SUM(I12:I14)</f>
        <v>0</v>
      </c>
      <c r="J11" s="203"/>
      <c r="K11" s="203">
        <f>SUM(K12:K14)</f>
        <v>0</v>
      </c>
      <c r="L11" s="203"/>
      <c r="M11" s="203">
        <f>SUM(M12:M14)</f>
        <v>38384.346</v>
      </c>
      <c r="N11" s="203"/>
      <c r="O11" s="203">
        <f>SUM(O12:O14)</f>
        <v>0</v>
      </c>
      <c r="P11" s="203"/>
      <c r="Q11" s="203">
        <f>SUM(Q12:Q14)</f>
        <v>0</v>
      </c>
      <c r="R11" s="203"/>
      <c r="S11" s="203"/>
      <c r="T11" s="203"/>
      <c r="U11" s="203"/>
      <c r="V11" s="203">
        <f>SUM(V12:V14)</f>
        <v>0</v>
      </c>
      <c r="W11" s="203"/>
      <c r="X11" s="203"/>
      <c r="AG11" s="184" t="s">
        <v>174</v>
      </c>
    </row>
    <row r="12" ht="12.75" customHeight="1" outlineLevel="1">
      <c r="A12" s="204">
        <v>3.0</v>
      </c>
      <c r="B12" s="205" t="s">
        <v>702</v>
      </c>
      <c r="C12" s="206" t="s">
        <v>703</v>
      </c>
      <c r="D12" s="207" t="s">
        <v>377</v>
      </c>
      <c r="E12" s="208">
        <v>1.0</v>
      </c>
      <c r="F12" s="209">
        <v>12408.7</v>
      </c>
      <c r="G12" s="210">
        <f t="shared" ref="G12:G14" si="8">ROUND(E12*F12,2)</f>
        <v>12408.7</v>
      </c>
      <c r="H12" s="211"/>
      <c r="I12" s="212">
        <f t="shared" ref="I12:I14" si="9">ROUND(E12*H12,2)</f>
        <v>0</v>
      </c>
      <c r="J12" s="211"/>
      <c r="K12" s="212">
        <f t="shared" ref="K12:K14" si="10">ROUND(E12*J12,2)</f>
        <v>0</v>
      </c>
      <c r="L12" s="212">
        <v>21.0</v>
      </c>
      <c r="M12" s="212">
        <f t="shared" ref="M12:M14" si="11">G12*(1+L12/100)</f>
        <v>15014.527</v>
      </c>
      <c r="N12" s="212">
        <v>0.0</v>
      </c>
      <c r="O12" s="212">
        <f t="shared" ref="O12:O14" si="12">ROUND(E12*N12,2)</f>
        <v>0</v>
      </c>
      <c r="P12" s="212">
        <v>0.0</v>
      </c>
      <c r="Q12" s="212">
        <f t="shared" ref="Q12:Q14" si="13">ROUND(E12*P12,2)</f>
        <v>0</v>
      </c>
      <c r="R12" s="212"/>
      <c r="S12" s="212" t="s">
        <v>178</v>
      </c>
      <c r="T12" s="212" t="s">
        <v>179</v>
      </c>
      <c r="U12" s="212">
        <v>0.0</v>
      </c>
      <c r="V12" s="212">
        <f t="shared" ref="V12:V14" si="14">ROUND(E12*U12,2)</f>
        <v>0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04">
        <v>4.0</v>
      </c>
      <c r="B13" s="205" t="s">
        <v>704</v>
      </c>
      <c r="C13" s="206" t="s">
        <v>705</v>
      </c>
      <c r="D13" s="207" t="s">
        <v>377</v>
      </c>
      <c r="E13" s="208">
        <v>1.0</v>
      </c>
      <c r="F13" s="209">
        <v>4020.3</v>
      </c>
      <c r="G13" s="210">
        <f t="shared" si="8"/>
        <v>4020.3</v>
      </c>
      <c r="H13" s="211"/>
      <c r="I13" s="212">
        <f t="shared" si="9"/>
        <v>0</v>
      </c>
      <c r="J13" s="211"/>
      <c r="K13" s="212">
        <f t="shared" si="10"/>
        <v>0</v>
      </c>
      <c r="L13" s="212">
        <v>21.0</v>
      </c>
      <c r="M13" s="212">
        <f t="shared" si="11"/>
        <v>4864.563</v>
      </c>
      <c r="N13" s="212">
        <v>0.0</v>
      </c>
      <c r="O13" s="212">
        <f t="shared" si="12"/>
        <v>0</v>
      </c>
      <c r="P13" s="212">
        <v>0.0</v>
      </c>
      <c r="Q13" s="212">
        <f t="shared" si="13"/>
        <v>0</v>
      </c>
      <c r="R13" s="212"/>
      <c r="S13" s="212" t="s">
        <v>178</v>
      </c>
      <c r="T13" s="212" t="s">
        <v>179</v>
      </c>
      <c r="U13" s="212">
        <v>0.0</v>
      </c>
      <c r="V13" s="212">
        <f t="shared" si="14"/>
        <v>0</v>
      </c>
      <c r="W13" s="212"/>
      <c r="X13" s="212" t="s">
        <v>225</v>
      </c>
      <c r="Y13" s="213"/>
      <c r="Z13" s="213"/>
      <c r="AA13" s="213"/>
      <c r="AB13" s="213"/>
      <c r="AC13" s="213"/>
      <c r="AD13" s="213"/>
      <c r="AE13" s="213"/>
      <c r="AF13" s="213"/>
      <c r="AG13" s="213" t="s">
        <v>226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04">
        <v>5.0</v>
      </c>
      <c r="B14" s="205" t="s">
        <v>706</v>
      </c>
      <c r="C14" s="206" t="s">
        <v>707</v>
      </c>
      <c r="D14" s="207" t="s">
        <v>377</v>
      </c>
      <c r="E14" s="208">
        <v>1.0</v>
      </c>
      <c r="F14" s="209">
        <v>15293.6</v>
      </c>
      <c r="G14" s="210">
        <f t="shared" si="8"/>
        <v>15293.6</v>
      </c>
      <c r="H14" s="211"/>
      <c r="I14" s="212">
        <f t="shared" si="9"/>
        <v>0</v>
      </c>
      <c r="J14" s="211"/>
      <c r="K14" s="212">
        <f t="shared" si="10"/>
        <v>0</v>
      </c>
      <c r="L14" s="212">
        <v>21.0</v>
      </c>
      <c r="M14" s="212">
        <f t="shared" si="11"/>
        <v>18505.256</v>
      </c>
      <c r="N14" s="212">
        <v>0.0</v>
      </c>
      <c r="O14" s="212">
        <f t="shared" si="12"/>
        <v>0</v>
      </c>
      <c r="P14" s="212">
        <v>0.0</v>
      </c>
      <c r="Q14" s="212">
        <f t="shared" si="13"/>
        <v>0</v>
      </c>
      <c r="R14" s="212"/>
      <c r="S14" s="212" t="s">
        <v>178</v>
      </c>
      <c r="T14" s="212" t="s">
        <v>179</v>
      </c>
      <c r="U14" s="212">
        <v>0.0</v>
      </c>
      <c r="V14" s="212">
        <f t="shared" si="14"/>
        <v>0</v>
      </c>
      <c r="W14" s="212"/>
      <c r="X14" s="212" t="s">
        <v>225</v>
      </c>
      <c r="Y14" s="213"/>
      <c r="Z14" s="213"/>
      <c r="AA14" s="213"/>
      <c r="AB14" s="213"/>
      <c r="AC14" s="213"/>
      <c r="AD14" s="213"/>
      <c r="AE14" s="213"/>
      <c r="AF14" s="213"/>
      <c r="AG14" s="213" t="s">
        <v>226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>
      <c r="A15" s="196" t="s">
        <v>173</v>
      </c>
      <c r="B15" s="197" t="s">
        <v>132</v>
      </c>
      <c r="C15" s="198" t="s">
        <v>133</v>
      </c>
      <c r="D15" s="199"/>
      <c r="E15" s="200"/>
      <c r="F15" s="201"/>
      <c r="G15" s="202">
        <f>SUMIF(AG16:AG28,"&lt;&gt;NOR",G16:G28)</f>
        <v>156244.8</v>
      </c>
      <c r="H15" s="203"/>
      <c r="I15" s="203">
        <f>SUM(I16:I28)</f>
        <v>0</v>
      </c>
      <c r="J15" s="203"/>
      <c r="K15" s="203">
        <f>SUM(K16:K28)</f>
        <v>0</v>
      </c>
      <c r="L15" s="203"/>
      <c r="M15" s="203">
        <f>SUM(M16:M28)</f>
        <v>189056.208</v>
      </c>
      <c r="N15" s="203"/>
      <c r="O15" s="203">
        <f>SUM(O16:O28)</f>
        <v>0.21</v>
      </c>
      <c r="P15" s="203"/>
      <c r="Q15" s="203">
        <f>SUM(Q16:Q28)</f>
        <v>0</v>
      </c>
      <c r="R15" s="203"/>
      <c r="S15" s="203"/>
      <c r="T15" s="203"/>
      <c r="U15" s="203"/>
      <c r="V15" s="203">
        <f>SUM(V16:V28)</f>
        <v>70</v>
      </c>
      <c r="W15" s="203"/>
      <c r="X15" s="203"/>
      <c r="AG15" s="184" t="s">
        <v>174</v>
      </c>
    </row>
    <row r="16" ht="12.75" customHeight="1" outlineLevel="1">
      <c r="A16" s="204">
        <v>6.0</v>
      </c>
      <c r="B16" s="205" t="s">
        <v>424</v>
      </c>
      <c r="C16" s="206" t="s">
        <v>708</v>
      </c>
      <c r="D16" s="207" t="s">
        <v>251</v>
      </c>
      <c r="E16" s="208">
        <v>700.0</v>
      </c>
      <c r="F16" s="209">
        <v>143.5</v>
      </c>
      <c r="G16" s="210">
        <f t="shared" ref="G16:G17" si="15">ROUND(E16*F16,2)</f>
        <v>100450</v>
      </c>
      <c r="H16" s="211"/>
      <c r="I16" s="212">
        <f t="shared" ref="I16:I17" si="16">ROUND(E16*H16,2)</f>
        <v>0</v>
      </c>
      <c r="J16" s="211"/>
      <c r="K16" s="212">
        <f t="shared" ref="K16:K17" si="17">ROUND(E16*J16,2)</f>
        <v>0</v>
      </c>
      <c r="L16" s="212">
        <v>21.0</v>
      </c>
      <c r="M16" s="212">
        <f t="shared" ref="M16:M17" si="18">G16*(1+L16/100)</f>
        <v>121544.5</v>
      </c>
      <c r="N16" s="212">
        <v>0.0</v>
      </c>
      <c r="O16" s="212">
        <f t="shared" ref="O16:O17" si="19">ROUND(E16*N16,2)</f>
        <v>0</v>
      </c>
      <c r="P16" s="212">
        <v>0.0</v>
      </c>
      <c r="Q16" s="212">
        <f t="shared" ref="Q16:Q17" si="20">ROUND(E16*P16,2)</f>
        <v>0</v>
      </c>
      <c r="R16" s="212"/>
      <c r="S16" s="212" t="s">
        <v>178</v>
      </c>
      <c r="T16" s="212" t="s">
        <v>179</v>
      </c>
      <c r="U16" s="212">
        <v>0.0</v>
      </c>
      <c r="V16" s="212">
        <f t="shared" ref="V16:V17" si="21">ROUND(E16*U16,2)</f>
        <v>0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14">
        <v>7.0</v>
      </c>
      <c r="B17" s="215" t="s">
        <v>709</v>
      </c>
      <c r="C17" s="216" t="s">
        <v>710</v>
      </c>
      <c r="D17" s="217" t="s">
        <v>251</v>
      </c>
      <c r="E17" s="218">
        <v>550.0</v>
      </c>
      <c r="F17" s="219">
        <v>51.5</v>
      </c>
      <c r="G17" s="220">
        <f t="shared" si="15"/>
        <v>28325</v>
      </c>
      <c r="H17" s="211"/>
      <c r="I17" s="212">
        <f t="shared" si="16"/>
        <v>0</v>
      </c>
      <c r="J17" s="211"/>
      <c r="K17" s="212">
        <f t="shared" si="17"/>
        <v>0</v>
      </c>
      <c r="L17" s="212">
        <v>21.0</v>
      </c>
      <c r="M17" s="212">
        <f t="shared" si="18"/>
        <v>34273.25</v>
      </c>
      <c r="N17" s="212">
        <v>0.0</v>
      </c>
      <c r="O17" s="212">
        <f t="shared" si="19"/>
        <v>0</v>
      </c>
      <c r="P17" s="212">
        <v>0.0</v>
      </c>
      <c r="Q17" s="212">
        <f t="shared" si="20"/>
        <v>0</v>
      </c>
      <c r="R17" s="212"/>
      <c r="S17" s="212" t="s">
        <v>184</v>
      </c>
      <c r="T17" s="212" t="s">
        <v>184</v>
      </c>
      <c r="U17" s="212">
        <v>0.12</v>
      </c>
      <c r="V17" s="212">
        <f t="shared" si="21"/>
        <v>66</v>
      </c>
      <c r="W17" s="212"/>
      <c r="X17" s="212" t="s">
        <v>225</v>
      </c>
      <c r="Y17" s="213"/>
      <c r="Z17" s="213"/>
      <c r="AA17" s="213"/>
      <c r="AB17" s="213"/>
      <c r="AC17" s="213"/>
      <c r="AD17" s="213"/>
      <c r="AE17" s="213"/>
      <c r="AF17" s="213"/>
      <c r="AG17" s="213" t="s">
        <v>408</v>
      </c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35"/>
      <c r="B18" s="236"/>
      <c r="C18" s="237" t="s">
        <v>711</v>
      </c>
      <c r="D18" s="238"/>
      <c r="E18" s="239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/>
      <c r="AG18" s="213" t="s">
        <v>228</v>
      </c>
      <c r="AH18" s="213">
        <v>0.0</v>
      </c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35"/>
      <c r="B19" s="236"/>
      <c r="C19" s="237" t="s">
        <v>1441</v>
      </c>
      <c r="D19" s="238"/>
      <c r="E19" s="239">
        <v>550.0</v>
      </c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3"/>
      <c r="Z19" s="213"/>
      <c r="AA19" s="213"/>
      <c r="AB19" s="213"/>
      <c r="AC19" s="213"/>
      <c r="AD19" s="213"/>
      <c r="AE19" s="213"/>
      <c r="AF19" s="213"/>
      <c r="AG19" s="213" t="s">
        <v>228</v>
      </c>
      <c r="AH19" s="213">
        <v>0.0</v>
      </c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14">
        <v>8.0</v>
      </c>
      <c r="B20" s="215" t="s">
        <v>713</v>
      </c>
      <c r="C20" s="216" t="s">
        <v>714</v>
      </c>
      <c r="D20" s="217" t="s">
        <v>251</v>
      </c>
      <c r="E20" s="218">
        <v>20.0</v>
      </c>
      <c r="F20" s="219">
        <v>54.7</v>
      </c>
      <c r="G20" s="220">
        <f>ROUND(E20*F20,2)</f>
        <v>1094</v>
      </c>
      <c r="H20" s="211"/>
      <c r="I20" s="212">
        <f>ROUND(E20*H20,2)</f>
        <v>0</v>
      </c>
      <c r="J20" s="211"/>
      <c r="K20" s="212">
        <f>ROUND(E20*J20,2)</f>
        <v>0</v>
      </c>
      <c r="L20" s="212">
        <v>21.0</v>
      </c>
      <c r="M20" s="212">
        <f>G20*(1+L20/100)</f>
        <v>1323.74</v>
      </c>
      <c r="N20" s="212">
        <v>0.0</v>
      </c>
      <c r="O20" s="212">
        <f>ROUND(E20*N20,2)</f>
        <v>0</v>
      </c>
      <c r="P20" s="212">
        <v>0.0</v>
      </c>
      <c r="Q20" s="212">
        <f>ROUND(E20*P20,2)</f>
        <v>0</v>
      </c>
      <c r="R20" s="212"/>
      <c r="S20" s="212" t="s">
        <v>184</v>
      </c>
      <c r="T20" s="212" t="s">
        <v>184</v>
      </c>
      <c r="U20" s="212">
        <v>0.2</v>
      </c>
      <c r="V20" s="212">
        <f>ROUND(E20*U20,2)</f>
        <v>4</v>
      </c>
      <c r="W20" s="212"/>
      <c r="X20" s="212" t="s">
        <v>225</v>
      </c>
      <c r="Y20" s="213"/>
      <c r="Z20" s="213"/>
      <c r="AA20" s="213"/>
      <c r="AB20" s="213"/>
      <c r="AC20" s="213"/>
      <c r="AD20" s="213"/>
      <c r="AE20" s="213"/>
      <c r="AF20" s="213"/>
      <c r="AG20" s="213" t="s">
        <v>408</v>
      </c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35"/>
      <c r="B21" s="236"/>
      <c r="C21" s="237" t="s">
        <v>715</v>
      </c>
      <c r="D21" s="238"/>
      <c r="E21" s="239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3"/>
      <c r="Z21" s="213"/>
      <c r="AA21" s="213"/>
      <c r="AB21" s="213"/>
      <c r="AC21" s="213"/>
      <c r="AD21" s="213"/>
      <c r="AE21" s="213"/>
      <c r="AF21" s="213"/>
      <c r="AG21" s="213" t="s">
        <v>228</v>
      </c>
      <c r="AH21" s="213">
        <v>0.0</v>
      </c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35"/>
      <c r="B22" s="236"/>
      <c r="C22" s="237" t="s">
        <v>1442</v>
      </c>
      <c r="D22" s="238"/>
      <c r="E22" s="239">
        <v>20.0</v>
      </c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3"/>
      <c r="Z22" s="213"/>
      <c r="AA22" s="213"/>
      <c r="AB22" s="213"/>
      <c r="AC22" s="213"/>
      <c r="AD22" s="213"/>
      <c r="AE22" s="213"/>
      <c r="AF22" s="213"/>
      <c r="AG22" s="213" t="s">
        <v>228</v>
      </c>
      <c r="AH22" s="213">
        <v>0.0</v>
      </c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14">
        <v>9.0</v>
      </c>
      <c r="B23" s="215" t="s">
        <v>717</v>
      </c>
      <c r="C23" s="216" t="s">
        <v>718</v>
      </c>
      <c r="D23" s="217" t="s">
        <v>251</v>
      </c>
      <c r="E23" s="218">
        <v>605.0</v>
      </c>
      <c r="F23" s="219">
        <v>40.8</v>
      </c>
      <c r="G23" s="220">
        <f>ROUND(E23*F23,2)</f>
        <v>24684</v>
      </c>
      <c r="H23" s="211"/>
      <c r="I23" s="212">
        <f>ROUND(E23*H23,2)</f>
        <v>0</v>
      </c>
      <c r="J23" s="211"/>
      <c r="K23" s="212">
        <f>ROUND(E23*J23,2)</f>
        <v>0</v>
      </c>
      <c r="L23" s="212">
        <v>21.0</v>
      </c>
      <c r="M23" s="212">
        <f>G23*(1+L23/100)</f>
        <v>29867.64</v>
      </c>
      <c r="N23" s="212">
        <v>3.1E-4</v>
      </c>
      <c r="O23" s="212">
        <f>ROUND(E23*N23,2)</f>
        <v>0.19</v>
      </c>
      <c r="P23" s="212">
        <v>0.0</v>
      </c>
      <c r="Q23" s="212">
        <f>ROUND(E23*P23,2)</f>
        <v>0</v>
      </c>
      <c r="R23" s="212" t="s">
        <v>322</v>
      </c>
      <c r="S23" s="212" t="s">
        <v>184</v>
      </c>
      <c r="T23" s="212" t="s">
        <v>184</v>
      </c>
      <c r="U23" s="212">
        <v>0.0</v>
      </c>
      <c r="V23" s="212">
        <f>ROUND(E23*U23,2)</f>
        <v>0</v>
      </c>
      <c r="W23" s="212"/>
      <c r="X23" s="212" t="s">
        <v>323</v>
      </c>
      <c r="Y23" s="213"/>
      <c r="Z23" s="213"/>
      <c r="AA23" s="213"/>
      <c r="AB23" s="213"/>
      <c r="AC23" s="213"/>
      <c r="AD23" s="213"/>
      <c r="AE23" s="213"/>
      <c r="AF23" s="213"/>
      <c r="AG23" s="213" t="s">
        <v>719</v>
      </c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 outlineLevel="1">
      <c r="A24" s="235"/>
      <c r="B24" s="236"/>
      <c r="C24" s="237" t="s">
        <v>711</v>
      </c>
      <c r="D24" s="238"/>
      <c r="E24" s="239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3"/>
      <c r="Z24" s="213"/>
      <c r="AA24" s="213"/>
      <c r="AB24" s="213"/>
      <c r="AC24" s="213"/>
      <c r="AD24" s="213"/>
      <c r="AE24" s="213"/>
      <c r="AF24" s="213"/>
      <c r="AG24" s="213" t="s">
        <v>228</v>
      </c>
      <c r="AH24" s="213">
        <v>0.0</v>
      </c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</row>
    <row r="25" ht="12.75" customHeight="1" outlineLevel="1">
      <c r="A25" s="235"/>
      <c r="B25" s="236"/>
      <c r="C25" s="237" t="s">
        <v>1443</v>
      </c>
      <c r="D25" s="238"/>
      <c r="E25" s="239">
        <v>605.0</v>
      </c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3"/>
      <c r="Z25" s="213"/>
      <c r="AA25" s="213"/>
      <c r="AB25" s="213"/>
      <c r="AC25" s="213"/>
      <c r="AD25" s="213"/>
      <c r="AE25" s="213"/>
      <c r="AF25" s="213"/>
      <c r="AG25" s="213" t="s">
        <v>228</v>
      </c>
      <c r="AH25" s="213">
        <v>0.0</v>
      </c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14">
        <v>10.0</v>
      </c>
      <c r="B26" s="215" t="s">
        <v>721</v>
      </c>
      <c r="C26" s="216" t="s">
        <v>722</v>
      </c>
      <c r="D26" s="217" t="s">
        <v>251</v>
      </c>
      <c r="E26" s="218">
        <v>22.0</v>
      </c>
      <c r="F26" s="219">
        <v>76.9</v>
      </c>
      <c r="G26" s="220">
        <f>ROUND(E26*F26,2)</f>
        <v>1691.8</v>
      </c>
      <c r="H26" s="211"/>
      <c r="I26" s="212">
        <f>ROUND(E26*H26,2)</f>
        <v>0</v>
      </c>
      <c r="J26" s="211"/>
      <c r="K26" s="212">
        <f>ROUND(E26*J26,2)</f>
        <v>0</v>
      </c>
      <c r="L26" s="212">
        <v>21.0</v>
      </c>
      <c r="M26" s="212">
        <f>G26*(1+L26/100)</f>
        <v>2047.078</v>
      </c>
      <c r="N26" s="212">
        <v>6.9E-4</v>
      </c>
      <c r="O26" s="212">
        <f>ROUND(E26*N26,2)</f>
        <v>0.02</v>
      </c>
      <c r="P26" s="212">
        <v>0.0</v>
      </c>
      <c r="Q26" s="212">
        <f>ROUND(E26*P26,2)</f>
        <v>0</v>
      </c>
      <c r="R26" s="212" t="s">
        <v>322</v>
      </c>
      <c r="S26" s="212" t="s">
        <v>184</v>
      </c>
      <c r="T26" s="212" t="s">
        <v>184</v>
      </c>
      <c r="U26" s="212">
        <v>0.0</v>
      </c>
      <c r="V26" s="212">
        <f>ROUND(E26*U26,2)</f>
        <v>0</v>
      </c>
      <c r="W26" s="212"/>
      <c r="X26" s="212" t="s">
        <v>323</v>
      </c>
      <c r="Y26" s="213"/>
      <c r="Z26" s="213"/>
      <c r="AA26" s="213"/>
      <c r="AB26" s="213"/>
      <c r="AC26" s="213"/>
      <c r="AD26" s="213"/>
      <c r="AE26" s="213"/>
      <c r="AF26" s="213"/>
      <c r="AG26" s="213" t="s">
        <v>719</v>
      </c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715</v>
      </c>
      <c r="D27" s="238"/>
      <c r="E27" s="239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35"/>
      <c r="B28" s="236"/>
      <c r="C28" s="237" t="s">
        <v>1444</v>
      </c>
      <c r="D28" s="238"/>
      <c r="E28" s="239">
        <v>22.0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3"/>
      <c r="Z28" s="213"/>
      <c r="AA28" s="213"/>
      <c r="AB28" s="213"/>
      <c r="AC28" s="213"/>
      <c r="AD28" s="213"/>
      <c r="AE28" s="213"/>
      <c r="AF28" s="213"/>
      <c r="AG28" s="213" t="s">
        <v>228</v>
      </c>
      <c r="AH28" s="213">
        <v>0.0</v>
      </c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>
      <c r="A29" s="196" t="s">
        <v>173</v>
      </c>
      <c r="B29" s="197" t="s">
        <v>134</v>
      </c>
      <c r="C29" s="198" t="s">
        <v>135</v>
      </c>
      <c r="D29" s="199"/>
      <c r="E29" s="200"/>
      <c r="F29" s="201"/>
      <c r="G29" s="202">
        <f>SUMIF(AG30:AG61,"&lt;&gt;NOR",G30:G61)</f>
        <v>370404.4</v>
      </c>
      <c r="H29" s="203"/>
      <c r="I29" s="203">
        <f>SUM(I30:I61)</f>
        <v>0</v>
      </c>
      <c r="J29" s="203"/>
      <c r="K29" s="203">
        <f>SUM(K30:K61)</f>
        <v>0</v>
      </c>
      <c r="L29" s="203"/>
      <c r="M29" s="203">
        <f>SUM(M30:M61)</f>
        <v>448189.324</v>
      </c>
      <c r="N29" s="203"/>
      <c r="O29" s="203">
        <f>SUM(O30:O61)</f>
        <v>0</v>
      </c>
      <c r="P29" s="203"/>
      <c r="Q29" s="203">
        <f>SUM(Q30:Q61)</f>
        <v>0</v>
      </c>
      <c r="R29" s="203"/>
      <c r="S29" s="203"/>
      <c r="T29" s="203"/>
      <c r="U29" s="203"/>
      <c r="V29" s="203">
        <f>SUM(V30:V61)</f>
        <v>0</v>
      </c>
      <c r="W29" s="203"/>
      <c r="X29" s="203"/>
      <c r="AG29" s="184" t="s">
        <v>174</v>
      </c>
    </row>
    <row r="30" ht="12.75" customHeight="1" outlineLevel="1">
      <c r="A30" s="214">
        <v>11.0</v>
      </c>
      <c r="B30" s="215" t="s">
        <v>1445</v>
      </c>
      <c r="C30" s="216" t="s">
        <v>1446</v>
      </c>
      <c r="D30" s="217" t="s">
        <v>372</v>
      </c>
      <c r="E30" s="218">
        <v>1.0</v>
      </c>
      <c r="F30" s="219">
        <v>23150.0</v>
      </c>
      <c r="G30" s="220">
        <f>ROUND(E30*F30,2)</f>
        <v>23150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28011.5</v>
      </c>
      <c r="N30" s="212">
        <v>0.0</v>
      </c>
      <c r="O30" s="212">
        <f>ROUND(E30*N30,2)</f>
        <v>0</v>
      </c>
      <c r="P30" s="212">
        <v>0.0</v>
      </c>
      <c r="Q30" s="212">
        <f>ROUND(E30*P30,2)</f>
        <v>0</v>
      </c>
      <c r="R30" s="212"/>
      <c r="S30" s="212" t="s">
        <v>178</v>
      </c>
      <c r="T30" s="212" t="s">
        <v>179</v>
      </c>
      <c r="U30" s="212">
        <v>0.0</v>
      </c>
      <c r="V30" s="212">
        <f>ROUND(E30*U30,2)</f>
        <v>0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374</v>
      </c>
      <c r="D31" s="238"/>
      <c r="E31" s="239">
        <v>1.0</v>
      </c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14">
        <v>12.0</v>
      </c>
      <c r="B32" s="215" t="s">
        <v>1447</v>
      </c>
      <c r="C32" s="216" t="s">
        <v>1448</v>
      </c>
      <c r="D32" s="217" t="s">
        <v>372</v>
      </c>
      <c r="E32" s="218">
        <v>1.0</v>
      </c>
      <c r="F32" s="219">
        <v>23150.0</v>
      </c>
      <c r="G32" s="220">
        <f>ROUND(E32*F32,2)</f>
        <v>23150</v>
      </c>
      <c r="H32" s="211"/>
      <c r="I32" s="212">
        <f>ROUND(E32*H32,2)</f>
        <v>0</v>
      </c>
      <c r="J32" s="211"/>
      <c r="K32" s="212">
        <f>ROUND(E32*J32,2)</f>
        <v>0</v>
      </c>
      <c r="L32" s="212">
        <v>21.0</v>
      </c>
      <c r="M32" s="212">
        <f>G32*(1+L32/100)</f>
        <v>28011.5</v>
      </c>
      <c r="N32" s="212">
        <v>0.0</v>
      </c>
      <c r="O32" s="212">
        <f>ROUND(E32*N32,2)</f>
        <v>0</v>
      </c>
      <c r="P32" s="212">
        <v>0.0</v>
      </c>
      <c r="Q32" s="212">
        <f>ROUND(E32*P32,2)</f>
        <v>0</v>
      </c>
      <c r="R32" s="212"/>
      <c r="S32" s="212" t="s">
        <v>178</v>
      </c>
      <c r="T32" s="212" t="s">
        <v>179</v>
      </c>
      <c r="U32" s="212">
        <v>0.0</v>
      </c>
      <c r="V32" s="212">
        <f>ROUND(E32*U32,2)</f>
        <v>0</v>
      </c>
      <c r="W32" s="212"/>
      <c r="X32" s="212" t="s">
        <v>225</v>
      </c>
      <c r="Y32" s="213"/>
      <c r="Z32" s="213"/>
      <c r="AA32" s="213"/>
      <c r="AB32" s="213"/>
      <c r="AC32" s="213"/>
      <c r="AD32" s="213"/>
      <c r="AE32" s="213"/>
      <c r="AF32" s="213"/>
      <c r="AG32" s="213" t="s">
        <v>226</v>
      </c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35"/>
      <c r="B33" s="236"/>
      <c r="C33" s="237" t="s">
        <v>374</v>
      </c>
      <c r="D33" s="238"/>
      <c r="E33" s="239">
        <v>1.0</v>
      </c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3"/>
      <c r="Z33" s="213"/>
      <c r="AA33" s="213"/>
      <c r="AB33" s="213"/>
      <c r="AC33" s="213"/>
      <c r="AD33" s="213"/>
      <c r="AE33" s="213"/>
      <c r="AF33" s="213"/>
      <c r="AG33" s="213" t="s">
        <v>228</v>
      </c>
      <c r="AH33" s="213">
        <v>0.0</v>
      </c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14">
        <v>13.0</v>
      </c>
      <c r="B34" s="215" t="s">
        <v>1449</v>
      </c>
      <c r="C34" s="216" t="s">
        <v>1450</v>
      </c>
      <c r="D34" s="217" t="s">
        <v>372</v>
      </c>
      <c r="E34" s="218">
        <v>1.0</v>
      </c>
      <c r="F34" s="219">
        <v>23150.0</v>
      </c>
      <c r="G34" s="220">
        <f>ROUND(E34*F34,2)</f>
        <v>23150</v>
      </c>
      <c r="H34" s="211"/>
      <c r="I34" s="212">
        <f>ROUND(E34*H34,2)</f>
        <v>0</v>
      </c>
      <c r="J34" s="211"/>
      <c r="K34" s="212">
        <f>ROUND(E34*J34,2)</f>
        <v>0</v>
      </c>
      <c r="L34" s="212">
        <v>21.0</v>
      </c>
      <c r="M34" s="212">
        <f>G34*(1+L34/100)</f>
        <v>28011.5</v>
      </c>
      <c r="N34" s="212">
        <v>0.0</v>
      </c>
      <c r="O34" s="212">
        <f>ROUND(E34*N34,2)</f>
        <v>0</v>
      </c>
      <c r="P34" s="212">
        <v>0.0</v>
      </c>
      <c r="Q34" s="212">
        <f>ROUND(E34*P34,2)</f>
        <v>0</v>
      </c>
      <c r="R34" s="212"/>
      <c r="S34" s="212" t="s">
        <v>178</v>
      </c>
      <c r="T34" s="212" t="s">
        <v>179</v>
      </c>
      <c r="U34" s="212">
        <v>0.0</v>
      </c>
      <c r="V34" s="212">
        <f>ROUND(E34*U34,2)</f>
        <v>0</v>
      </c>
      <c r="W34" s="212"/>
      <c r="X34" s="212" t="s">
        <v>225</v>
      </c>
      <c r="Y34" s="213"/>
      <c r="Z34" s="213"/>
      <c r="AA34" s="213"/>
      <c r="AB34" s="213"/>
      <c r="AC34" s="213"/>
      <c r="AD34" s="213"/>
      <c r="AE34" s="213"/>
      <c r="AF34" s="213"/>
      <c r="AG34" s="213" t="s">
        <v>226</v>
      </c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374</v>
      </c>
      <c r="D35" s="238"/>
      <c r="E35" s="239">
        <v>1.0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14.0</v>
      </c>
      <c r="B36" s="215" t="s">
        <v>1451</v>
      </c>
      <c r="C36" s="216" t="s">
        <v>1452</v>
      </c>
      <c r="D36" s="217" t="s">
        <v>372</v>
      </c>
      <c r="E36" s="218">
        <v>1.0</v>
      </c>
      <c r="F36" s="219">
        <v>23150.0</v>
      </c>
      <c r="G36" s="220">
        <f>ROUND(E36*F36,2)</f>
        <v>23150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28011.5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178</v>
      </c>
      <c r="T36" s="212" t="s">
        <v>179</v>
      </c>
      <c r="U36" s="212">
        <v>0.0</v>
      </c>
      <c r="V36" s="212">
        <f>ROUND(E36*U36,2)</f>
        <v>0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 outlineLevel="1">
      <c r="A37" s="235"/>
      <c r="B37" s="236"/>
      <c r="C37" s="237" t="s">
        <v>374</v>
      </c>
      <c r="D37" s="238"/>
      <c r="E37" s="239">
        <v>1.0</v>
      </c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3"/>
      <c r="Z37" s="213"/>
      <c r="AA37" s="213"/>
      <c r="AB37" s="213"/>
      <c r="AC37" s="213"/>
      <c r="AD37" s="213"/>
      <c r="AE37" s="213"/>
      <c r="AF37" s="213"/>
      <c r="AG37" s="213" t="s">
        <v>228</v>
      </c>
      <c r="AH37" s="213">
        <v>0.0</v>
      </c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</row>
    <row r="38" ht="12.75" customHeight="1" outlineLevel="1">
      <c r="A38" s="214">
        <v>15.0</v>
      </c>
      <c r="B38" s="215" t="s">
        <v>1453</v>
      </c>
      <c r="C38" s="216" t="s">
        <v>1454</v>
      </c>
      <c r="D38" s="217" t="s">
        <v>372</v>
      </c>
      <c r="E38" s="218">
        <v>1.0</v>
      </c>
      <c r="F38" s="219">
        <v>23150.0</v>
      </c>
      <c r="G38" s="220">
        <f>ROUND(E38*F38,2)</f>
        <v>23150</v>
      </c>
      <c r="H38" s="211"/>
      <c r="I38" s="212">
        <f>ROUND(E38*H38,2)</f>
        <v>0</v>
      </c>
      <c r="J38" s="211"/>
      <c r="K38" s="212">
        <f>ROUND(E38*J38,2)</f>
        <v>0</v>
      </c>
      <c r="L38" s="212">
        <v>21.0</v>
      </c>
      <c r="M38" s="212">
        <f>G38*(1+L38/100)</f>
        <v>28011.5</v>
      </c>
      <c r="N38" s="212">
        <v>0.0</v>
      </c>
      <c r="O38" s="212">
        <f>ROUND(E38*N38,2)</f>
        <v>0</v>
      </c>
      <c r="P38" s="212">
        <v>0.0</v>
      </c>
      <c r="Q38" s="212">
        <f>ROUND(E38*P38,2)</f>
        <v>0</v>
      </c>
      <c r="R38" s="212"/>
      <c r="S38" s="212" t="s">
        <v>178</v>
      </c>
      <c r="T38" s="212" t="s">
        <v>179</v>
      </c>
      <c r="U38" s="212">
        <v>0.0</v>
      </c>
      <c r="V38" s="212">
        <f>ROUND(E38*U38,2)</f>
        <v>0</v>
      </c>
      <c r="W38" s="212"/>
      <c r="X38" s="212" t="s">
        <v>225</v>
      </c>
      <c r="Y38" s="213"/>
      <c r="Z38" s="213"/>
      <c r="AA38" s="213"/>
      <c r="AB38" s="213"/>
      <c r="AC38" s="213"/>
      <c r="AD38" s="213"/>
      <c r="AE38" s="213"/>
      <c r="AF38" s="213"/>
      <c r="AG38" s="213" t="s">
        <v>226</v>
      </c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</row>
    <row r="39" ht="12.75" customHeight="1" outlineLevel="1">
      <c r="A39" s="235"/>
      <c r="B39" s="236"/>
      <c r="C39" s="237" t="s">
        <v>374</v>
      </c>
      <c r="D39" s="238"/>
      <c r="E39" s="239">
        <v>1.0</v>
      </c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3"/>
      <c r="Z39" s="213"/>
      <c r="AA39" s="213"/>
      <c r="AB39" s="213"/>
      <c r="AC39" s="213"/>
      <c r="AD39" s="213"/>
      <c r="AE39" s="213"/>
      <c r="AF39" s="213"/>
      <c r="AG39" s="213" t="s">
        <v>228</v>
      </c>
      <c r="AH39" s="213">
        <v>0.0</v>
      </c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</row>
    <row r="40" ht="12.75" customHeight="1" outlineLevel="1">
      <c r="A40" s="214">
        <v>16.0</v>
      </c>
      <c r="B40" s="215" t="s">
        <v>1455</v>
      </c>
      <c r="C40" s="216" t="s">
        <v>1456</v>
      </c>
      <c r="D40" s="217" t="s">
        <v>372</v>
      </c>
      <c r="E40" s="218">
        <v>1.0</v>
      </c>
      <c r="F40" s="219">
        <v>23150.0</v>
      </c>
      <c r="G40" s="220">
        <f>ROUND(E40*F40,2)</f>
        <v>23150</v>
      </c>
      <c r="H40" s="211"/>
      <c r="I40" s="212">
        <f>ROUND(E40*H40,2)</f>
        <v>0</v>
      </c>
      <c r="J40" s="211"/>
      <c r="K40" s="212">
        <f>ROUND(E40*J40,2)</f>
        <v>0</v>
      </c>
      <c r="L40" s="212">
        <v>21.0</v>
      </c>
      <c r="M40" s="212">
        <f>G40*(1+L40/100)</f>
        <v>28011.5</v>
      </c>
      <c r="N40" s="212">
        <v>0.0</v>
      </c>
      <c r="O40" s="212">
        <f>ROUND(E40*N40,2)</f>
        <v>0</v>
      </c>
      <c r="P40" s="212">
        <v>0.0</v>
      </c>
      <c r="Q40" s="212">
        <f>ROUND(E40*P40,2)</f>
        <v>0</v>
      </c>
      <c r="R40" s="212"/>
      <c r="S40" s="212" t="s">
        <v>178</v>
      </c>
      <c r="T40" s="212" t="s">
        <v>179</v>
      </c>
      <c r="U40" s="212">
        <v>0.0</v>
      </c>
      <c r="V40" s="212">
        <f>ROUND(E40*U40,2)</f>
        <v>0</v>
      </c>
      <c r="W40" s="212"/>
      <c r="X40" s="212" t="s">
        <v>225</v>
      </c>
      <c r="Y40" s="213"/>
      <c r="Z40" s="213"/>
      <c r="AA40" s="213"/>
      <c r="AB40" s="213"/>
      <c r="AC40" s="213"/>
      <c r="AD40" s="213"/>
      <c r="AE40" s="213"/>
      <c r="AF40" s="213"/>
      <c r="AG40" s="213" t="s">
        <v>226</v>
      </c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</row>
    <row r="41" ht="12.75" customHeight="1" outlineLevel="1">
      <c r="A41" s="235"/>
      <c r="B41" s="236"/>
      <c r="C41" s="237" t="s">
        <v>374</v>
      </c>
      <c r="D41" s="238"/>
      <c r="E41" s="239">
        <v>1.0</v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3"/>
      <c r="Z41" s="213"/>
      <c r="AA41" s="213"/>
      <c r="AB41" s="213"/>
      <c r="AC41" s="213"/>
      <c r="AD41" s="213"/>
      <c r="AE41" s="213"/>
      <c r="AF41" s="213"/>
      <c r="AG41" s="213" t="s">
        <v>228</v>
      </c>
      <c r="AH41" s="213">
        <v>0.0</v>
      </c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</row>
    <row r="42" ht="12.75" customHeight="1" outlineLevel="1">
      <c r="A42" s="214">
        <v>17.0</v>
      </c>
      <c r="B42" s="215" t="s">
        <v>1457</v>
      </c>
      <c r="C42" s="216" t="s">
        <v>1458</v>
      </c>
      <c r="D42" s="217" t="s">
        <v>372</v>
      </c>
      <c r="E42" s="218">
        <v>1.0</v>
      </c>
      <c r="F42" s="219">
        <v>23150.0</v>
      </c>
      <c r="G42" s="220">
        <f>ROUND(E42*F42,2)</f>
        <v>23150</v>
      </c>
      <c r="H42" s="211"/>
      <c r="I42" s="212">
        <f>ROUND(E42*H42,2)</f>
        <v>0</v>
      </c>
      <c r="J42" s="211"/>
      <c r="K42" s="212">
        <f>ROUND(E42*J42,2)</f>
        <v>0</v>
      </c>
      <c r="L42" s="212">
        <v>21.0</v>
      </c>
      <c r="M42" s="212">
        <f>G42*(1+L42/100)</f>
        <v>28011.5</v>
      </c>
      <c r="N42" s="212">
        <v>0.0</v>
      </c>
      <c r="O42" s="212">
        <f>ROUND(E42*N42,2)</f>
        <v>0</v>
      </c>
      <c r="P42" s="212">
        <v>0.0</v>
      </c>
      <c r="Q42" s="212">
        <f>ROUND(E42*P42,2)</f>
        <v>0</v>
      </c>
      <c r="R42" s="212"/>
      <c r="S42" s="212" t="s">
        <v>178</v>
      </c>
      <c r="T42" s="212" t="s">
        <v>179</v>
      </c>
      <c r="U42" s="212">
        <v>0.0</v>
      </c>
      <c r="V42" s="212">
        <f>ROUND(E42*U42,2)</f>
        <v>0</v>
      </c>
      <c r="W42" s="212"/>
      <c r="X42" s="212" t="s">
        <v>225</v>
      </c>
      <c r="Y42" s="213"/>
      <c r="Z42" s="213"/>
      <c r="AA42" s="213"/>
      <c r="AB42" s="213"/>
      <c r="AC42" s="213"/>
      <c r="AD42" s="213"/>
      <c r="AE42" s="213"/>
      <c r="AF42" s="213"/>
      <c r="AG42" s="213" t="s">
        <v>226</v>
      </c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</row>
    <row r="43" ht="12.75" customHeight="1" outlineLevel="1">
      <c r="A43" s="235"/>
      <c r="B43" s="236"/>
      <c r="C43" s="237" t="s">
        <v>374</v>
      </c>
      <c r="D43" s="238"/>
      <c r="E43" s="239">
        <v>1.0</v>
      </c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3"/>
      <c r="Z43" s="213"/>
      <c r="AA43" s="213"/>
      <c r="AB43" s="213"/>
      <c r="AC43" s="213"/>
      <c r="AD43" s="213"/>
      <c r="AE43" s="213"/>
      <c r="AF43" s="213"/>
      <c r="AG43" s="213" t="s">
        <v>228</v>
      </c>
      <c r="AH43" s="213">
        <v>0.0</v>
      </c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</row>
    <row r="44" ht="12.75" customHeight="1" outlineLevel="1">
      <c r="A44" s="214">
        <v>18.0</v>
      </c>
      <c r="B44" s="215" t="s">
        <v>1459</v>
      </c>
      <c r="C44" s="216" t="s">
        <v>1460</v>
      </c>
      <c r="D44" s="217" t="s">
        <v>372</v>
      </c>
      <c r="E44" s="218">
        <v>1.0</v>
      </c>
      <c r="F44" s="219">
        <v>23150.0</v>
      </c>
      <c r="G44" s="220">
        <f>ROUND(E44*F44,2)</f>
        <v>23150</v>
      </c>
      <c r="H44" s="211"/>
      <c r="I44" s="212">
        <f>ROUND(E44*H44,2)</f>
        <v>0</v>
      </c>
      <c r="J44" s="211"/>
      <c r="K44" s="212">
        <f>ROUND(E44*J44,2)</f>
        <v>0</v>
      </c>
      <c r="L44" s="212">
        <v>21.0</v>
      </c>
      <c r="M44" s="212">
        <f>G44*(1+L44/100)</f>
        <v>28011.5</v>
      </c>
      <c r="N44" s="212">
        <v>0.0</v>
      </c>
      <c r="O44" s="212">
        <f>ROUND(E44*N44,2)</f>
        <v>0</v>
      </c>
      <c r="P44" s="212">
        <v>0.0</v>
      </c>
      <c r="Q44" s="212">
        <f>ROUND(E44*P44,2)</f>
        <v>0</v>
      </c>
      <c r="R44" s="212"/>
      <c r="S44" s="212" t="s">
        <v>178</v>
      </c>
      <c r="T44" s="212" t="s">
        <v>179</v>
      </c>
      <c r="U44" s="212">
        <v>0.0</v>
      </c>
      <c r="V44" s="212">
        <f>ROUND(E44*U44,2)</f>
        <v>0</v>
      </c>
      <c r="W44" s="212"/>
      <c r="X44" s="212" t="s">
        <v>225</v>
      </c>
      <c r="Y44" s="213"/>
      <c r="Z44" s="213"/>
      <c r="AA44" s="213"/>
      <c r="AB44" s="213"/>
      <c r="AC44" s="213"/>
      <c r="AD44" s="213"/>
      <c r="AE44" s="213"/>
      <c r="AF44" s="213"/>
      <c r="AG44" s="213" t="s">
        <v>226</v>
      </c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</row>
    <row r="45" ht="12.75" customHeight="1" outlineLevel="1">
      <c r="A45" s="235"/>
      <c r="B45" s="236"/>
      <c r="C45" s="237" t="s">
        <v>374</v>
      </c>
      <c r="D45" s="238"/>
      <c r="E45" s="239">
        <v>1.0</v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3"/>
      <c r="Z45" s="213"/>
      <c r="AA45" s="213"/>
      <c r="AB45" s="213"/>
      <c r="AC45" s="213"/>
      <c r="AD45" s="213"/>
      <c r="AE45" s="213"/>
      <c r="AF45" s="213"/>
      <c r="AG45" s="213" t="s">
        <v>228</v>
      </c>
      <c r="AH45" s="213">
        <v>0.0</v>
      </c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</row>
    <row r="46" ht="12.75" customHeight="1" outlineLevel="1">
      <c r="A46" s="214">
        <v>19.0</v>
      </c>
      <c r="B46" s="215" t="s">
        <v>1461</v>
      </c>
      <c r="C46" s="216" t="s">
        <v>1462</v>
      </c>
      <c r="D46" s="217" t="s">
        <v>372</v>
      </c>
      <c r="E46" s="218">
        <v>1.0</v>
      </c>
      <c r="F46" s="219">
        <v>23150.0</v>
      </c>
      <c r="G46" s="220">
        <f>ROUND(E46*F46,2)</f>
        <v>23150</v>
      </c>
      <c r="H46" s="211"/>
      <c r="I46" s="212">
        <f>ROUND(E46*H46,2)</f>
        <v>0</v>
      </c>
      <c r="J46" s="211"/>
      <c r="K46" s="212">
        <f>ROUND(E46*J46,2)</f>
        <v>0</v>
      </c>
      <c r="L46" s="212">
        <v>21.0</v>
      </c>
      <c r="M46" s="212">
        <f>G46*(1+L46/100)</f>
        <v>28011.5</v>
      </c>
      <c r="N46" s="212">
        <v>0.0</v>
      </c>
      <c r="O46" s="212">
        <f>ROUND(E46*N46,2)</f>
        <v>0</v>
      </c>
      <c r="P46" s="212">
        <v>0.0</v>
      </c>
      <c r="Q46" s="212">
        <f>ROUND(E46*P46,2)</f>
        <v>0</v>
      </c>
      <c r="R46" s="212"/>
      <c r="S46" s="212" t="s">
        <v>178</v>
      </c>
      <c r="T46" s="212" t="s">
        <v>179</v>
      </c>
      <c r="U46" s="212">
        <v>0.0</v>
      </c>
      <c r="V46" s="212">
        <f>ROUND(E46*U46,2)</f>
        <v>0</v>
      </c>
      <c r="W46" s="212"/>
      <c r="X46" s="212" t="s">
        <v>225</v>
      </c>
      <c r="Y46" s="213"/>
      <c r="Z46" s="213"/>
      <c r="AA46" s="213"/>
      <c r="AB46" s="213"/>
      <c r="AC46" s="213"/>
      <c r="AD46" s="213"/>
      <c r="AE46" s="213"/>
      <c r="AF46" s="213"/>
      <c r="AG46" s="213" t="s">
        <v>226</v>
      </c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</row>
    <row r="47" ht="12.75" customHeight="1" outlineLevel="1">
      <c r="A47" s="235"/>
      <c r="B47" s="236"/>
      <c r="C47" s="237" t="s">
        <v>374</v>
      </c>
      <c r="D47" s="238"/>
      <c r="E47" s="239">
        <v>1.0</v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3"/>
      <c r="Z47" s="213"/>
      <c r="AA47" s="213"/>
      <c r="AB47" s="213"/>
      <c r="AC47" s="213"/>
      <c r="AD47" s="213"/>
      <c r="AE47" s="213"/>
      <c r="AF47" s="213"/>
      <c r="AG47" s="213" t="s">
        <v>228</v>
      </c>
      <c r="AH47" s="213">
        <v>0.0</v>
      </c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</row>
    <row r="48" ht="12.75" customHeight="1" outlineLevel="1">
      <c r="A48" s="214">
        <v>20.0</v>
      </c>
      <c r="B48" s="215" t="s">
        <v>1463</v>
      </c>
      <c r="C48" s="216" t="s">
        <v>1464</v>
      </c>
      <c r="D48" s="217" t="s">
        <v>372</v>
      </c>
      <c r="E48" s="218">
        <v>1.0</v>
      </c>
      <c r="F48" s="219">
        <v>23150.0</v>
      </c>
      <c r="G48" s="220">
        <f>ROUND(E48*F48,2)</f>
        <v>23150</v>
      </c>
      <c r="H48" s="211"/>
      <c r="I48" s="212">
        <f>ROUND(E48*H48,2)</f>
        <v>0</v>
      </c>
      <c r="J48" s="211"/>
      <c r="K48" s="212">
        <f>ROUND(E48*J48,2)</f>
        <v>0</v>
      </c>
      <c r="L48" s="212">
        <v>21.0</v>
      </c>
      <c r="M48" s="212">
        <f>G48*(1+L48/100)</f>
        <v>28011.5</v>
      </c>
      <c r="N48" s="212">
        <v>0.0</v>
      </c>
      <c r="O48" s="212">
        <f>ROUND(E48*N48,2)</f>
        <v>0</v>
      </c>
      <c r="P48" s="212">
        <v>0.0</v>
      </c>
      <c r="Q48" s="212">
        <f>ROUND(E48*P48,2)</f>
        <v>0</v>
      </c>
      <c r="R48" s="212"/>
      <c r="S48" s="212" t="s">
        <v>178</v>
      </c>
      <c r="T48" s="212" t="s">
        <v>179</v>
      </c>
      <c r="U48" s="212">
        <v>0.0</v>
      </c>
      <c r="V48" s="212">
        <f>ROUND(E48*U48,2)</f>
        <v>0</v>
      </c>
      <c r="W48" s="212"/>
      <c r="X48" s="212" t="s">
        <v>225</v>
      </c>
      <c r="Y48" s="213"/>
      <c r="Z48" s="213"/>
      <c r="AA48" s="213"/>
      <c r="AB48" s="213"/>
      <c r="AC48" s="213"/>
      <c r="AD48" s="213"/>
      <c r="AE48" s="213"/>
      <c r="AF48" s="213"/>
      <c r="AG48" s="213" t="s">
        <v>226</v>
      </c>
      <c r="AH48" s="213"/>
      <c r="AI48" s="213"/>
      <c r="AJ48" s="213"/>
      <c r="AK48" s="213"/>
      <c r="AL48" s="213"/>
      <c r="AM48" s="213"/>
      <c r="AN48" s="213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</row>
    <row r="49" ht="12.75" customHeight="1" outlineLevel="1">
      <c r="A49" s="235"/>
      <c r="B49" s="236"/>
      <c r="C49" s="237" t="s">
        <v>374</v>
      </c>
      <c r="D49" s="238"/>
      <c r="E49" s="239">
        <v>1.0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3"/>
      <c r="Z49" s="213"/>
      <c r="AA49" s="213"/>
      <c r="AB49" s="213"/>
      <c r="AC49" s="213"/>
      <c r="AD49" s="213"/>
      <c r="AE49" s="213"/>
      <c r="AF49" s="213"/>
      <c r="AG49" s="213" t="s">
        <v>228</v>
      </c>
      <c r="AH49" s="213">
        <v>0.0</v>
      </c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</row>
    <row r="50" ht="12.75" customHeight="1" outlineLevel="1">
      <c r="A50" s="214">
        <v>21.0</v>
      </c>
      <c r="B50" s="215" t="s">
        <v>1465</v>
      </c>
      <c r="C50" s="216" t="s">
        <v>1466</v>
      </c>
      <c r="D50" s="217" t="s">
        <v>372</v>
      </c>
      <c r="E50" s="218">
        <v>1.0</v>
      </c>
      <c r="F50" s="219">
        <v>23152.2</v>
      </c>
      <c r="G50" s="220">
        <f>ROUND(E50*F50,2)</f>
        <v>23152.2</v>
      </c>
      <c r="H50" s="211"/>
      <c r="I50" s="212">
        <f>ROUND(E50*H50,2)</f>
        <v>0</v>
      </c>
      <c r="J50" s="211"/>
      <c r="K50" s="212">
        <f>ROUND(E50*J50,2)</f>
        <v>0</v>
      </c>
      <c r="L50" s="212">
        <v>21.0</v>
      </c>
      <c r="M50" s="212">
        <f>G50*(1+L50/100)</f>
        <v>28014.162</v>
      </c>
      <c r="N50" s="212">
        <v>0.0</v>
      </c>
      <c r="O50" s="212">
        <f>ROUND(E50*N50,2)</f>
        <v>0</v>
      </c>
      <c r="P50" s="212">
        <v>0.0</v>
      </c>
      <c r="Q50" s="212">
        <f>ROUND(E50*P50,2)</f>
        <v>0</v>
      </c>
      <c r="R50" s="212"/>
      <c r="S50" s="212" t="s">
        <v>178</v>
      </c>
      <c r="T50" s="212" t="s">
        <v>179</v>
      </c>
      <c r="U50" s="212">
        <v>0.0</v>
      </c>
      <c r="V50" s="212">
        <f>ROUND(E50*U50,2)</f>
        <v>0</v>
      </c>
      <c r="W50" s="212"/>
      <c r="X50" s="212" t="s">
        <v>225</v>
      </c>
      <c r="Y50" s="213"/>
      <c r="Z50" s="213"/>
      <c r="AA50" s="213"/>
      <c r="AB50" s="213"/>
      <c r="AC50" s="213"/>
      <c r="AD50" s="213"/>
      <c r="AE50" s="213"/>
      <c r="AF50" s="213"/>
      <c r="AG50" s="213" t="s">
        <v>226</v>
      </c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</row>
    <row r="51" ht="12.75" customHeight="1" outlineLevel="1">
      <c r="A51" s="235"/>
      <c r="B51" s="236"/>
      <c r="C51" s="237" t="s">
        <v>374</v>
      </c>
      <c r="D51" s="238"/>
      <c r="E51" s="239">
        <v>1.0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3"/>
      <c r="Z51" s="213"/>
      <c r="AA51" s="213"/>
      <c r="AB51" s="213"/>
      <c r="AC51" s="213"/>
      <c r="AD51" s="213"/>
      <c r="AE51" s="213"/>
      <c r="AF51" s="213"/>
      <c r="AG51" s="213" t="s">
        <v>228</v>
      </c>
      <c r="AH51" s="213">
        <v>0.0</v>
      </c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</row>
    <row r="52" ht="12.75" customHeight="1" outlineLevel="1">
      <c r="A52" s="214">
        <v>22.0</v>
      </c>
      <c r="B52" s="215" t="s">
        <v>1467</v>
      </c>
      <c r="C52" s="216" t="s">
        <v>1468</v>
      </c>
      <c r="D52" s="217" t="s">
        <v>372</v>
      </c>
      <c r="E52" s="218">
        <v>1.0</v>
      </c>
      <c r="F52" s="219">
        <v>23150.0</v>
      </c>
      <c r="G52" s="220">
        <f>ROUND(E52*F52,2)</f>
        <v>23150</v>
      </c>
      <c r="H52" s="211"/>
      <c r="I52" s="212">
        <f>ROUND(E52*H52,2)</f>
        <v>0</v>
      </c>
      <c r="J52" s="211"/>
      <c r="K52" s="212">
        <f>ROUND(E52*J52,2)</f>
        <v>0</v>
      </c>
      <c r="L52" s="212">
        <v>21.0</v>
      </c>
      <c r="M52" s="212">
        <f>G52*(1+L52/100)</f>
        <v>28011.5</v>
      </c>
      <c r="N52" s="212">
        <v>0.0</v>
      </c>
      <c r="O52" s="212">
        <f>ROUND(E52*N52,2)</f>
        <v>0</v>
      </c>
      <c r="P52" s="212">
        <v>0.0</v>
      </c>
      <c r="Q52" s="212">
        <f>ROUND(E52*P52,2)</f>
        <v>0</v>
      </c>
      <c r="R52" s="212"/>
      <c r="S52" s="212" t="s">
        <v>178</v>
      </c>
      <c r="T52" s="212" t="s">
        <v>179</v>
      </c>
      <c r="U52" s="212">
        <v>0.0</v>
      </c>
      <c r="V52" s="212">
        <f>ROUND(E52*U52,2)</f>
        <v>0</v>
      </c>
      <c r="W52" s="212"/>
      <c r="X52" s="212" t="s">
        <v>225</v>
      </c>
      <c r="Y52" s="213"/>
      <c r="Z52" s="213"/>
      <c r="AA52" s="213"/>
      <c r="AB52" s="213"/>
      <c r="AC52" s="213"/>
      <c r="AD52" s="213"/>
      <c r="AE52" s="213"/>
      <c r="AF52" s="213"/>
      <c r="AG52" s="213" t="s">
        <v>226</v>
      </c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ht="12.75" customHeight="1" outlineLevel="1">
      <c r="A53" s="235"/>
      <c r="B53" s="236"/>
      <c r="C53" s="237" t="s">
        <v>374</v>
      </c>
      <c r="D53" s="238"/>
      <c r="E53" s="239">
        <v>1.0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3"/>
      <c r="Z53" s="213"/>
      <c r="AA53" s="213"/>
      <c r="AB53" s="213"/>
      <c r="AC53" s="213"/>
      <c r="AD53" s="213"/>
      <c r="AE53" s="213"/>
      <c r="AF53" s="213"/>
      <c r="AG53" s="213" t="s">
        <v>228</v>
      </c>
      <c r="AH53" s="213">
        <v>0.0</v>
      </c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3"/>
      <c r="AX53" s="213"/>
      <c r="AY53" s="213"/>
      <c r="AZ53" s="213"/>
      <c r="BA53" s="213"/>
      <c r="BB53" s="213"/>
    </row>
    <row r="54" ht="12.75" customHeight="1" outlineLevel="1">
      <c r="A54" s="214">
        <v>23.0</v>
      </c>
      <c r="B54" s="215" t="s">
        <v>1469</v>
      </c>
      <c r="C54" s="216" t="s">
        <v>1470</v>
      </c>
      <c r="D54" s="217" t="s">
        <v>372</v>
      </c>
      <c r="E54" s="218">
        <v>1.0</v>
      </c>
      <c r="F54" s="219">
        <v>23150.0</v>
      </c>
      <c r="G54" s="220">
        <f>ROUND(E54*F54,2)</f>
        <v>23150</v>
      </c>
      <c r="H54" s="211"/>
      <c r="I54" s="212">
        <f>ROUND(E54*H54,2)</f>
        <v>0</v>
      </c>
      <c r="J54" s="211"/>
      <c r="K54" s="212">
        <f>ROUND(E54*J54,2)</f>
        <v>0</v>
      </c>
      <c r="L54" s="212">
        <v>21.0</v>
      </c>
      <c r="M54" s="212">
        <f>G54*(1+L54/100)</f>
        <v>28011.5</v>
      </c>
      <c r="N54" s="212">
        <v>0.0</v>
      </c>
      <c r="O54" s="212">
        <f>ROUND(E54*N54,2)</f>
        <v>0</v>
      </c>
      <c r="P54" s="212">
        <v>0.0</v>
      </c>
      <c r="Q54" s="212">
        <f>ROUND(E54*P54,2)</f>
        <v>0</v>
      </c>
      <c r="R54" s="212"/>
      <c r="S54" s="212" t="s">
        <v>178</v>
      </c>
      <c r="T54" s="212" t="s">
        <v>179</v>
      </c>
      <c r="U54" s="212">
        <v>0.0</v>
      </c>
      <c r="V54" s="212">
        <f>ROUND(E54*U54,2)</f>
        <v>0</v>
      </c>
      <c r="W54" s="212"/>
      <c r="X54" s="212" t="s">
        <v>225</v>
      </c>
      <c r="Y54" s="213"/>
      <c r="Z54" s="213"/>
      <c r="AA54" s="213"/>
      <c r="AB54" s="213"/>
      <c r="AC54" s="213"/>
      <c r="AD54" s="213"/>
      <c r="AE54" s="213"/>
      <c r="AF54" s="213"/>
      <c r="AG54" s="213" t="s">
        <v>226</v>
      </c>
      <c r="AH54" s="213"/>
      <c r="AI54" s="213"/>
      <c r="AJ54" s="213"/>
      <c r="AK54" s="213"/>
      <c r="AL54" s="213"/>
      <c r="AM54" s="213"/>
      <c r="AN54" s="213"/>
      <c r="AO54" s="213"/>
      <c r="AP54" s="213"/>
      <c r="AQ54" s="213"/>
      <c r="AR54" s="213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ht="12.75" customHeight="1" outlineLevel="1">
      <c r="A55" s="235"/>
      <c r="B55" s="236"/>
      <c r="C55" s="237" t="s">
        <v>374</v>
      </c>
      <c r="D55" s="238"/>
      <c r="E55" s="239">
        <v>1.0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3"/>
      <c r="Z55" s="213"/>
      <c r="AA55" s="213"/>
      <c r="AB55" s="213"/>
      <c r="AC55" s="213"/>
      <c r="AD55" s="213"/>
      <c r="AE55" s="213"/>
      <c r="AF55" s="213"/>
      <c r="AG55" s="213" t="s">
        <v>228</v>
      </c>
      <c r="AH55" s="213">
        <v>0.0</v>
      </c>
      <c r="AI55" s="213"/>
      <c r="AJ55" s="213"/>
      <c r="AK55" s="213"/>
      <c r="AL55" s="213"/>
      <c r="AM55" s="213"/>
      <c r="AN55" s="213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213"/>
    </row>
    <row r="56" ht="12.75" customHeight="1" outlineLevel="1">
      <c r="A56" s="214">
        <v>24.0</v>
      </c>
      <c r="B56" s="215" t="s">
        <v>1471</v>
      </c>
      <c r="C56" s="216" t="s">
        <v>1472</v>
      </c>
      <c r="D56" s="217" t="s">
        <v>372</v>
      </c>
      <c r="E56" s="218">
        <v>1.0</v>
      </c>
      <c r="F56" s="219">
        <v>23152.2</v>
      </c>
      <c r="G56" s="220">
        <f>ROUND(E56*F56,2)</f>
        <v>23152.2</v>
      </c>
      <c r="H56" s="211"/>
      <c r="I56" s="212">
        <f>ROUND(E56*H56,2)</f>
        <v>0</v>
      </c>
      <c r="J56" s="211"/>
      <c r="K56" s="212">
        <f>ROUND(E56*J56,2)</f>
        <v>0</v>
      </c>
      <c r="L56" s="212">
        <v>21.0</v>
      </c>
      <c r="M56" s="212">
        <f>G56*(1+L56/100)</f>
        <v>28014.162</v>
      </c>
      <c r="N56" s="212">
        <v>0.0</v>
      </c>
      <c r="O56" s="212">
        <f>ROUND(E56*N56,2)</f>
        <v>0</v>
      </c>
      <c r="P56" s="212">
        <v>0.0</v>
      </c>
      <c r="Q56" s="212">
        <f>ROUND(E56*P56,2)</f>
        <v>0</v>
      </c>
      <c r="R56" s="212"/>
      <c r="S56" s="212" t="s">
        <v>178</v>
      </c>
      <c r="T56" s="212" t="s">
        <v>179</v>
      </c>
      <c r="U56" s="212">
        <v>0.0</v>
      </c>
      <c r="V56" s="212">
        <f>ROUND(E56*U56,2)</f>
        <v>0</v>
      </c>
      <c r="W56" s="212"/>
      <c r="X56" s="212" t="s">
        <v>225</v>
      </c>
      <c r="Y56" s="213"/>
      <c r="Z56" s="213"/>
      <c r="AA56" s="213"/>
      <c r="AB56" s="213"/>
      <c r="AC56" s="213"/>
      <c r="AD56" s="213"/>
      <c r="AE56" s="213"/>
      <c r="AF56" s="213"/>
      <c r="AG56" s="213" t="s">
        <v>226</v>
      </c>
      <c r="AH56" s="213"/>
      <c r="AI56" s="213"/>
      <c r="AJ56" s="213"/>
      <c r="AK56" s="213"/>
      <c r="AL56" s="213"/>
      <c r="AM56" s="213"/>
      <c r="AN56" s="213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</row>
    <row r="57" ht="12.75" customHeight="1" outlineLevel="1">
      <c r="A57" s="235"/>
      <c r="B57" s="236"/>
      <c r="C57" s="237" t="s">
        <v>374</v>
      </c>
      <c r="D57" s="238"/>
      <c r="E57" s="239">
        <v>1.0</v>
      </c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3"/>
      <c r="Z57" s="213"/>
      <c r="AA57" s="213"/>
      <c r="AB57" s="213"/>
      <c r="AC57" s="213"/>
      <c r="AD57" s="213"/>
      <c r="AE57" s="213"/>
      <c r="AF57" s="213"/>
      <c r="AG57" s="213" t="s">
        <v>228</v>
      </c>
      <c r="AH57" s="213">
        <v>0.0</v>
      </c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</row>
    <row r="58" ht="12.75" customHeight="1" outlineLevel="1">
      <c r="A58" s="214">
        <v>25.0</v>
      </c>
      <c r="B58" s="215" t="s">
        <v>1473</v>
      </c>
      <c r="C58" s="216" t="s">
        <v>1474</v>
      </c>
      <c r="D58" s="217" t="s">
        <v>372</v>
      </c>
      <c r="E58" s="218">
        <v>1.0</v>
      </c>
      <c r="F58" s="219">
        <v>23150.0</v>
      </c>
      <c r="G58" s="220">
        <f>ROUND(E58*F58,2)</f>
        <v>23150</v>
      </c>
      <c r="H58" s="211"/>
      <c r="I58" s="212">
        <f>ROUND(E58*H58,2)</f>
        <v>0</v>
      </c>
      <c r="J58" s="211"/>
      <c r="K58" s="212">
        <f>ROUND(E58*J58,2)</f>
        <v>0</v>
      </c>
      <c r="L58" s="212">
        <v>21.0</v>
      </c>
      <c r="M58" s="212">
        <f>G58*(1+L58/100)</f>
        <v>28011.5</v>
      </c>
      <c r="N58" s="212">
        <v>0.0</v>
      </c>
      <c r="O58" s="212">
        <f>ROUND(E58*N58,2)</f>
        <v>0</v>
      </c>
      <c r="P58" s="212">
        <v>0.0</v>
      </c>
      <c r="Q58" s="212">
        <f>ROUND(E58*P58,2)</f>
        <v>0</v>
      </c>
      <c r="R58" s="212"/>
      <c r="S58" s="212" t="s">
        <v>178</v>
      </c>
      <c r="T58" s="212" t="s">
        <v>179</v>
      </c>
      <c r="U58" s="212">
        <v>0.0</v>
      </c>
      <c r="V58" s="212">
        <f>ROUND(E58*U58,2)</f>
        <v>0</v>
      </c>
      <c r="W58" s="212"/>
      <c r="X58" s="212" t="s">
        <v>225</v>
      </c>
      <c r="Y58" s="213"/>
      <c r="Z58" s="213"/>
      <c r="AA58" s="213"/>
      <c r="AB58" s="213"/>
      <c r="AC58" s="213"/>
      <c r="AD58" s="213"/>
      <c r="AE58" s="213"/>
      <c r="AF58" s="213"/>
      <c r="AG58" s="213" t="s">
        <v>226</v>
      </c>
      <c r="AH58" s="213"/>
      <c r="AI58" s="213"/>
      <c r="AJ58" s="213"/>
      <c r="AK58" s="213"/>
      <c r="AL58" s="213"/>
      <c r="AM58" s="213"/>
      <c r="AN58" s="213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213"/>
    </row>
    <row r="59" ht="12.75" customHeight="1" outlineLevel="1">
      <c r="A59" s="235"/>
      <c r="B59" s="236"/>
      <c r="C59" s="237" t="s">
        <v>374</v>
      </c>
      <c r="D59" s="238"/>
      <c r="E59" s="239">
        <v>1.0</v>
      </c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3"/>
      <c r="Z59" s="213"/>
      <c r="AA59" s="213"/>
      <c r="AB59" s="213"/>
      <c r="AC59" s="213"/>
      <c r="AD59" s="213"/>
      <c r="AE59" s="213"/>
      <c r="AF59" s="213"/>
      <c r="AG59" s="213" t="s">
        <v>228</v>
      </c>
      <c r="AH59" s="213">
        <v>0.0</v>
      </c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</row>
    <row r="60" ht="12.75" customHeight="1" outlineLevel="1">
      <c r="A60" s="214">
        <v>26.0</v>
      </c>
      <c r="B60" s="215" t="s">
        <v>1475</v>
      </c>
      <c r="C60" s="216" t="s">
        <v>1476</v>
      </c>
      <c r="D60" s="217" t="s">
        <v>372</v>
      </c>
      <c r="E60" s="218">
        <v>1.0</v>
      </c>
      <c r="F60" s="219">
        <v>23150.0</v>
      </c>
      <c r="G60" s="220">
        <f>ROUND(E60*F60,2)</f>
        <v>23150</v>
      </c>
      <c r="H60" s="211"/>
      <c r="I60" s="212">
        <f>ROUND(E60*H60,2)</f>
        <v>0</v>
      </c>
      <c r="J60" s="211"/>
      <c r="K60" s="212">
        <f>ROUND(E60*J60,2)</f>
        <v>0</v>
      </c>
      <c r="L60" s="212">
        <v>21.0</v>
      </c>
      <c r="M60" s="212">
        <f>G60*(1+L60/100)</f>
        <v>28011.5</v>
      </c>
      <c r="N60" s="212">
        <v>0.0</v>
      </c>
      <c r="O60" s="212">
        <f>ROUND(E60*N60,2)</f>
        <v>0</v>
      </c>
      <c r="P60" s="212">
        <v>0.0</v>
      </c>
      <c r="Q60" s="212">
        <f>ROUND(E60*P60,2)</f>
        <v>0</v>
      </c>
      <c r="R60" s="212"/>
      <c r="S60" s="212" t="s">
        <v>178</v>
      </c>
      <c r="T60" s="212" t="s">
        <v>179</v>
      </c>
      <c r="U60" s="212">
        <v>0.0</v>
      </c>
      <c r="V60" s="212">
        <f>ROUND(E60*U60,2)</f>
        <v>0</v>
      </c>
      <c r="W60" s="212"/>
      <c r="X60" s="212" t="s">
        <v>225</v>
      </c>
      <c r="Y60" s="213"/>
      <c r="Z60" s="213"/>
      <c r="AA60" s="213"/>
      <c r="AB60" s="213"/>
      <c r="AC60" s="213"/>
      <c r="AD60" s="213"/>
      <c r="AE60" s="213"/>
      <c r="AF60" s="213"/>
      <c r="AG60" s="213" t="s">
        <v>226</v>
      </c>
      <c r="AH60" s="213"/>
      <c r="AI60" s="213"/>
      <c r="AJ60" s="213"/>
      <c r="AK60" s="213"/>
      <c r="AL60" s="213"/>
      <c r="AM60" s="213"/>
      <c r="AN60" s="213"/>
      <c r="AO60" s="213"/>
      <c r="AP60" s="213"/>
      <c r="AQ60" s="213"/>
      <c r="AR60" s="213"/>
      <c r="AS60" s="213"/>
      <c r="AT60" s="213"/>
      <c r="AU60" s="213"/>
      <c r="AV60" s="213"/>
      <c r="AW60" s="213"/>
      <c r="AX60" s="213"/>
      <c r="AY60" s="213"/>
      <c r="AZ60" s="213"/>
      <c r="BA60" s="213"/>
      <c r="BB60" s="213"/>
    </row>
    <row r="61" ht="12.75" customHeight="1" outlineLevel="1">
      <c r="A61" s="235"/>
      <c r="B61" s="236"/>
      <c r="C61" s="237" t="s">
        <v>374</v>
      </c>
      <c r="D61" s="238"/>
      <c r="E61" s="239">
        <v>1.0</v>
      </c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3"/>
      <c r="Z61" s="213"/>
      <c r="AA61" s="213"/>
      <c r="AB61" s="213"/>
      <c r="AC61" s="213"/>
      <c r="AD61" s="213"/>
      <c r="AE61" s="213"/>
      <c r="AF61" s="213"/>
      <c r="AG61" s="213" t="s">
        <v>228</v>
      </c>
      <c r="AH61" s="213">
        <v>0.0</v>
      </c>
      <c r="AI61" s="213"/>
      <c r="AJ61" s="213"/>
      <c r="AK61" s="213"/>
      <c r="AL61" s="213"/>
      <c r="AM61" s="213"/>
      <c r="AN61" s="213"/>
      <c r="AO61" s="213"/>
      <c r="AP61" s="213"/>
      <c r="AQ61" s="213"/>
      <c r="AR61" s="213"/>
      <c r="AS61" s="213"/>
      <c r="AT61" s="213"/>
      <c r="AU61" s="213"/>
      <c r="AV61" s="213"/>
      <c r="AW61" s="213"/>
      <c r="AX61" s="213"/>
      <c r="AY61" s="213"/>
      <c r="AZ61" s="213"/>
      <c r="BA61" s="213"/>
      <c r="BB61" s="213"/>
    </row>
    <row r="62" ht="12.75" customHeight="1">
      <c r="A62" s="196" t="s">
        <v>173</v>
      </c>
      <c r="B62" s="197" t="s">
        <v>136</v>
      </c>
      <c r="C62" s="198" t="s">
        <v>137</v>
      </c>
      <c r="D62" s="199"/>
      <c r="E62" s="200"/>
      <c r="F62" s="201"/>
      <c r="G62" s="202">
        <f>SUMIF(AG63:AG80,"&lt;&gt;NOR",G63:G80)</f>
        <v>722367.56</v>
      </c>
      <c r="H62" s="203"/>
      <c r="I62" s="203">
        <f>SUM(I63:I80)</f>
        <v>0</v>
      </c>
      <c r="J62" s="203"/>
      <c r="K62" s="203">
        <f>SUM(K63:K80)</f>
        <v>0</v>
      </c>
      <c r="L62" s="203"/>
      <c r="M62" s="203">
        <f>SUM(M63:M80)</f>
        <v>874064.7476</v>
      </c>
      <c r="N62" s="203"/>
      <c r="O62" s="203">
        <f>SUM(O63:O80)</f>
        <v>232.06</v>
      </c>
      <c r="P62" s="203"/>
      <c r="Q62" s="203">
        <f>SUM(Q63:Q80)</f>
        <v>0</v>
      </c>
      <c r="R62" s="203"/>
      <c r="S62" s="203"/>
      <c r="T62" s="203"/>
      <c r="U62" s="203"/>
      <c r="V62" s="203">
        <f>SUM(V63:V80)</f>
        <v>557.7</v>
      </c>
      <c r="W62" s="203"/>
      <c r="X62" s="203"/>
      <c r="AG62" s="184" t="s">
        <v>174</v>
      </c>
    </row>
    <row r="63" ht="12.75" customHeight="1" outlineLevel="1">
      <c r="A63" s="214">
        <v>27.0</v>
      </c>
      <c r="B63" s="215" t="s">
        <v>740</v>
      </c>
      <c r="C63" s="216" t="s">
        <v>741</v>
      </c>
      <c r="D63" s="217" t="s">
        <v>234</v>
      </c>
      <c r="E63" s="218">
        <v>19.2</v>
      </c>
      <c r="F63" s="219">
        <v>4256.8</v>
      </c>
      <c r="G63" s="220">
        <f>ROUND(E63*F63,2)</f>
        <v>81730.56</v>
      </c>
      <c r="H63" s="211"/>
      <c r="I63" s="212">
        <f>ROUND(E63*H63,2)</f>
        <v>0</v>
      </c>
      <c r="J63" s="211"/>
      <c r="K63" s="212">
        <f>ROUND(E63*J63,2)</f>
        <v>0</v>
      </c>
      <c r="L63" s="212">
        <v>21.0</v>
      </c>
      <c r="M63" s="212">
        <f>G63*(1+L63/100)</f>
        <v>98893.9776</v>
      </c>
      <c r="N63" s="212">
        <v>0.0</v>
      </c>
      <c r="O63" s="212">
        <f>ROUND(E63*N63,2)</f>
        <v>0</v>
      </c>
      <c r="P63" s="212">
        <v>0.0</v>
      </c>
      <c r="Q63" s="212">
        <f>ROUND(E63*P63,2)</f>
        <v>0</v>
      </c>
      <c r="R63" s="212"/>
      <c r="S63" s="212" t="s">
        <v>184</v>
      </c>
      <c r="T63" s="212" t="s">
        <v>184</v>
      </c>
      <c r="U63" s="212">
        <v>3.44</v>
      </c>
      <c r="V63" s="212">
        <f>ROUND(E63*U63,2)</f>
        <v>66.05</v>
      </c>
      <c r="W63" s="212"/>
      <c r="X63" s="212" t="s">
        <v>225</v>
      </c>
      <c r="Y63" s="213"/>
      <c r="Z63" s="213"/>
      <c r="AA63" s="213"/>
      <c r="AB63" s="213"/>
      <c r="AC63" s="213"/>
      <c r="AD63" s="213"/>
      <c r="AE63" s="213"/>
      <c r="AF63" s="213"/>
      <c r="AG63" s="213" t="s">
        <v>408</v>
      </c>
      <c r="AH63" s="213"/>
      <c r="AI63" s="213"/>
      <c r="AJ63" s="213"/>
      <c r="AK63" s="213"/>
      <c r="AL63" s="213"/>
      <c r="AM63" s="213"/>
      <c r="AN63" s="213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213"/>
    </row>
    <row r="64" ht="12.75" customHeight="1" outlineLevel="1">
      <c r="A64" s="235"/>
      <c r="B64" s="236"/>
      <c r="C64" s="237" t="s">
        <v>1477</v>
      </c>
      <c r="D64" s="238"/>
      <c r="E64" s="239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3"/>
      <c r="Z64" s="213"/>
      <c r="AA64" s="213"/>
      <c r="AB64" s="213"/>
      <c r="AC64" s="213"/>
      <c r="AD64" s="213"/>
      <c r="AE64" s="213"/>
      <c r="AF64" s="213"/>
      <c r="AG64" s="213" t="s">
        <v>228</v>
      </c>
      <c r="AH64" s="213">
        <v>0.0</v>
      </c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</row>
    <row r="65" ht="12.75" customHeight="1" outlineLevel="1">
      <c r="A65" s="235"/>
      <c r="B65" s="236"/>
      <c r="C65" s="237" t="s">
        <v>1478</v>
      </c>
      <c r="D65" s="238"/>
      <c r="E65" s="239">
        <v>19.2</v>
      </c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3"/>
      <c r="Z65" s="213"/>
      <c r="AA65" s="213"/>
      <c r="AB65" s="213"/>
      <c r="AC65" s="213"/>
      <c r="AD65" s="213"/>
      <c r="AE65" s="213"/>
      <c r="AF65" s="213"/>
      <c r="AG65" s="213" t="s">
        <v>228</v>
      </c>
      <c r="AH65" s="213">
        <v>0.0</v>
      </c>
      <c r="AI65" s="213"/>
      <c r="AJ65" s="213"/>
      <c r="AK65" s="213"/>
      <c r="AL65" s="213"/>
      <c r="AM65" s="213"/>
      <c r="AN65" s="213"/>
      <c r="AO65" s="213"/>
      <c r="AP65" s="213"/>
      <c r="AQ65" s="213"/>
      <c r="AR65" s="213"/>
      <c r="AS65" s="213"/>
      <c r="AT65" s="213"/>
      <c r="AU65" s="213"/>
      <c r="AV65" s="213"/>
      <c r="AW65" s="213"/>
      <c r="AX65" s="213"/>
      <c r="AY65" s="213"/>
      <c r="AZ65" s="213"/>
      <c r="BA65" s="213"/>
      <c r="BB65" s="213"/>
    </row>
    <row r="66" ht="12.75" customHeight="1" outlineLevel="1">
      <c r="A66" s="214">
        <v>28.0</v>
      </c>
      <c r="B66" s="215" t="s">
        <v>744</v>
      </c>
      <c r="C66" s="216" t="s">
        <v>745</v>
      </c>
      <c r="D66" s="217" t="s">
        <v>372</v>
      </c>
      <c r="E66" s="218">
        <v>16.0</v>
      </c>
      <c r="F66" s="219">
        <v>5199.5</v>
      </c>
      <c r="G66" s="220">
        <f>ROUND(E66*F66,2)</f>
        <v>83192</v>
      </c>
      <c r="H66" s="211"/>
      <c r="I66" s="212">
        <f>ROUND(E66*H66,2)</f>
        <v>0</v>
      </c>
      <c r="J66" s="211"/>
      <c r="K66" s="212">
        <f>ROUND(E66*J66,2)</f>
        <v>0</v>
      </c>
      <c r="L66" s="212">
        <v>21.0</v>
      </c>
      <c r="M66" s="212">
        <f>G66*(1+L66/100)</f>
        <v>100662.32</v>
      </c>
      <c r="N66" s="212">
        <v>2.90149</v>
      </c>
      <c r="O66" s="212">
        <f>ROUND(E66*N66,2)</f>
        <v>46.42</v>
      </c>
      <c r="P66" s="212">
        <v>0.0</v>
      </c>
      <c r="Q66" s="212">
        <f>ROUND(E66*P66,2)</f>
        <v>0</v>
      </c>
      <c r="R66" s="212"/>
      <c r="S66" s="212" t="s">
        <v>184</v>
      </c>
      <c r="T66" s="212" t="s">
        <v>184</v>
      </c>
      <c r="U66" s="212">
        <v>3.183</v>
      </c>
      <c r="V66" s="212">
        <f>ROUND(E66*U66,2)</f>
        <v>50.93</v>
      </c>
      <c r="W66" s="212"/>
      <c r="X66" s="212" t="s">
        <v>225</v>
      </c>
      <c r="Y66" s="213"/>
      <c r="Z66" s="213"/>
      <c r="AA66" s="213"/>
      <c r="AB66" s="213"/>
      <c r="AC66" s="213"/>
      <c r="AD66" s="213"/>
      <c r="AE66" s="213"/>
      <c r="AF66" s="213"/>
      <c r="AG66" s="213" t="s">
        <v>408</v>
      </c>
      <c r="AH66" s="213"/>
      <c r="AI66" s="213"/>
      <c r="AJ66" s="213"/>
      <c r="AK66" s="213"/>
      <c r="AL66" s="213"/>
      <c r="AM66" s="213"/>
      <c r="AN66" s="213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</row>
    <row r="67" ht="12.75" customHeight="1" outlineLevel="1">
      <c r="A67" s="235"/>
      <c r="B67" s="236"/>
      <c r="C67" s="237" t="s">
        <v>1479</v>
      </c>
      <c r="D67" s="238"/>
      <c r="E67" s="239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3"/>
      <c r="Z67" s="213"/>
      <c r="AA67" s="213"/>
      <c r="AB67" s="213"/>
      <c r="AC67" s="213"/>
      <c r="AD67" s="213"/>
      <c r="AE67" s="213"/>
      <c r="AF67" s="213"/>
      <c r="AG67" s="213" t="s">
        <v>228</v>
      </c>
      <c r="AH67" s="213">
        <v>0.0</v>
      </c>
      <c r="AI67" s="213"/>
      <c r="AJ67" s="213"/>
      <c r="AK67" s="213"/>
      <c r="AL67" s="213"/>
      <c r="AM67" s="213"/>
      <c r="AN67" s="213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</row>
    <row r="68" ht="12.75" customHeight="1" outlineLevel="1">
      <c r="A68" s="235"/>
      <c r="B68" s="236"/>
      <c r="C68" s="237" t="s">
        <v>1480</v>
      </c>
      <c r="D68" s="238"/>
      <c r="E68" s="239">
        <v>16.0</v>
      </c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3"/>
      <c r="Z68" s="213"/>
      <c r="AA68" s="213"/>
      <c r="AB68" s="213"/>
      <c r="AC68" s="213"/>
      <c r="AD68" s="213"/>
      <c r="AE68" s="213"/>
      <c r="AF68" s="213"/>
      <c r="AG68" s="213" t="s">
        <v>228</v>
      </c>
      <c r="AH68" s="213">
        <v>0.0</v>
      </c>
      <c r="AI68" s="213"/>
      <c r="AJ68" s="213"/>
      <c r="AK68" s="213"/>
      <c r="AL68" s="213"/>
      <c r="AM68" s="213"/>
      <c r="AN68" s="213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</row>
    <row r="69" ht="12.75" customHeight="1" outlineLevel="1">
      <c r="A69" s="214">
        <v>29.0</v>
      </c>
      <c r="B69" s="215" t="s">
        <v>747</v>
      </c>
      <c r="C69" s="216" t="s">
        <v>748</v>
      </c>
      <c r="D69" s="217" t="s">
        <v>251</v>
      </c>
      <c r="E69" s="218">
        <v>700.0</v>
      </c>
      <c r="F69" s="219">
        <v>514.5</v>
      </c>
      <c r="G69" s="220">
        <f>ROUND(E69*F69,2)</f>
        <v>360150</v>
      </c>
      <c r="H69" s="211"/>
      <c r="I69" s="212">
        <f>ROUND(E69*H69,2)</f>
        <v>0</v>
      </c>
      <c r="J69" s="211"/>
      <c r="K69" s="212">
        <f>ROUND(E69*J69,2)</f>
        <v>0</v>
      </c>
      <c r="L69" s="212">
        <v>21.0</v>
      </c>
      <c r="M69" s="212">
        <f>G69*(1+L69/100)</f>
        <v>435781.5</v>
      </c>
      <c r="N69" s="212">
        <v>0.0</v>
      </c>
      <c r="O69" s="212">
        <f>ROUND(E69*N69,2)</f>
        <v>0</v>
      </c>
      <c r="P69" s="212">
        <v>0.0</v>
      </c>
      <c r="Q69" s="212">
        <f>ROUND(E69*P69,2)</f>
        <v>0</v>
      </c>
      <c r="R69" s="212"/>
      <c r="S69" s="212" t="s">
        <v>184</v>
      </c>
      <c r="T69" s="212" t="s">
        <v>184</v>
      </c>
      <c r="U69" s="212">
        <v>0.146</v>
      </c>
      <c r="V69" s="212">
        <f>ROUND(E69*U69,2)</f>
        <v>102.2</v>
      </c>
      <c r="W69" s="212"/>
      <c r="X69" s="212" t="s">
        <v>225</v>
      </c>
      <c r="Y69" s="213"/>
      <c r="Z69" s="213"/>
      <c r="AA69" s="213"/>
      <c r="AB69" s="213"/>
      <c r="AC69" s="213"/>
      <c r="AD69" s="213"/>
      <c r="AE69" s="213"/>
      <c r="AF69" s="213"/>
      <c r="AG69" s="213" t="s">
        <v>408</v>
      </c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</row>
    <row r="70" ht="12.75" customHeight="1" outlineLevel="1">
      <c r="A70" s="235"/>
      <c r="B70" s="236"/>
      <c r="C70" s="237" t="s">
        <v>1481</v>
      </c>
      <c r="D70" s="238"/>
      <c r="E70" s="239">
        <v>700.0</v>
      </c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3"/>
      <c r="Z70" s="213"/>
      <c r="AA70" s="213"/>
      <c r="AB70" s="213"/>
      <c r="AC70" s="213"/>
      <c r="AD70" s="213"/>
      <c r="AE70" s="213"/>
      <c r="AF70" s="213"/>
      <c r="AG70" s="213" t="s">
        <v>228</v>
      </c>
      <c r="AH70" s="213">
        <v>0.0</v>
      </c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</row>
    <row r="71" ht="12.75" customHeight="1" outlineLevel="1">
      <c r="A71" s="214">
        <v>30.0</v>
      </c>
      <c r="B71" s="215" t="s">
        <v>750</v>
      </c>
      <c r="C71" s="216" t="s">
        <v>751</v>
      </c>
      <c r="D71" s="217" t="s">
        <v>251</v>
      </c>
      <c r="E71" s="218">
        <v>700.0</v>
      </c>
      <c r="F71" s="219">
        <v>71.35</v>
      </c>
      <c r="G71" s="220">
        <f>ROUND(E71*F71,2)</f>
        <v>49945</v>
      </c>
      <c r="H71" s="211"/>
      <c r="I71" s="212">
        <f>ROUND(E71*H71,2)</f>
        <v>0</v>
      </c>
      <c r="J71" s="211"/>
      <c r="K71" s="212">
        <f>ROUND(E71*J71,2)</f>
        <v>0</v>
      </c>
      <c r="L71" s="212">
        <v>21.0</v>
      </c>
      <c r="M71" s="212">
        <f>G71*(1+L71/100)</f>
        <v>60433.45</v>
      </c>
      <c r="N71" s="212">
        <v>0.26486</v>
      </c>
      <c r="O71" s="212">
        <f>ROUND(E71*N71,2)</f>
        <v>185.4</v>
      </c>
      <c r="P71" s="212">
        <v>0.0</v>
      </c>
      <c r="Q71" s="212">
        <f>ROUND(E71*P71,2)</f>
        <v>0</v>
      </c>
      <c r="R71" s="212"/>
      <c r="S71" s="212" t="s">
        <v>184</v>
      </c>
      <c r="T71" s="212" t="s">
        <v>184</v>
      </c>
      <c r="U71" s="212">
        <v>0.111</v>
      </c>
      <c r="V71" s="212">
        <f>ROUND(E71*U71,2)</f>
        <v>77.7</v>
      </c>
      <c r="W71" s="212"/>
      <c r="X71" s="212" t="s">
        <v>225</v>
      </c>
      <c r="Y71" s="213"/>
      <c r="Z71" s="213"/>
      <c r="AA71" s="213"/>
      <c r="AB71" s="213"/>
      <c r="AC71" s="213"/>
      <c r="AD71" s="213"/>
      <c r="AE71" s="213"/>
      <c r="AF71" s="213"/>
      <c r="AG71" s="213" t="s">
        <v>408</v>
      </c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</row>
    <row r="72" ht="12.75" customHeight="1" outlineLevel="1">
      <c r="A72" s="235"/>
      <c r="B72" s="236"/>
      <c r="C72" s="237" t="s">
        <v>752</v>
      </c>
      <c r="D72" s="238"/>
      <c r="E72" s="239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3"/>
      <c r="Z72" s="213"/>
      <c r="AA72" s="213"/>
      <c r="AB72" s="213"/>
      <c r="AC72" s="213"/>
      <c r="AD72" s="213"/>
      <c r="AE72" s="213"/>
      <c r="AF72" s="213"/>
      <c r="AG72" s="213" t="s">
        <v>228</v>
      </c>
      <c r="AH72" s="213">
        <v>0.0</v>
      </c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</row>
    <row r="73" ht="12.75" customHeight="1" outlineLevel="1">
      <c r="A73" s="235"/>
      <c r="B73" s="236"/>
      <c r="C73" s="237" t="s">
        <v>1481</v>
      </c>
      <c r="D73" s="238"/>
      <c r="E73" s="239">
        <v>700.0</v>
      </c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3"/>
      <c r="Z73" s="213"/>
      <c r="AA73" s="213"/>
      <c r="AB73" s="213"/>
      <c r="AC73" s="213"/>
      <c r="AD73" s="213"/>
      <c r="AE73" s="213"/>
      <c r="AF73" s="213"/>
      <c r="AG73" s="213" t="s">
        <v>228</v>
      </c>
      <c r="AH73" s="213">
        <v>0.0</v>
      </c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</row>
    <row r="74" ht="12.75" customHeight="1" outlineLevel="1">
      <c r="A74" s="214">
        <v>31.0</v>
      </c>
      <c r="B74" s="215" t="s">
        <v>753</v>
      </c>
      <c r="C74" s="216" t="s">
        <v>754</v>
      </c>
      <c r="D74" s="217" t="s">
        <v>251</v>
      </c>
      <c r="E74" s="218">
        <v>770.0</v>
      </c>
      <c r="F74" s="219">
        <v>25.0</v>
      </c>
      <c r="G74" s="220">
        <f>ROUND(E74*F74,2)</f>
        <v>19250</v>
      </c>
      <c r="H74" s="211"/>
      <c r="I74" s="212">
        <f>ROUND(E74*H74,2)</f>
        <v>0</v>
      </c>
      <c r="J74" s="211"/>
      <c r="K74" s="212">
        <f>ROUND(E74*J74,2)</f>
        <v>0</v>
      </c>
      <c r="L74" s="212">
        <v>21.0</v>
      </c>
      <c r="M74" s="212">
        <f>G74*(1+L74/100)</f>
        <v>23292.5</v>
      </c>
      <c r="N74" s="212">
        <v>3.1E-4</v>
      </c>
      <c r="O74" s="212">
        <f>ROUND(E74*N74,2)</f>
        <v>0.24</v>
      </c>
      <c r="P74" s="212">
        <v>0.0</v>
      </c>
      <c r="Q74" s="212">
        <f>ROUND(E74*P74,2)</f>
        <v>0</v>
      </c>
      <c r="R74" s="212"/>
      <c r="S74" s="212" t="s">
        <v>184</v>
      </c>
      <c r="T74" s="212" t="s">
        <v>184</v>
      </c>
      <c r="U74" s="212">
        <v>0.026</v>
      </c>
      <c r="V74" s="212">
        <f>ROUND(E74*U74,2)</f>
        <v>20.02</v>
      </c>
      <c r="W74" s="212"/>
      <c r="X74" s="212" t="s">
        <v>225</v>
      </c>
      <c r="Y74" s="213"/>
      <c r="Z74" s="213"/>
      <c r="AA74" s="213"/>
      <c r="AB74" s="213"/>
      <c r="AC74" s="213"/>
      <c r="AD74" s="213"/>
      <c r="AE74" s="213"/>
      <c r="AF74" s="213"/>
      <c r="AG74" s="213" t="s">
        <v>408</v>
      </c>
      <c r="AH74" s="213"/>
      <c r="AI74" s="213"/>
      <c r="AJ74" s="213"/>
      <c r="AK74" s="213"/>
      <c r="AL74" s="213"/>
      <c r="AM74" s="213"/>
      <c r="AN74" s="213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213"/>
    </row>
    <row r="75" ht="12.75" customHeight="1" outlineLevel="1">
      <c r="A75" s="235"/>
      <c r="B75" s="236"/>
      <c r="C75" s="237" t="s">
        <v>1482</v>
      </c>
      <c r="D75" s="238"/>
      <c r="E75" s="239">
        <v>770.0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3"/>
      <c r="Z75" s="213"/>
      <c r="AA75" s="213"/>
      <c r="AB75" s="213"/>
      <c r="AC75" s="213"/>
      <c r="AD75" s="213"/>
      <c r="AE75" s="213"/>
      <c r="AF75" s="213"/>
      <c r="AG75" s="213" t="s">
        <v>228</v>
      </c>
      <c r="AH75" s="213">
        <v>0.0</v>
      </c>
      <c r="AI75" s="213"/>
      <c r="AJ75" s="213"/>
      <c r="AK75" s="213"/>
      <c r="AL75" s="213"/>
      <c r="AM75" s="213"/>
      <c r="AN75" s="213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</row>
    <row r="76" ht="12.75" customHeight="1" outlineLevel="1">
      <c r="A76" s="214">
        <v>32.0</v>
      </c>
      <c r="B76" s="215" t="s">
        <v>756</v>
      </c>
      <c r="C76" s="216" t="s">
        <v>757</v>
      </c>
      <c r="D76" s="217" t="s">
        <v>251</v>
      </c>
      <c r="E76" s="218">
        <v>700.0</v>
      </c>
      <c r="F76" s="219">
        <v>70.7</v>
      </c>
      <c r="G76" s="220">
        <f>ROUND(E76*F76,2)</f>
        <v>49490</v>
      </c>
      <c r="H76" s="211"/>
      <c r="I76" s="212">
        <f>ROUND(E76*H76,2)</f>
        <v>0</v>
      </c>
      <c r="J76" s="211"/>
      <c r="K76" s="212">
        <f>ROUND(E76*J76,2)</f>
        <v>0</v>
      </c>
      <c r="L76" s="212">
        <v>21.0</v>
      </c>
      <c r="M76" s="212">
        <f>G76*(1+L76/100)</f>
        <v>59882.9</v>
      </c>
      <c r="N76" s="212">
        <v>0.0</v>
      </c>
      <c r="O76" s="212">
        <f>ROUND(E76*N76,2)</f>
        <v>0</v>
      </c>
      <c r="P76" s="212">
        <v>0.0</v>
      </c>
      <c r="Q76" s="212">
        <f>ROUND(E76*P76,2)</f>
        <v>0</v>
      </c>
      <c r="R76" s="212"/>
      <c r="S76" s="212" t="s">
        <v>184</v>
      </c>
      <c r="T76" s="212" t="s">
        <v>184</v>
      </c>
      <c r="U76" s="212">
        <v>0.068</v>
      </c>
      <c r="V76" s="212">
        <f>ROUND(E76*U76,2)</f>
        <v>47.6</v>
      </c>
      <c r="W76" s="212"/>
      <c r="X76" s="212" t="s">
        <v>225</v>
      </c>
      <c r="Y76" s="213"/>
      <c r="Z76" s="213"/>
      <c r="AA76" s="213"/>
      <c r="AB76" s="213"/>
      <c r="AC76" s="213"/>
      <c r="AD76" s="213"/>
      <c r="AE76" s="213"/>
      <c r="AF76" s="213"/>
      <c r="AG76" s="213" t="s">
        <v>408</v>
      </c>
      <c r="AH76" s="213"/>
      <c r="AI76" s="213"/>
      <c r="AJ76" s="213"/>
      <c r="AK76" s="213"/>
      <c r="AL76" s="213"/>
      <c r="AM76" s="213"/>
      <c r="AN76" s="213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13"/>
    </row>
    <row r="77" ht="12.75" customHeight="1" outlineLevel="1">
      <c r="A77" s="235"/>
      <c r="B77" s="236"/>
      <c r="C77" s="237" t="s">
        <v>758</v>
      </c>
      <c r="D77" s="238"/>
      <c r="E77" s="239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3"/>
      <c r="Z77" s="213"/>
      <c r="AA77" s="213"/>
      <c r="AB77" s="213"/>
      <c r="AC77" s="213"/>
      <c r="AD77" s="213"/>
      <c r="AE77" s="213"/>
      <c r="AF77" s="213"/>
      <c r="AG77" s="213" t="s">
        <v>228</v>
      </c>
      <c r="AH77" s="213">
        <v>0.0</v>
      </c>
      <c r="AI77" s="213"/>
      <c r="AJ77" s="213"/>
      <c r="AK77" s="213"/>
      <c r="AL77" s="213"/>
      <c r="AM77" s="213"/>
      <c r="AN77" s="213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</row>
    <row r="78" ht="12.75" customHeight="1" outlineLevel="1">
      <c r="A78" s="235"/>
      <c r="B78" s="236"/>
      <c r="C78" s="237" t="s">
        <v>1481</v>
      </c>
      <c r="D78" s="238"/>
      <c r="E78" s="239">
        <v>700.0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3"/>
      <c r="Z78" s="213"/>
      <c r="AA78" s="213"/>
      <c r="AB78" s="213"/>
      <c r="AC78" s="213"/>
      <c r="AD78" s="213"/>
      <c r="AE78" s="213"/>
      <c r="AF78" s="213"/>
      <c r="AG78" s="213" t="s">
        <v>228</v>
      </c>
      <c r="AH78" s="213">
        <v>0.0</v>
      </c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</row>
    <row r="79" ht="12.75" customHeight="1" outlineLevel="1">
      <c r="A79" s="214">
        <v>33.0</v>
      </c>
      <c r="B79" s="215" t="s">
        <v>759</v>
      </c>
      <c r="C79" s="216" t="s">
        <v>760</v>
      </c>
      <c r="D79" s="217" t="s">
        <v>251</v>
      </c>
      <c r="E79" s="218">
        <v>700.0</v>
      </c>
      <c r="F79" s="219">
        <v>112.3</v>
      </c>
      <c r="G79" s="220">
        <f>ROUND(E79*F79,2)</f>
        <v>78610</v>
      </c>
      <c r="H79" s="211"/>
      <c r="I79" s="212">
        <f>ROUND(E79*H79,2)</f>
        <v>0</v>
      </c>
      <c r="J79" s="211"/>
      <c r="K79" s="212">
        <f>ROUND(E79*J79,2)</f>
        <v>0</v>
      </c>
      <c r="L79" s="212">
        <v>21.0</v>
      </c>
      <c r="M79" s="212">
        <f>G79*(1+L79/100)</f>
        <v>95118.1</v>
      </c>
      <c r="N79" s="212">
        <v>0.0</v>
      </c>
      <c r="O79" s="212">
        <f>ROUND(E79*N79,2)</f>
        <v>0</v>
      </c>
      <c r="P79" s="212">
        <v>0.0</v>
      </c>
      <c r="Q79" s="212">
        <f>ROUND(E79*P79,2)</f>
        <v>0</v>
      </c>
      <c r="R79" s="212"/>
      <c r="S79" s="212" t="s">
        <v>184</v>
      </c>
      <c r="T79" s="212" t="s">
        <v>184</v>
      </c>
      <c r="U79" s="212">
        <v>0.276</v>
      </c>
      <c r="V79" s="212">
        <f>ROUND(E79*U79,2)</f>
        <v>193.2</v>
      </c>
      <c r="W79" s="212"/>
      <c r="X79" s="212" t="s">
        <v>225</v>
      </c>
      <c r="Y79" s="213"/>
      <c r="Z79" s="213"/>
      <c r="AA79" s="213"/>
      <c r="AB79" s="213"/>
      <c r="AC79" s="213"/>
      <c r="AD79" s="213"/>
      <c r="AE79" s="213"/>
      <c r="AF79" s="213"/>
      <c r="AG79" s="213" t="s">
        <v>408</v>
      </c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</row>
    <row r="80" ht="12.75" customHeight="1" outlineLevel="1">
      <c r="A80" s="235"/>
      <c r="B80" s="236"/>
      <c r="C80" s="237" t="s">
        <v>1481</v>
      </c>
      <c r="D80" s="238"/>
      <c r="E80" s="239">
        <v>700.0</v>
      </c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3"/>
      <c r="Z80" s="213"/>
      <c r="AA80" s="213"/>
      <c r="AB80" s="213"/>
      <c r="AC80" s="213"/>
      <c r="AD80" s="213"/>
      <c r="AE80" s="213"/>
      <c r="AF80" s="213"/>
      <c r="AG80" s="213" t="s">
        <v>228</v>
      </c>
      <c r="AH80" s="213">
        <v>0.0</v>
      </c>
      <c r="AI80" s="213"/>
      <c r="AJ80" s="213"/>
      <c r="AK80" s="213"/>
      <c r="AL80" s="213"/>
      <c r="AM80" s="213"/>
      <c r="AN80" s="213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213"/>
    </row>
    <row r="81" ht="12.75" customHeight="1">
      <c r="A81" s="175"/>
      <c r="B81" s="179"/>
      <c r="C81" s="221"/>
      <c r="D81" s="181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AE81" s="184">
        <v>15.0</v>
      </c>
      <c r="AF81" s="184">
        <v>21.0</v>
      </c>
      <c r="AG81" s="184" t="s">
        <v>160</v>
      </c>
    </row>
    <row r="82" ht="12.75" customHeight="1">
      <c r="A82" s="222"/>
      <c r="B82" s="223" t="s">
        <v>24</v>
      </c>
      <c r="C82" s="224"/>
      <c r="D82" s="225"/>
      <c r="E82" s="226"/>
      <c r="F82" s="226"/>
      <c r="G82" s="227">
        <f>G8+G11+G15+G29+G62</f>
        <v>1509634.76</v>
      </c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AE82" s="184">
        <f>SUMIF(L7:L80,AE81,G7:G80)</f>
        <v>0</v>
      </c>
      <c r="AF82" s="184">
        <f>SUMIF(L7:L80,AF81,G7:G80)</f>
        <v>1509634.76</v>
      </c>
      <c r="AG82" s="184" t="s">
        <v>218</v>
      </c>
    </row>
    <row r="83" ht="12.75" customHeight="1">
      <c r="A83" s="175"/>
      <c r="B83" s="179"/>
      <c r="C83" s="221"/>
      <c r="D83" s="181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</row>
    <row r="84" ht="12.75" customHeight="1">
      <c r="A84" s="175"/>
      <c r="B84" s="179"/>
      <c r="C84" s="221"/>
      <c r="D84" s="181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</row>
    <row r="85" ht="12.75" customHeight="1">
      <c r="A85" s="175" t="s">
        <v>219</v>
      </c>
      <c r="D85" s="181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</row>
    <row r="86" ht="12.75" customHeight="1">
      <c r="A86" s="228"/>
      <c r="B86" s="27"/>
      <c r="C86" s="27"/>
      <c r="D86" s="27"/>
      <c r="E86" s="27"/>
      <c r="F86" s="27"/>
      <c r="G86" s="229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AG86" s="184" t="s">
        <v>220</v>
      </c>
    </row>
    <row r="87" ht="12.75" customHeight="1">
      <c r="A87" s="230"/>
      <c r="G87" s="231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</row>
    <row r="88" ht="12.75" customHeight="1">
      <c r="A88" s="230"/>
      <c r="G88" s="231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</row>
    <row r="89" ht="12.75" customHeight="1">
      <c r="A89" s="230"/>
      <c r="G89" s="231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</row>
    <row r="90" ht="12.75" customHeight="1">
      <c r="A90" s="232"/>
      <c r="B90" s="38"/>
      <c r="C90" s="38"/>
      <c r="D90" s="38"/>
      <c r="E90" s="38"/>
      <c r="F90" s="38"/>
      <c r="G90" s="233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</row>
    <row r="91" ht="12.75" customHeight="1">
      <c r="A91" s="175"/>
      <c r="B91" s="179"/>
      <c r="C91" s="221"/>
      <c r="D91" s="181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</row>
    <row r="92" ht="12.75" customHeight="1">
      <c r="B92" s="185"/>
      <c r="C92" s="234"/>
      <c r="D92" s="126"/>
      <c r="AG92" s="184" t="s">
        <v>221</v>
      </c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  <c r="D252" s="126"/>
    </row>
    <row r="253" ht="12.75" customHeight="1">
      <c r="B253" s="185"/>
      <c r="C253" s="185"/>
      <c r="D253" s="126"/>
    </row>
    <row r="254" ht="12.75" customHeight="1">
      <c r="B254" s="185"/>
      <c r="C254" s="185"/>
      <c r="D254" s="126"/>
    </row>
    <row r="255" ht="12.75" customHeight="1">
      <c r="B255" s="185"/>
      <c r="C255" s="185"/>
      <c r="D255" s="126"/>
    </row>
    <row r="256" ht="12.75" customHeight="1">
      <c r="B256" s="185"/>
      <c r="C256" s="185"/>
      <c r="D256" s="126"/>
    </row>
    <row r="257" ht="12.75" customHeight="1">
      <c r="B257" s="185"/>
      <c r="C257" s="185"/>
      <c r="D257" s="126"/>
    </row>
    <row r="258" ht="12.75" customHeight="1">
      <c r="B258" s="185"/>
      <c r="C258" s="185"/>
      <c r="D258" s="126"/>
    </row>
    <row r="259" ht="12.75" customHeight="1">
      <c r="B259" s="185"/>
      <c r="C259" s="185"/>
      <c r="D259" s="126"/>
    </row>
    <row r="260" ht="12.75" customHeight="1">
      <c r="B260" s="185"/>
      <c r="C260" s="185"/>
      <c r="D260" s="126"/>
    </row>
    <row r="261" ht="12.75" customHeight="1">
      <c r="B261" s="185"/>
      <c r="C261" s="185"/>
      <c r="D261" s="126"/>
    </row>
    <row r="262" ht="12.75" customHeight="1">
      <c r="B262" s="185"/>
      <c r="C262" s="185"/>
      <c r="D262" s="126"/>
    </row>
    <row r="263" ht="12.75" customHeight="1">
      <c r="B263" s="185"/>
      <c r="C263" s="185"/>
      <c r="D263" s="126"/>
    </row>
    <row r="264" ht="12.75" customHeight="1">
      <c r="B264" s="185"/>
      <c r="C264" s="185"/>
      <c r="D264" s="126"/>
    </row>
    <row r="265" ht="12.75" customHeight="1">
      <c r="B265" s="185"/>
      <c r="C265" s="185"/>
      <c r="D265" s="126"/>
    </row>
    <row r="266" ht="12.75" customHeight="1">
      <c r="B266" s="185"/>
      <c r="C266" s="185"/>
      <c r="D266" s="126"/>
    </row>
    <row r="267" ht="12.75" customHeight="1">
      <c r="B267" s="185"/>
      <c r="C267" s="185"/>
      <c r="D267" s="126"/>
    </row>
    <row r="268" ht="12.75" customHeight="1">
      <c r="B268" s="185"/>
      <c r="C268" s="185"/>
      <c r="D268" s="126"/>
    </row>
    <row r="269" ht="12.75" customHeight="1">
      <c r="B269" s="185"/>
      <c r="C269" s="185"/>
      <c r="D269" s="126"/>
    </row>
    <row r="270" ht="12.75" customHeight="1">
      <c r="B270" s="185"/>
      <c r="C270" s="185"/>
      <c r="D270" s="126"/>
    </row>
    <row r="271" ht="12.75" customHeight="1">
      <c r="B271" s="185"/>
      <c r="C271" s="185"/>
      <c r="D271" s="126"/>
    </row>
    <row r="272" ht="12.75" customHeight="1">
      <c r="B272" s="185"/>
      <c r="C272" s="185"/>
      <c r="D272" s="126"/>
    </row>
    <row r="273" ht="12.75" customHeight="1">
      <c r="B273" s="185"/>
      <c r="C273" s="185"/>
      <c r="D273" s="126"/>
    </row>
    <row r="274" ht="12.75" customHeight="1">
      <c r="B274" s="185"/>
      <c r="C274" s="185"/>
      <c r="D274" s="126"/>
    </row>
    <row r="275" ht="12.75" customHeight="1">
      <c r="B275" s="185"/>
      <c r="C275" s="185"/>
      <c r="D275" s="126"/>
    </row>
    <row r="276" ht="12.75" customHeight="1">
      <c r="B276" s="185"/>
      <c r="C276" s="185"/>
      <c r="D276" s="126"/>
    </row>
    <row r="277" ht="12.75" customHeight="1">
      <c r="B277" s="185"/>
      <c r="C277" s="185"/>
      <c r="D277" s="126"/>
    </row>
    <row r="278" ht="12.75" customHeight="1">
      <c r="B278" s="185"/>
      <c r="C278" s="185"/>
      <c r="D278" s="126"/>
    </row>
    <row r="279" ht="12.75" customHeight="1">
      <c r="B279" s="185"/>
      <c r="C279" s="185"/>
      <c r="D279" s="126"/>
    </row>
    <row r="280" ht="12.75" customHeight="1">
      <c r="B280" s="185"/>
      <c r="C280" s="185"/>
      <c r="D280" s="126"/>
    </row>
    <row r="281" ht="12.75" customHeight="1">
      <c r="B281" s="185"/>
      <c r="C281" s="185"/>
      <c r="D281" s="126"/>
    </row>
    <row r="282" ht="12.75" customHeight="1">
      <c r="B282" s="185"/>
      <c r="C282" s="185"/>
      <c r="D282" s="126"/>
    </row>
    <row r="283" ht="12.75" customHeight="1">
      <c r="B283" s="185"/>
      <c r="C283" s="185"/>
      <c r="D283" s="126"/>
    </row>
    <row r="284" ht="12.75" customHeight="1">
      <c r="B284" s="185"/>
      <c r="C284" s="185"/>
      <c r="D284" s="126"/>
    </row>
    <row r="285" ht="12.75" customHeight="1">
      <c r="B285" s="185"/>
      <c r="C285" s="185"/>
      <c r="D285" s="126"/>
    </row>
    <row r="286" ht="12.75" customHeight="1">
      <c r="B286" s="185"/>
      <c r="C286" s="185"/>
      <c r="D286" s="126"/>
    </row>
    <row r="287" ht="12.75" customHeight="1">
      <c r="B287" s="185"/>
      <c r="C287" s="185"/>
      <c r="D287" s="126"/>
    </row>
    <row r="288" ht="12.75" customHeight="1">
      <c r="B288" s="185"/>
      <c r="C288" s="185"/>
      <c r="D288" s="126"/>
    </row>
    <row r="289" ht="12.75" customHeight="1">
      <c r="B289" s="185"/>
      <c r="C289" s="185"/>
      <c r="D289" s="126"/>
    </row>
    <row r="290" ht="12.75" customHeight="1">
      <c r="B290" s="185"/>
      <c r="C290" s="185"/>
      <c r="D290" s="126"/>
    </row>
    <row r="291" ht="12.75" customHeight="1">
      <c r="B291" s="185"/>
      <c r="C291" s="185"/>
      <c r="D291" s="126"/>
    </row>
    <row r="292" ht="12.75" customHeight="1">
      <c r="B292" s="185"/>
      <c r="C292" s="185"/>
      <c r="D292" s="126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85:C85"/>
    <mergeCell ref="A86:G90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4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87</v>
      </c>
      <c r="C3" s="177" t="s">
        <v>88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87</v>
      </c>
      <c r="C4" s="188" t="s">
        <v>88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126</v>
      </c>
      <c r="C8" s="198" t="s">
        <v>127</v>
      </c>
      <c r="D8" s="199"/>
      <c r="E8" s="200"/>
      <c r="F8" s="201"/>
      <c r="G8" s="202">
        <f>SUMIF(AG9:AG10,"&lt;&gt;NOR",G9:G10)</f>
        <v>39063.34</v>
      </c>
      <c r="H8" s="203"/>
      <c r="I8" s="203">
        <f>SUM(I9:I10)</f>
        <v>0</v>
      </c>
      <c r="J8" s="203"/>
      <c r="K8" s="203">
        <f>SUM(K9:K10)</f>
        <v>0</v>
      </c>
      <c r="L8" s="203"/>
      <c r="M8" s="203">
        <f>SUM(M9:M10)</f>
        <v>47266.6414</v>
      </c>
      <c r="N8" s="203"/>
      <c r="O8" s="203">
        <f>SUM(O9:O10)</f>
        <v>0</v>
      </c>
      <c r="P8" s="203"/>
      <c r="Q8" s="203">
        <f>SUM(Q9:Q10)</f>
        <v>0</v>
      </c>
      <c r="R8" s="203"/>
      <c r="S8" s="203"/>
      <c r="T8" s="203"/>
      <c r="U8" s="203"/>
      <c r="V8" s="203">
        <f>SUM(V9:V10)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694</v>
      </c>
      <c r="C9" s="206" t="s">
        <v>859</v>
      </c>
      <c r="D9" s="207" t="s">
        <v>372</v>
      </c>
      <c r="E9" s="208">
        <v>1.0</v>
      </c>
      <c r="F9" s="209">
        <v>9225.34</v>
      </c>
      <c r="G9" s="210">
        <f t="shared" ref="G9:G10" si="1">ROUND(E9*F9,2)</f>
        <v>9225.34</v>
      </c>
      <c r="H9" s="211"/>
      <c r="I9" s="212">
        <f t="shared" ref="I9:I10" si="2">ROUND(E9*H9,2)</f>
        <v>0</v>
      </c>
      <c r="J9" s="211"/>
      <c r="K9" s="212">
        <f t="shared" ref="K9:K10" si="3">ROUND(E9*J9,2)</f>
        <v>0</v>
      </c>
      <c r="L9" s="212">
        <v>21.0</v>
      </c>
      <c r="M9" s="212">
        <f t="shared" ref="M9:M10" si="4">G9*(1+L9/100)</f>
        <v>11162.6614</v>
      </c>
      <c r="N9" s="212">
        <v>0.0</v>
      </c>
      <c r="O9" s="212">
        <f t="shared" ref="O9:O10" si="5">ROUND(E9*N9,2)</f>
        <v>0</v>
      </c>
      <c r="P9" s="212">
        <v>0.0</v>
      </c>
      <c r="Q9" s="212">
        <f t="shared" ref="Q9:Q10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10" si="7">ROUND(E9*U9,2)</f>
        <v>0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</row>
    <row r="10" ht="12.75" customHeight="1" outlineLevel="1">
      <c r="A10" s="204">
        <v>2.0</v>
      </c>
      <c r="B10" s="205" t="s">
        <v>696</v>
      </c>
      <c r="C10" s="206" t="s">
        <v>860</v>
      </c>
      <c r="D10" s="207" t="s">
        <v>372</v>
      </c>
      <c r="E10" s="208">
        <v>1.0</v>
      </c>
      <c r="F10" s="209">
        <v>29838.0</v>
      </c>
      <c r="G10" s="210">
        <f t="shared" si="1"/>
        <v>29838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36103.98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178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</row>
    <row r="11" ht="12.75" customHeight="1">
      <c r="A11" s="196" t="s">
        <v>173</v>
      </c>
      <c r="B11" s="197" t="s">
        <v>132</v>
      </c>
      <c r="C11" s="198" t="s">
        <v>133</v>
      </c>
      <c r="D11" s="199"/>
      <c r="E11" s="200"/>
      <c r="F11" s="201"/>
      <c r="G11" s="202">
        <f>SUMIF(AG12:AG23,"&lt;&gt;NOR",G12:G23)</f>
        <v>22107.7</v>
      </c>
      <c r="H11" s="203"/>
      <c r="I11" s="203">
        <f>SUM(I12:I23)</f>
        <v>0</v>
      </c>
      <c r="J11" s="203"/>
      <c r="K11" s="203">
        <f>SUM(K12:K23)</f>
        <v>0</v>
      </c>
      <c r="L11" s="203"/>
      <c r="M11" s="203">
        <f>SUM(M12:M23)</f>
        <v>26750.317</v>
      </c>
      <c r="N11" s="203"/>
      <c r="O11" s="203">
        <f>SUM(O12:O23)</f>
        <v>0</v>
      </c>
      <c r="P11" s="203"/>
      <c r="Q11" s="203">
        <f>SUM(Q12:Q23)</f>
        <v>0</v>
      </c>
      <c r="R11" s="203"/>
      <c r="S11" s="203"/>
      <c r="T11" s="203"/>
      <c r="U11" s="203"/>
      <c r="V11" s="203">
        <f>SUM(V12:V23)</f>
        <v>0</v>
      </c>
      <c r="W11" s="203"/>
      <c r="X11" s="203"/>
      <c r="AG11" s="184" t="s">
        <v>174</v>
      </c>
    </row>
    <row r="12" ht="12.75" customHeight="1" outlineLevel="1">
      <c r="A12" s="214">
        <v>3.0</v>
      </c>
      <c r="B12" s="215" t="s">
        <v>411</v>
      </c>
      <c r="C12" s="216" t="s">
        <v>861</v>
      </c>
      <c r="D12" s="217" t="s">
        <v>251</v>
      </c>
      <c r="E12" s="218">
        <v>150.0</v>
      </c>
      <c r="F12" s="219">
        <v>86.6</v>
      </c>
      <c r="G12" s="220">
        <f>ROUND(E12*F12,2)</f>
        <v>12990</v>
      </c>
      <c r="H12" s="211"/>
      <c r="I12" s="212">
        <f>ROUND(E12*H12,2)</f>
        <v>0</v>
      </c>
      <c r="J12" s="211"/>
      <c r="K12" s="212">
        <f>ROUND(E12*J12,2)</f>
        <v>0</v>
      </c>
      <c r="L12" s="212">
        <v>21.0</v>
      </c>
      <c r="M12" s="212">
        <f>G12*(1+L12/100)</f>
        <v>15717.9</v>
      </c>
      <c r="N12" s="212">
        <v>0.0</v>
      </c>
      <c r="O12" s="212">
        <f>ROUND(E12*N12,2)</f>
        <v>0</v>
      </c>
      <c r="P12" s="212">
        <v>0.0</v>
      </c>
      <c r="Q12" s="212">
        <f>ROUND(E12*P12,2)</f>
        <v>0</v>
      </c>
      <c r="R12" s="212"/>
      <c r="S12" s="212" t="s">
        <v>178</v>
      </c>
      <c r="T12" s="212" t="s">
        <v>179</v>
      </c>
      <c r="U12" s="212">
        <v>0.0</v>
      </c>
      <c r="V12" s="212">
        <f>ROUND(E12*U12,2)</f>
        <v>0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</row>
    <row r="13" ht="12.75" customHeight="1" outlineLevel="1">
      <c r="A13" s="235"/>
      <c r="B13" s="236"/>
      <c r="C13" s="237" t="s">
        <v>862</v>
      </c>
      <c r="D13" s="238"/>
      <c r="E13" s="239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3"/>
      <c r="Z13" s="213"/>
      <c r="AA13" s="213"/>
      <c r="AB13" s="213"/>
      <c r="AC13" s="213"/>
      <c r="AD13" s="213"/>
      <c r="AE13" s="213"/>
      <c r="AF13" s="213"/>
      <c r="AG13" s="213" t="s">
        <v>228</v>
      </c>
      <c r="AH13" s="213">
        <v>0.0</v>
      </c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</row>
    <row r="14" ht="12.75" customHeight="1" outlineLevel="1">
      <c r="A14" s="235"/>
      <c r="B14" s="236"/>
      <c r="C14" s="237" t="s">
        <v>1483</v>
      </c>
      <c r="D14" s="238"/>
      <c r="E14" s="239">
        <v>100.0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3"/>
      <c r="Z14" s="213"/>
      <c r="AA14" s="213"/>
      <c r="AB14" s="213"/>
      <c r="AC14" s="213"/>
      <c r="AD14" s="213"/>
      <c r="AE14" s="213"/>
      <c r="AF14" s="213"/>
      <c r="AG14" s="213" t="s">
        <v>228</v>
      </c>
      <c r="AH14" s="213">
        <v>0.0</v>
      </c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</row>
    <row r="15" ht="12.75" customHeight="1" outlineLevel="1">
      <c r="A15" s="235"/>
      <c r="B15" s="236"/>
      <c r="C15" s="237" t="s">
        <v>1484</v>
      </c>
      <c r="D15" s="238"/>
      <c r="E15" s="239">
        <v>50.0</v>
      </c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3"/>
      <c r="Z15" s="213"/>
      <c r="AA15" s="213"/>
      <c r="AB15" s="213"/>
      <c r="AC15" s="213"/>
      <c r="AD15" s="213"/>
      <c r="AE15" s="213"/>
      <c r="AF15" s="213"/>
      <c r="AG15" s="213" t="s">
        <v>228</v>
      </c>
      <c r="AH15" s="213">
        <v>0.0</v>
      </c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</row>
    <row r="16" ht="12.75" customHeight="1" outlineLevel="1">
      <c r="A16" s="214">
        <v>4.0</v>
      </c>
      <c r="B16" s="215" t="s">
        <v>415</v>
      </c>
      <c r="C16" s="216" t="s">
        <v>865</v>
      </c>
      <c r="D16" s="217" t="s">
        <v>251</v>
      </c>
      <c r="E16" s="218">
        <v>100.0</v>
      </c>
      <c r="F16" s="219">
        <v>42.7</v>
      </c>
      <c r="G16" s="220">
        <f>ROUND(E16*F16,2)</f>
        <v>4270</v>
      </c>
      <c r="H16" s="211"/>
      <c r="I16" s="212">
        <f>ROUND(E16*H16,2)</f>
        <v>0</v>
      </c>
      <c r="J16" s="211"/>
      <c r="K16" s="212">
        <f>ROUND(E16*J16,2)</f>
        <v>0</v>
      </c>
      <c r="L16" s="212">
        <v>21.0</v>
      </c>
      <c r="M16" s="212">
        <f>G16*(1+L16/100)</f>
        <v>5166.7</v>
      </c>
      <c r="N16" s="212">
        <v>0.0</v>
      </c>
      <c r="O16" s="212">
        <f>ROUND(E16*N16,2)</f>
        <v>0</v>
      </c>
      <c r="P16" s="212">
        <v>0.0</v>
      </c>
      <c r="Q16" s="212">
        <f>ROUND(E16*P16,2)</f>
        <v>0</v>
      </c>
      <c r="R16" s="212"/>
      <c r="S16" s="212" t="s">
        <v>178</v>
      </c>
      <c r="T16" s="212" t="s">
        <v>179</v>
      </c>
      <c r="U16" s="212">
        <v>0.0</v>
      </c>
      <c r="V16" s="212">
        <f>ROUND(E16*U16,2)</f>
        <v>0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</row>
    <row r="17" ht="12.75" customHeight="1" outlineLevel="1">
      <c r="A17" s="235"/>
      <c r="B17" s="236"/>
      <c r="C17" s="237" t="s">
        <v>866</v>
      </c>
      <c r="D17" s="238"/>
      <c r="E17" s="239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3"/>
      <c r="Z17" s="213"/>
      <c r="AA17" s="213"/>
      <c r="AB17" s="213"/>
      <c r="AC17" s="213"/>
      <c r="AD17" s="213"/>
      <c r="AE17" s="213"/>
      <c r="AF17" s="213"/>
      <c r="AG17" s="213" t="s">
        <v>228</v>
      </c>
      <c r="AH17" s="213">
        <v>0.0</v>
      </c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</row>
    <row r="18" ht="12.75" customHeight="1" outlineLevel="1">
      <c r="A18" s="235"/>
      <c r="B18" s="236"/>
      <c r="C18" s="237" t="s">
        <v>1483</v>
      </c>
      <c r="D18" s="238"/>
      <c r="E18" s="239">
        <v>100.0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3"/>
      <c r="Z18" s="213"/>
      <c r="AA18" s="213"/>
      <c r="AB18" s="213"/>
      <c r="AC18" s="213"/>
      <c r="AD18" s="213"/>
      <c r="AE18" s="213"/>
      <c r="AF18" s="213"/>
      <c r="AG18" s="213" t="s">
        <v>228</v>
      </c>
      <c r="AH18" s="213">
        <v>0.0</v>
      </c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</row>
    <row r="19" ht="12.75" customHeight="1" outlineLevel="1">
      <c r="A19" s="214">
        <v>5.0</v>
      </c>
      <c r="B19" s="215" t="s">
        <v>419</v>
      </c>
      <c r="C19" s="216" t="s">
        <v>867</v>
      </c>
      <c r="D19" s="217" t="s">
        <v>251</v>
      </c>
      <c r="E19" s="218">
        <v>12.0</v>
      </c>
      <c r="F19" s="219">
        <v>111.1</v>
      </c>
      <c r="G19" s="220">
        <f>ROUND(E19*F19,2)</f>
        <v>1333.2</v>
      </c>
      <c r="H19" s="211"/>
      <c r="I19" s="212">
        <f>ROUND(E19*H19,2)</f>
        <v>0</v>
      </c>
      <c r="J19" s="211"/>
      <c r="K19" s="212">
        <f>ROUND(E19*J19,2)</f>
        <v>0</v>
      </c>
      <c r="L19" s="212">
        <v>21.0</v>
      </c>
      <c r="M19" s="212">
        <f>G19*(1+L19/100)</f>
        <v>1613.172</v>
      </c>
      <c r="N19" s="212">
        <v>0.0</v>
      </c>
      <c r="O19" s="212">
        <f>ROUND(E19*N19,2)</f>
        <v>0</v>
      </c>
      <c r="P19" s="212">
        <v>0.0</v>
      </c>
      <c r="Q19" s="212">
        <f>ROUND(E19*P19,2)</f>
        <v>0</v>
      </c>
      <c r="R19" s="212"/>
      <c r="S19" s="212" t="s">
        <v>178</v>
      </c>
      <c r="T19" s="212" t="s">
        <v>179</v>
      </c>
      <c r="U19" s="212">
        <v>0.0</v>
      </c>
      <c r="V19" s="212">
        <f>ROUND(E19*U19,2)</f>
        <v>0</v>
      </c>
      <c r="W19" s="212"/>
      <c r="X19" s="212" t="s">
        <v>225</v>
      </c>
      <c r="Y19" s="213"/>
      <c r="Z19" s="213"/>
      <c r="AA19" s="213"/>
      <c r="AB19" s="213"/>
      <c r="AC19" s="213"/>
      <c r="AD19" s="213"/>
      <c r="AE19" s="213"/>
      <c r="AF19" s="213"/>
      <c r="AG19" s="213" t="s">
        <v>226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</row>
    <row r="20" ht="12.75" customHeight="1" outlineLevel="1">
      <c r="A20" s="235"/>
      <c r="B20" s="236"/>
      <c r="C20" s="237" t="s">
        <v>868</v>
      </c>
      <c r="D20" s="238"/>
      <c r="E20" s="239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3"/>
      <c r="Z20" s="213"/>
      <c r="AA20" s="213"/>
      <c r="AB20" s="213"/>
      <c r="AC20" s="213"/>
      <c r="AD20" s="213"/>
      <c r="AE20" s="213"/>
      <c r="AF20" s="213"/>
      <c r="AG20" s="213" t="s">
        <v>228</v>
      </c>
      <c r="AH20" s="213">
        <v>0.0</v>
      </c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</row>
    <row r="21" ht="12.75" customHeight="1" outlineLevel="1">
      <c r="A21" s="235"/>
      <c r="B21" s="236"/>
      <c r="C21" s="237" t="s">
        <v>1485</v>
      </c>
      <c r="D21" s="238"/>
      <c r="E21" s="239">
        <v>12.0</v>
      </c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3"/>
      <c r="Z21" s="213"/>
      <c r="AA21" s="213"/>
      <c r="AB21" s="213"/>
      <c r="AC21" s="213"/>
      <c r="AD21" s="213"/>
      <c r="AE21" s="213"/>
      <c r="AF21" s="213"/>
      <c r="AG21" s="213" t="s">
        <v>228</v>
      </c>
      <c r="AH21" s="213">
        <v>0.0</v>
      </c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</row>
    <row r="22" ht="12.75" customHeight="1" outlineLevel="1">
      <c r="A22" s="214">
        <v>6.0</v>
      </c>
      <c r="B22" s="215" t="s">
        <v>424</v>
      </c>
      <c r="C22" s="216" t="s">
        <v>871</v>
      </c>
      <c r="D22" s="217" t="s">
        <v>251</v>
      </c>
      <c r="E22" s="218">
        <v>27.5</v>
      </c>
      <c r="F22" s="219">
        <v>127.8</v>
      </c>
      <c r="G22" s="220">
        <f>ROUND(E22*F22,2)</f>
        <v>3514.5</v>
      </c>
      <c r="H22" s="211"/>
      <c r="I22" s="212">
        <f>ROUND(E22*H22,2)</f>
        <v>0</v>
      </c>
      <c r="J22" s="211"/>
      <c r="K22" s="212">
        <f>ROUND(E22*J22,2)</f>
        <v>0</v>
      </c>
      <c r="L22" s="212">
        <v>21.0</v>
      </c>
      <c r="M22" s="212">
        <f>G22*(1+L22/100)</f>
        <v>4252.545</v>
      </c>
      <c r="N22" s="212">
        <v>0.0</v>
      </c>
      <c r="O22" s="212">
        <f>ROUND(E22*N22,2)</f>
        <v>0</v>
      </c>
      <c r="P22" s="212">
        <v>0.0</v>
      </c>
      <c r="Q22" s="212">
        <f>ROUND(E22*P22,2)</f>
        <v>0</v>
      </c>
      <c r="R22" s="212"/>
      <c r="S22" s="212" t="s">
        <v>178</v>
      </c>
      <c r="T22" s="212" t="s">
        <v>179</v>
      </c>
      <c r="U22" s="212">
        <v>0.0</v>
      </c>
      <c r="V22" s="212">
        <f>ROUND(E22*U22,2)</f>
        <v>0</v>
      </c>
      <c r="W22" s="212"/>
      <c r="X22" s="212" t="s">
        <v>225</v>
      </c>
      <c r="Y22" s="213"/>
      <c r="Z22" s="213"/>
      <c r="AA22" s="213"/>
      <c r="AB22" s="213"/>
      <c r="AC22" s="213"/>
      <c r="AD22" s="213"/>
      <c r="AE22" s="213"/>
      <c r="AF22" s="213"/>
      <c r="AG22" s="213" t="s">
        <v>226</v>
      </c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</row>
    <row r="23" ht="12.75" customHeight="1" outlineLevel="1">
      <c r="A23" s="235"/>
      <c r="B23" s="236"/>
      <c r="C23" s="237" t="s">
        <v>1486</v>
      </c>
      <c r="D23" s="238"/>
      <c r="E23" s="239">
        <v>27.5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3"/>
      <c r="Z23" s="213"/>
      <c r="AA23" s="213"/>
      <c r="AB23" s="213"/>
      <c r="AC23" s="213"/>
      <c r="AD23" s="213"/>
      <c r="AE23" s="213"/>
      <c r="AF23" s="213"/>
      <c r="AG23" s="213" t="s">
        <v>228</v>
      </c>
      <c r="AH23" s="213">
        <v>0.0</v>
      </c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</row>
    <row r="24" ht="12.75" customHeight="1">
      <c r="A24" s="196" t="s">
        <v>173</v>
      </c>
      <c r="B24" s="197" t="s">
        <v>136</v>
      </c>
      <c r="C24" s="198" t="s">
        <v>137</v>
      </c>
      <c r="D24" s="199"/>
      <c r="E24" s="200"/>
      <c r="F24" s="201"/>
      <c r="G24" s="202">
        <f>SUMIF(AG25:AG36,"&lt;&gt;NOR",G25:G36)</f>
        <v>22323.8</v>
      </c>
      <c r="H24" s="203"/>
      <c r="I24" s="203">
        <f>SUM(I25:I36)</f>
        <v>0</v>
      </c>
      <c r="J24" s="203"/>
      <c r="K24" s="203">
        <f>SUM(K25:K36)</f>
        <v>0</v>
      </c>
      <c r="L24" s="203"/>
      <c r="M24" s="203">
        <f>SUM(M25:M36)</f>
        <v>27011.798</v>
      </c>
      <c r="N24" s="203"/>
      <c r="O24" s="203">
        <f>SUM(O25:O36)</f>
        <v>11.18</v>
      </c>
      <c r="P24" s="203"/>
      <c r="Q24" s="203">
        <f>SUM(Q25:Q36)</f>
        <v>0</v>
      </c>
      <c r="R24" s="203"/>
      <c r="S24" s="203"/>
      <c r="T24" s="203"/>
      <c r="U24" s="203"/>
      <c r="V24" s="203">
        <f>SUM(V25:V36)</f>
        <v>31.55</v>
      </c>
      <c r="W24" s="203"/>
      <c r="X24" s="203"/>
      <c r="AG24" s="184" t="s">
        <v>174</v>
      </c>
    </row>
    <row r="25" ht="12.75" customHeight="1" outlineLevel="1">
      <c r="A25" s="214">
        <v>7.0</v>
      </c>
      <c r="B25" s="215" t="s">
        <v>874</v>
      </c>
      <c r="C25" s="216" t="s">
        <v>875</v>
      </c>
      <c r="D25" s="217" t="s">
        <v>372</v>
      </c>
      <c r="E25" s="218">
        <v>1.0</v>
      </c>
      <c r="F25" s="219">
        <v>5256.3</v>
      </c>
      <c r="G25" s="220">
        <f>ROUND(E25*F25,2)</f>
        <v>5256.3</v>
      </c>
      <c r="H25" s="211"/>
      <c r="I25" s="212">
        <f>ROUND(E25*H25,2)</f>
        <v>0</v>
      </c>
      <c r="J25" s="211"/>
      <c r="K25" s="212">
        <f>ROUND(E25*J25,2)</f>
        <v>0</v>
      </c>
      <c r="L25" s="212">
        <v>21.0</v>
      </c>
      <c r="M25" s="212">
        <f>G25*(1+L25/100)</f>
        <v>6360.123</v>
      </c>
      <c r="N25" s="212">
        <v>4.5459</v>
      </c>
      <c r="O25" s="212">
        <f>ROUND(E25*N25,2)</f>
        <v>4.55</v>
      </c>
      <c r="P25" s="212">
        <v>0.0</v>
      </c>
      <c r="Q25" s="212">
        <f>ROUND(E25*P25,2)</f>
        <v>0</v>
      </c>
      <c r="R25" s="212"/>
      <c r="S25" s="212" t="s">
        <v>184</v>
      </c>
      <c r="T25" s="212" t="s">
        <v>184</v>
      </c>
      <c r="U25" s="212">
        <v>17.5</v>
      </c>
      <c r="V25" s="212">
        <f>ROUND(E25*U25,2)</f>
        <v>17.5</v>
      </c>
      <c r="W25" s="212"/>
      <c r="X25" s="212" t="s">
        <v>225</v>
      </c>
      <c r="Y25" s="213"/>
      <c r="Z25" s="213"/>
      <c r="AA25" s="213"/>
      <c r="AB25" s="213"/>
      <c r="AC25" s="213"/>
      <c r="AD25" s="213"/>
      <c r="AE25" s="213"/>
      <c r="AF25" s="213"/>
      <c r="AG25" s="213" t="s">
        <v>408</v>
      </c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</row>
    <row r="26" ht="12.75" customHeight="1" outlineLevel="1">
      <c r="A26" s="235"/>
      <c r="B26" s="236"/>
      <c r="C26" s="237" t="s">
        <v>876</v>
      </c>
      <c r="D26" s="238"/>
      <c r="E26" s="239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3"/>
      <c r="Z26" s="213"/>
      <c r="AA26" s="213"/>
      <c r="AB26" s="213"/>
      <c r="AC26" s="213"/>
      <c r="AD26" s="213"/>
      <c r="AE26" s="213"/>
      <c r="AF26" s="213"/>
      <c r="AG26" s="213" t="s">
        <v>228</v>
      </c>
      <c r="AH26" s="213">
        <v>0.0</v>
      </c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</row>
    <row r="27" ht="12.75" customHeight="1" outlineLevel="1">
      <c r="A27" s="235"/>
      <c r="B27" s="236"/>
      <c r="C27" s="237" t="s">
        <v>374</v>
      </c>
      <c r="D27" s="238"/>
      <c r="E27" s="239">
        <v>1.0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3"/>
      <c r="Z27" s="213"/>
      <c r="AA27" s="213"/>
      <c r="AB27" s="213"/>
      <c r="AC27" s="213"/>
      <c r="AD27" s="213"/>
      <c r="AE27" s="213"/>
      <c r="AF27" s="213"/>
      <c r="AG27" s="213" t="s">
        <v>228</v>
      </c>
      <c r="AH27" s="213">
        <v>0.0</v>
      </c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</row>
    <row r="28" ht="12.75" customHeight="1" outlineLevel="1">
      <c r="A28" s="214">
        <v>8.0</v>
      </c>
      <c r="B28" s="215" t="s">
        <v>747</v>
      </c>
      <c r="C28" s="216" t="s">
        <v>748</v>
      </c>
      <c r="D28" s="217" t="s">
        <v>251</v>
      </c>
      <c r="E28" s="218">
        <v>25.0</v>
      </c>
      <c r="F28" s="219">
        <v>479.3</v>
      </c>
      <c r="G28" s="220">
        <f>ROUND(E28*F28,2)</f>
        <v>11982.5</v>
      </c>
      <c r="H28" s="211"/>
      <c r="I28" s="212">
        <f>ROUND(E28*H28,2)</f>
        <v>0</v>
      </c>
      <c r="J28" s="211"/>
      <c r="K28" s="212">
        <f>ROUND(E28*J28,2)</f>
        <v>0</v>
      </c>
      <c r="L28" s="212">
        <v>21.0</v>
      </c>
      <c r="M28" s="212">
        <f>G28*(1+L28/100)</f>
        <v>14498.825</v>
      </c>
      <c r="N28" s="212">
        <v>0.0</v>
      </c>
      <c r="O28" s="212">
        <f>ROUND(E28*N28,2)</f>
        <v>0</v>
      </c>
      <c r="P28" s="212">
        <v>0.0</v>
      </c>
      <c r="Q28" s="212">
        <f>ROUND(E28*P28,2)</f>
        <v>0</v>
      </c>
      <c r="R28" s="212"/>
      <c r="S28" s="212" t="s">
        <v>184</v>
      </c>
      <c r="T28" s="212" t="s">
        <v>184</v>
      </c>
      <c r="U28" s="212">
        <v>0.146</v>
      </c>
      <c r="V28" s="212">
        <f>ROUND(E28*U28,2)</f>
        <v>3.65</v>
      </c>
      <c r="W28" s="212"/>
      <c r="X28" s="212" t="s">
        <v>225</v>
      </c>
      <c r="Y28" s="213"/>
      <c r="Z28" s="213"/>
      <c r="AA28" s="213"/>
      <c r="AB28" s="213"/>
      <c r="AC28" s="213"/>
      <c r="AD28" s="213"/>
      <c r="AE28" s="213"/>
      <c r="AF28" s="213"/>
      <c r="AG28" s="213" t="s">
        <v>408</v>
      </c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</row>
    <row r="29" ht="12.75" customHeight="1" outlineLevel="1">
      <c r="A29" s="235"/>
      <c r="B29" s="236"/>
      <c r="C29" s="237" t="s">
        <v>1487</v>
      </c>
      <c r="D29" s="238"/>
      <c r="E29" s="239">
        <v>25.0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3"/>
      <c r="Z29" s="213"/>
      <c r="AA29" s="213"/>
      <c r="AB29" s="213"/>
      <c r="AC29" s="213"/>
      <c r="AD29" s="213"/>
      <c r="AE29" s="213"/>
      <c r="AF29" s="213"/>
      <c r="AG29" s="213" t="s">
        <v>228</v>
      </c>
      <c r="AH29" s="213">
        <v>0.0</v>
      </c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</row>
    <row r="30" ht="12.75" customHeight="1" outlineLevel="1">
      <c r="A30" s="214">
        <v>9.0</v>
      </c>
      <c r="B30" s="215" t="s">
        <v>750</v>
      </c>
      <c r="C30" s="216" t="s">
        <v>751</v>
      </c>
      <c r="D30" s="217" t="s">
        <v>251</v>
      </c>
      <c r="E30" s="218">
        <v>25.0</v>
      </c>
      <c r="F30" s="219">
        <v>80.0</v>
      </c>
      <c r="G30" s="220">
        <f>ROUND(E30*F30,2)</f>
        <v>2000</v>
      </c>
      <c r="H30" s="211"/>
      <c r="I30" s="212">
        <f>ROUND(E30*H30,2)</f>
        <v>0</v>
      </c>
      <c r="J30" s="211"/>
      <c r="K30" s="212">
        <f>ROUND(E30*J30,2)</f>
        <v>0</v>
      </c>
      <c r="L30" s="212">
        <v>21.0</v>
      </c>
      <c r="M30" s="212">
        <f>G30*(1+L30/100)</f>
        <v>2420</v>
      </c>
      <c r="N30" s="212">
        <v>0.26486</v>
      </c>
      <c r="O30" s="212">
        <f>ROUND(E30*N30,2)</f>
        <v>6.62</v>
      </c>
      <c r="P30" s="212">
        <v>0.0</v>
      </c>
      <c r="Q30" s="212">
        <f>ROUND(E30*P30,2)</f>
        <v>0</v>
      </c>
      <c r="R30" s="212"/>
      <c r="S30" s="212" t="s">
        <v>184</v>
      </c>
      <c r="T30" s="212" t="s">
        <v>184</v>
      </c>
      <c r="U30" s="212">
        <v>0.111</v>
      </c>
      <c r="V30" s="212">
        <f>ROUND(E30*U30,2)</f>
        <v>2.78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408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</row>
    <row r="31" ht="12.75" customHeight="1" outlineLevel="1">
      <c r="A31" s="235"/>
      <c r="B31" s="236"/>
      <c r="C31" s="237" t="s">
        <v>752</v>
      </c>
      <c r="D31" s="238"/>
      <c r="E31" s="239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3"/>
      <c r="Z31" s="213"/>
      <c r="AA31" s="213"/>
      <c r="AB31" s="213"/>
      <c r="AC31" s="213"/>
      <c r="AD31" s="213"/>
      <c r="AE31" s="213"/>
      <c r="AF31" s="213"/>
      <c r="AG31" s="213" t="s">
        <v>228</v>
      </c>
      <c r="AH31" s="213">
        <v>0.0</v>
      </c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</row>
    <row r="32" ht="12.75" customHeight="1" outlineLevel="1">
      <c r="A32" s="235"/>
      <c r="B32" s="236"/>
      <c r="C32" s="237" t="s">
        <v>1487</v>
      </c>
      <c r="D32" s="238"/>
      <c r="E32" s="239">
        <v>25.0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3"/>
      <c r="Z32" s="213"/>
      <c r="AA32" s="213"/>
      <c r="AB32" s="213"/>
      <c r="AC32" s="213"/>
      <c r="AD32" s="213"/>
      <c r="AE32" s="213"/>
      <c r="AF32" s="213"/>
      <c r="AG32" s="213" t="s">
        <v>228</v>
      </c>
      <c r="AH32" s="213">
        <v>0.0</v>
      </c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</row>
    <row r="33" ht="12.75" customHeight="1" outlineLevel="1">
      <c r="A33" s="214">
        <v>10.0</v>
      </c>
      <c r="B33" s="215" t="s">
        <v>753</v>
      </c>
      <c r="C33" s="216" t="s">
        <v>754</v>
      </c>
      <c r="D33" s="217" t="s">
        <v>251</v>
      </c>
      <c r="E33" s="218">
        <v>27.5</v>
      </c>
      <c r="F33" s="219">
        <v>25.0</v>
      </c>
      <c r="G33" s="220">
        <f>ROUND(E33*F33,2)</f>
        <v>687.5</v>
      </c>
      <c r="H33" s="211"/>
      <c r="I33" s="212">
        <f>ROUND(E33*H33,2)</f>
        <v>0</v>
      </c>
      <c r="J33" s="211"/>
      <c r="K33" s="212">
        <f>ROUND(E33*J33,2)</f>
        <v>0</v>
      </c>
      <c r="L33" s="212">
        <v>21.0</v>
      </c>
      <c r="M33" s="212">
        <f>G33*(1+L33/100)</f>
        <v>831.875</v>
      </c>
      <c r="N33" s="212">
        <v>3.1E-4</v>
      </c>
      <c r="O33" s="212">
        <f>ROUND(E33*N33,2)</f>
        <v>0.01</v>
      </c>
      <c r="P33" s="212">
        <v>0.0</v>
      </c>
      <c r="Q33" s="212">
        <f>ROUND(E33*P33,2)</f>
        <v>0</v>
      </c>
      <c r="R33" s="212"/>
      <c r="S33" s="212" t="s">
        <v>184</v>
      </c>
      <c r="T33" s="212" t="s">
        <v>184</v>
      </c>
      <c r="U33" s="212">
        <v>0.026</v>
      </c>
      <c r="V33" s="212">
        <f>ROUND(E33*U33,2)</f>
        <v>0.72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408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  <c r="BB33" s="213"/>
    </row>
    <row r="34" ht="12.75" customHeight="1" outlineLevel="1">
      <c r="A34" s="235"/>
      <c r="B34" s="236"/>
      <c r="C34" s="237" t="s">
        <v>878</v>
      </c>
      <c r="D34" s="238"/>
      <c r="E34" s="239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3"/>
      <c r="Z34" s="213"/>
      <c r="AA34" s="213"/>
      <c r="AB34" s="213"/>
      <c r="AC34" s="213"/>
      <c r="AD34" s="213"/>
      <c r="AE34" s="213"/>
      <c r="AF34" s="213"/>
      <c r="AG34" s="213" t="s">
        <v>228</v>
      </c>
      <c r="AH34" s="213">
        <v>0.0</v>
      </c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</row>
    <row r="35" ht="12.75" customHeight="1" outlineLevel="1">
      <c r="A35" s="235"/>
      <c r="B35" s="236"/>
      <c r="C35" s="237" t="s">
        <v>1486</v>
      </c>
      <c r="D35" s="238"/>
      <c r="E35" s="239">
        <v>27.5</v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3"/>
      <c r="Z35" s="213"/>
      <c r="AA35" s="213"/>
      <c r="AB35" s="213"/>
      <c r="AC35" s="213"/>
      <c r="AD35" s="213"/>
      <c r="AE35" s="213"/>
      <c r="AF35" s="213"/>
      <c r="AG35" s="213" t="s">
        <v>228</v>
      </c>
      <c r="AH35" s="213">
        <v>0.0</v>
      </c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</row>
    <row r="36" ht="12.75" customHeight="1" outlineLevel="1">
      <c r="A36" s="214">
        <v>11.0</v>
      </c>
      <c r="B36" s="215" t="s">
        <v>759</v>
      </c>
      <c r="C36" s="216" t="s">
        <v>760</v>
      </c>
      <c r="D36" s="217" t="s">
        <v>251</v>
      </c>
      <c r="E36" s="218">
        <v>25.0</v>
      </c>
      <c r="F36" s="219">
        <v>95.9</v>
      </c>
      <c r="G36" s="220">
        <f>ROUND(E36*F36,2)</f>
        <v>2397.5</v>
      </c>
      <c r="H36" s="211"/>
      <c r="I36" s="212">
        <f>ROUND(E36*H36,2)</f>
        <v>0</v>
      </c>
      <c r="J36" s="211"/>
      <c r="K36" s="212">
        <f>ROUND(E36*J36,2)</f>
        <v>0</v>
      </c>
      <c r="L36" s="212">
        <v>21.0</v>
      </c>
      <c r="M36" s="212">
        <f>G36*(1+L36/100)</f>
        <v>2900.975</v>
      </c>
      <c r="N36" s="212">
        <v>0.0</v>
      </c>
      <c r="O36" s="212">
        <f>ROUND(E36*N36,2)</f>
        <v>0</v>
      </c>
      <c r="P36" s="212">
        <v>0.0</v>
      </c>
      <c r="Q36" s="212">
        <f>ROUND(E36*P36,2)</f>
        <v>0</v>
      </c>
      <c r="R36" s="212"/>
      <c r="S36" s="212" t="s">
        <v>184</v>
      </c>
      <c r="T36" s="212" t="s">
        <v>184</v>
      </c>
      <c r="U36" s="212">
        <v>0.276</v>
      </c>
      <c r="V36" s="212">
        <f>ROUND(E36*U36,2)</f>
        <v>6.9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408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</row>
    <row r="37" ht="12.75" customHeight="1">
      <c r="A37" s="175"/>
      <c r="B37" s="179"/>
      <c r="C37" s="221"/>
      <c r="D37" s="181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AE37" s="184">
        <v>15.0</v>
      </c>
      <c r="AF37" s="184">
        <v>21.0</v>
      </c>
      <c r="AG37" s="184" t="s">
        <v>160</v>
      </c>
    </row>
    <row r="38" ht="12.75" customHeight="1">
      <c r="A38" s="222"/>
      <c r="B38" s="223" t="s">
        <v>24</v>
      </c>
      <c r="C38" s="224"/>
      <c r="D38" s="225"/>
      <c r="E38" s="226"/>
      <c r="F38" s="226"/>
      <c r="G38" s="227">
        <f>G8+G11+G24</f>
        <v>83494.84</v>
      </c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AE38" s="184">
        <f>SUMIF(L7:L36,AE37,G7:G36)</f>
        <v>0</v>
      </c>
      <c r="AF38" s="184">
        <f>SUMIF(L7:L36,AF37,G7:G36)</f>
        <v>83494.84</v>
      </c>
      <c r="AG38" s="184" t="s">
        <v>218</v>
      </c>
    </row>
    <row r="39" ht="12.75" customHeight="1">
      <c r="A39" s="175"/>
      <c r="B39" s="179"/>
      <c r="C39" s="221"/>
      <c r="D39" s="181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</row>
    <row r="40" ht="12.75" customHeight="1">
      <c r="A40" s="175"/>
      <c r="B40" s="179"/>
      <c r="C40" s="221"/>
      <c r="D40" s="181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</row>
    <row r="41" ht="12.75" customHeight="1">
      <c r="A41" s="175" t="s">
        <v>219</v>
      </c>
      <c r="D41" s="181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</row>
    <row r="42" ht="12.75" customHeight="1">
      <c r="A42" s="228"/>
      <c r="B42" s="27"/>
      <c r="C42" s="27"/>
      <c r="D42" s="27"/>
      <c r="E42" s="27"/>
      <c r="F42" s="27"/>
      <c r="G42" s="229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AG42" s="184" t="s">
        <v>220</v>
      </c>
    </row>
    <row r="43" ht="12.75" customHeight="1">
      <c r="A43" s="230"/>
      <c r="G43" s="231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</row>
    <row r="44" ht="12.75" customHeight="1">
      <c r="A44" s="230"/>
      <c r="G44" s="231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</row>
    <row r="45" ht="12.75" customHeight="1">
      <c r="A45" s="230"/>
      <c r="G45" s="231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</row>
    <row r="46" ht="12.75" customHeight="1">
      <c r="A46" s="232"/>
      <c r="B46" s="38"/>
      <c r="C46" s="38"/>
      <c r="D46" s="38"/>
      <c r="E46" s="38"/>
      <c r="F46" s="38"/>
      <c r="G46" s="233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 ht="12.75" customHeight="1">
      <c r="A47" s="175"/>
      <c r="B47" s="179"/>
      <c r="C47" s="221"/>
      <c r="D47" s="181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 ht="12.75" customHeight="1">
      <c r="B48" s="185"/>
      <c r="C48" s="234"/>
      <c r="D48" s="126"/>
      <c r="AG48" s="184" t="s">
        <v>221</v>
      </c>
    </row>
    <row r="49" ht="12.75" customHeight="1">
      <c r="B49" s="185"/>
      <c r="C49" s="185"/>
      <c r="D49" s="126"/>
    </row>
    <row r="50" ht="12.75" customHeight="1">
      <c r="B50" s="185"/>
      <c r="C50" s="185"/>
      <c r="D50" s="126"/>
    </row>
    <row r="51" ht="12.75" customHeight="1">
      <c r="B51" s="185"/>
      <c r="C51" s="185"/>
      <c r="D51" s="126"/>
    </row>
    <row r="52" ht="12.75" customHeight="1">
      <c r="B52" s="185"/>
      <c r="C52" s="185"/>
      <c r="D52" s="126"/>
    </row>
    <row r="53" ht="12.75" customHeight="1">
      <c r="B53" s="185"/>
      <c r="C53" s="185"/>
      <c r="D53" s="126"/>
    </row>
    <row r="54" ht="12.75" customHeight="1">
      <c r="B54" s="185"/>
      <c r="C54" s="185"/>
      <c r="D54" s="126"/>
    </row>
    <row r="55" ht="12.75" customHeight="1">
      <c r="B55" s="185"/>
      <c r="C55" s="185"/>
      <c r="D55" s="126"/>
    </row>
    <row r="56" ht="12.75" customHeight="1">
      <c r="B56" s="185"/>
      <c r="C56" s="185"/>
      <c r="D56" s="126"/>
    </row>
    <row r="57" ht="12.75" customHeight="1">
      <c r="B57" s="185"/>
      <c r="C57" s="185"/>
      <c r="D57" s="126"/>
    </row>
    <row r="58" ht="12.75" customHeight="1">
      <c r="B58" s="185"/>
      <c r="C58" s="185"/>
      <c r="D58" s="126"/>
    </row>
    <row r="59" ht="12.75" customHeight="1">
      <c r="B59" s="185"/>
      <c r="C59" s="185"/>
      <c r="D59" s="126"/>
    </row>
    <row r="60" ht="12.75" customHeight="1">
      <c r="B60" s="185"/>
      <c r="C60" s="185"/>
      <c r="D60" s="126"/>
    </row>
    <row r="61" ht="12.75" customHeight="1">
      <c r="B61" s="185"/>
      <c r="C61" s="185"/>
      <c r="D61" s="126"/>
    </row>
    <row r="62" ht="12.75" customHeight="1">
      <c r="B62" s="185"/>
      <c r="C62" s="185"/>
      <c r="D62" s="126"/>
    </row>
    <row r="63" ht="12.75" customHeight="1">
      <c r="B63" s="185"/>
      <c r="C63" s="185"/>
      <c r="D63" s="126"/>
    </row>
    <row r="64" ht="12.75" customHeight="1">
      <c r="B64" s="185"/>
      <c r="C64" s="185"/>
      <c r="D64" s="126"/>
    </row>
    <row r="65" ht="12.75" customHeight="1">
      <c r="B65" s="185"/>
      <c r="C65" s="185"/>
      <c r="D65" s="126"/>
    </row>
    <row r="66" ht="12.75" customHeight="1">
      <c r="B66" s="185"/>
      <c r="C66" s="185"/>
      <c r="D66" s="126"/>
    </row>
    <row r="67" ht="12.75" customHeight="1">
      <c r="B67" s="185"/>
      <c r="C67" s="185"/>
      <c r="D67" s="126"/>
    </row>
    <row r="68" ht="12.75" customHeight="1">
      <c r="B68" s="185"/>
      <c r="C68" s="185"/>
      <c r="D68" s="126"/>
    </row>
    <row r="69" ht="12.75" customHeight="1">
      <c r="B69" s="185"/>
      <c r="C69" s="185"/>
      <c r="D69" s="126"/>
    </row>
    <row r="70" ht="12.75" customHeight="1">
      <c r="B70" s="185"/>
      <c r="C70" s="185"/>
      <c r="D70" s="126"/>
    </row>
    <row r="71" ht="12.75" customHeight="1">
      <c r="B71" s="185"/>
      <c r="C71" s="185"/>
      <c r="D71" s="126"/>
    </row>
    <row r="72" ht="12.75" customHeight="1">
      <c r="B72" s="185"/>
      <c r="C72" s="185"/>
      <c r="D72" s="126"/>
    </row>
    <row r="73" ht="12.75" customHeight="1">
      <c r="B73" s="185"/>
      <c r="C73" s="185"/>
      <c r="D73" s="126"/>
    </row>
    <row r="74" ht="12.75" customHeight="1">
      <c r="B74" s="185"/>
      <c r="C74" s="185"/>
      <c r="D74" s="126"/>
    </row>
    <row r="75" ht="12.75" customHeight="1">
      <c r="B75" s="185"/>
      <c r="C75" s="185"/>
      <c r="D75" s="126"/>
    </row>
    <row r="76" ht="12.75" customHeight="1">
      <c r="B76" s="185"/>
      <c r="C76" s="185"/>
      <c r="D76" s="126"/>
    </row>
    <row r="77" ht="12.75" customHeight="1">
      <c r="B77" s="185"/>
      <c r="C77" s="185"/>
      <c r="D77" s="126"/>
    </row>
    <row r="78" ht="12.75" customHeight="1">
      <c r="B78" s="185"/>
      <c r="C78" s="185"/>
      <c r="D78" s="126"/>
    </row>
    <row r="79" ht="12.75" customHeight="1">
      <c r="B79" s="185"/>
      <c r="C79" s="185"/>
      <c r="D79" s="126"/>
    </row>
    <row r="80" ht="12.75" customHeight="1">
      <c r="B80" s="185"/>
      <c r="C80" s="185"/>
      <c r="D80" s="126"/>
    </row>
    <row r="81" ht="12.75" customHeight="1">
      <c r="B81" s="185"/>
      <c r="C81" s="185"/>
      <c r="D81" s="126"/>
    </row>
    <row r="82" ht="12.75" customHeight="1">
      <c r="B82" s="185"/>
      <c r="C82" s="185"/>
      <c r="D82" s="126"/>
    </row>
    <row r="83" ht="12.75" customHeight="1">
      <c r="B83" s="185"/>
      <c r="C83" s="185"/>
      <c r="D83" s="126"/>
    </row>
    <row r="84" ht="12.75" customHeight="1">
      <c r="B84" s="185"/>
      <c r="C84" s="185"/>
      <c r="D84" s="126"/>
    </row>
    <row r="85" ht="12.75" customHeight="1">
      <c r="B85" s="185"/>
      <c r="C85" s="185"/>
      <c r="D85" s="126"/>
    </row>
    <row r="86" ht="12.75" customHeight="1">
      <c r="B86" s="185"/>
      <c r="C86" s="185"/>
      <c r="D86" s="126"/>
    </row>
    <row r="87" ht="12.75" customHeight="1">
      <c r="B87" s="185"/>
      <c r="C87" s="185"/>
      <c r="D87" s="126"/>
    </row>
    <row r="88" ht="12.75" customHeight="1">
      <c r="B88" s="185"/>
      <c r="C88" s="185"/>
      <c r="D88" s="126"/>
    </row>
    <row r="89" ht="12.75" customHeight="1">
      <c r="B89" s="185"/>
      <c r="C89" s="185"/>
      <c r="D89" s="126"/>
    </row>
    <row r="90" ht="12.75" customHeight="1">
      <c r="B90" s="185"/>
      <c r="C90" s="185"/>
      <c r="D90" s="126"/>
    </row>
    <row r="91" ht="12.75" customHeight="1">
      <c r="B91" s="185"/>
      <c r="C91" s="185"/>
      <c r="D91" s="126"/>
    </row>
    <row r="92" ht="12.75" customHeight="1">
      <c r="B92" s="185"/>
      <c r="C92" s="185"/>
      <c r="D92" s="126"/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</row>
    <row r="250" ht="12.75" customHeight="1">
      <c r="B250" s="185"/>
      <c r="C250" s="185"/>
    </row>
    <row r="251" ht="12.75" customHeight="1">
      <c r="B251" s="185"/>
      <c r="C251" s="185"/>
    </row>
    <row r="252" ht="12.75" customHeight="1">
      <c r="B252" s="185"/>
      <c r="C252" s="185"/>
    </row>
    <row r="253" ht="12.75" customHeight="1">
      <c r="B253" s="185"/>
      <c r="C253" s="185"/>
    </row>
    <row r="254" ht="12.75" customHeight="1">
      <c r="B254" s="185"/>
      <c r="C254" s="185"/>
    </row>
    <row r="255" ht="12.75" customHeight="1">
      <c r="B255" s="185"/>
      <c r="C255" s="185"/>
    </row>
    <row r="256" ht="12.75" customHeight="1">
      <c r="B256" s="185"/>
      <c r="C256" s="185"/>
    </row>
    <row r="257" ht="12.75" customHeight="1">
      <c r="B257" s="185"/>
      <c r="C257" s="185"/>
    </row>
    <row r="258" ht="12.75" customHeight="1">
      <c r="B258" s="185"/>
      <c r="C258" s="185"/>
    </row>
    <row r="259" ht="12.75" customHeight="1">
      <c r="B259" s="185"/>
      <c r="C259" s="185"/>
    </row>
    <row r="260" ht="12.75" customHeight="1">
      <c r="B260" s="185"/>
      <c r="C260" s="185"/>
    </row>
    <row r="261" ht="12.75" customHeight="1">
      <c r="B261" s="185"/>
      <c r="C261" s="185"/>
    </row>
    <row r="262" ht="12.75" customHeight="1">
      <c r="B262" s="185"/>
      <c r="C262" s="185"/>
    </row>
    <row r="263" ht="12.75" customHeight="1">
      <c r="B263" s="185"/>
      <c r="C263" s="185"/>
    </row>
    <row r="264" ht="12.75" customHeight="1">
      <c r="B264" s="185"/>
      <c r="C264" s="185"/>
    </row>
    <row r="265" ht="12.75" customHeight="1">
      <c r="B265" s="185"/>
      <c r="C265" s="185"/>
    </row>
    <row r="266" ht="12.75" customHeight="1">
      <c r="B266" s="185"/>
      <c r="C266" s="185"/>
    </row>
    <row r="267" ht="12.75" customHeight="1">
      <c r="B267" s="185"/>
      <c r="C267" s="185"/>
    </row>
    <row r="268" ht="12.75" customHeight="1">
      <c r="B268" s="185"/>
      <c r="C268" s="185"/>
    </row>
    <row r="269" ht="12.75" customHeight="1">
      <c r="B269" s="185"/>
      <c r="C269" s="185"/>
    </row>
    <row r="270" ht="12.75" customHeight="1">
      <c r="B270" s="185"/>
      <c r="C270" s="185"/>
    </row>
    <row r="271" ht="12.75" customHeight="1">
      <c r="B271" s="185"/>
      <c r="C271" s="185"/>
    </row>
    <row r="272" ht="12.75" customHeight="1">
      <c r="B272" s="185"/>
      <c r="C272" s="185"/>
    </row>
    <row r="273" ht="12.75" customHeight="1">
      <c r="B273" s="185"/>
      <c r="C273" s="185"/>
    </row>
    <row r="274" ht="12.75" customHeight="1">
      <c r="B274" s="185"/>
      <c r="C274" s="185"/>
    </row>
    <row r="275" ht="12.75" customHeight="1">
      <c r="B275" s="185"/>
      <c r="C275" s="185"/>
    </row>
    <row r="276" ht="12.75" customHeight="1">
      <c r="B276" s="185"/>
      <c r="C276" s="185"/>
    </row>
    <row r="277" ht="12.75" customHeight="1">
      <c r="B277" s="185"/>
      <c r="C277" s="185"/>
    </row>
    <row r="278" ht="12.75" customHeight="1">
      <c r="B278" s="185"/>
      <c r="C278" s="185"/>
    </row>
    <row r="279" ht="12.75" customHeight="1">
      <c r="B279" s="185"/>
      <c r="C279" s="185"/>
    </row>
    <row r="280" ht="12.75" customHeight="1">
      <c r="B280" s="185"/>
      <c r="C280" s="185"/>
    </row>
    <row r="281" ht="12.75" customHeight="1">
      <c r="B281" s="185"/>
      <c r="C281" s="185"/>
    </row>
    <row r="282" ht="12.75" customHeight="1">
      <c r="B282" s="185"/>
      <c r="C282" s="185"/>
    </row>
    <row r="283" ht="12.75" customHeight="1">
      <c r="B283" s="185"/>
      <c r="C283" s="185"/>
    </row>
    <row r="284" ht="12.75" customHeight="1">
      <c r="B284" s="185"/>
      <c r="C284" s="185"/>
    </row>
    <row r="285" ht="12.75" customHeight="1">
      <c r="B285" s="185"/>
      <c r="C285" s="185"/>
    </row>
    <row r="286" ht="12.75" customHeight="1">
      <c r="B286" s="185"/>
      <c r="C286" s="185"/>
    </row>
    <row r="287" ht="12.75" customHeight="1">
      <c r="B287" s="185"/>
      <c r="C287" s="185"/>
    </row>
    <row r="288" ht="12.75" customHeight="1">
      <c r="B288" s="185"/>
      <c r="C288" s="185"/>
    </row>
    <row r="289" ht="12.75" customHeight="1">
      <c r="B289" s="185"/>
      <c r="C289" s="185"/>
    </row>
    <row r="290" ht="12.75" customHeight="1">
      <c r="B290" s="185"/>
      <c r="C290" s="185"/>
    </row>
    <row r="291" ht="12.75" customHeight="1">
      <c r="B291" s="185"/>
      <c r="C291" s="185"/>
    </row>
    <row r="292" ht="12.75" customHeight="1">
      <c r="B292" s="185"/>
      <c r="C292" s="185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41:C41"/>
    <mergeCell ref="A42:G46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3.43"/>
    <col customWidth="1" min="2" max="2" width="12.57"/>
    <col customWidth="1" min="3" max="3" width="38.29"/>
    <col customWidth="1" min="4" max="4" width="4.86"/>
    <col customWidth="1" min="5" max="5" width="10.57"/>
    <col customWidth="1" min="6" max="6" width="9.86"/>
    <col customWidth="1" min="7" max="7" width="12.71"/>
    <col customWidth="1" hidden="1" min="8" max="24" width="8.71"/>
    <col customWidth="1" min="25" max="28" width="8.71"/>
    <col customWidth="1" hidden="1" min="29" max="29" width="8.71"/>
    <col customWidth="1" min="30" max="30" width="8.71"/>
    <col customWidth="1" hidden="1" min="31" max="41" width="8.71"/>
    <col customWidth="1" min="42" max="53" width="8.71"/>
  </cols>
  <sheetData>
    <row r="1" ht="15.75" customHeight="1">
      <c r="A1" s="183" t="s">
        <v>141</v>
      </c>
      <c r="AG1" s="184" t="s">
        <v>145</v>
      </c>
    </row>
    <row r="2" ht="24.75" customHeight="1">
      <c r="A2" s="176" t="s">
        <v>142</v>
      </c>
      <c r="B2" s="177" t="s">
        <v>3</v>
      </c>
      <c r="C2" s="177" t="s">
        <v>4</v>
      </c>
      <c r="D2" s="87"/>
      <c r="E2" s="87"/>
      <c r="F2" s="87"/>
      <c r="G2" s="74"/>
      <c r="AG2" s="184" t="s">
        <v>146</v>
      </c>
    </row>
    <row r="3" ht="24.75" customHeight="1">
      <c r="A3" s="176" t="s">
        <v>143</v>
      </c>
      <c r="B3" s="177" t="s">
        <v>89</v>
      </c>
      <c r="C3" s="177" t="s">
        <v>90</v>
      </c>
      <c r="D3" s="87"/>
      <c r="E3" s="87"/>
      <c r="F3" s="87"/>
      <c r="G3" s="74"/>
      <c r="AC3" s="185" t="s">
        <v>146</v>
      </c>
      <c r="AG3" s="184" t="s">
        <v>148</v>
      </c>
    </row>
    <row r="4" ht="24.75" customHeight="1">
      <c r="A4" s="186" t="s">
        <v>144</v>
      </c>
      <c r="B4" s="187" t="s">
        <v>89</v>
      </c>
      <c r="C4" s="188" t="s">
        <v>90</v>
      </c>
      <c r="D4" s="87"/>
      <c r="E4" s="87"/>
      <c r="F4" s="87"/>
      <c r="G4" s="74"/>
      <c r="AG4" s="184" t="s">
        <v>149</v>
      </c>
    </row>
    <row r="5" ht="12.75" customHeight="1">
      <c r="B5" s="185"/>
      <c r="C5" s="185"/>
      <c r="D5" s="126"/>
    </row>
    <row r="6" ht="12.75" customHeight="1">
      <c r="A6" s="189" t="s">
        <v>150</v>
      </c>
      <c r="B6" s="190" t="s">
        <v>151</v>
      </c>
      <c r="C6" s="190" t="s">
        <v>152</v>
      </c>
      <c r="D6" s="191" t="s">
        <v>153</v>
      </c>
      <c r="E6" s="189" t="s">
        <v>154</v>
      </c>
      <c r="F6" s="192" t="s">
        <v>155</v>
      </c>
      <c r="G6" s="189" t="s">
        <v>24</v>
      </c>
      <c r="H6" s="193" t="s">
        <v>156</v>
      </c>
      <c r="I6" s="193" t="s">
        <v>157</v>
      </c>
      <c r="J6" s="193" t="s">
        <v>158</v>
      </c>
      <c r="K6" s="193" t="s">
        <v>159</v>
      </c>
      <c r="L6" s="193" t="s">
        <v>160</v>
      </c>
      <c r="M6" s="193" t="s">
        <v>161</v>
      </c>
      <c r="N6" s="193" t="s">
        <v>162</v>
      </c>
      <c r="O6" s="193" t="s">
        <v>163</v>
      </c>
      <c r="P6" s="193" t="s">
        <v>164</v>
      </c>
      <c r="Q6" s="193" t="s">
        <v>165</v>
      </c>
      <c r="R6" s="193" t="s">
        <v>166</v>
      </c>
      <c r="S6" s="193" t="s">
        <v>167</v>
      </c>
      <c r="T6" s="193" t="s">
        <v>168</v>
      </c>
      <c r="U6" s="193" t="s">
        <v>169</v>
      </c>
      <c r="V6" s="193" t="s">
        <v>170</v>
      </c>
      <c r="W6" s="193" t="s">
        <v>171</v>
      </c>
      <c r="X6" s="193" t="s">
        <v>172</v>
      </c>
    </row>
    <row r="7" ht="12.75" hidden="1" customHeight="1">
      <c r="A7" s="175"/>
      <c r="B7" s="179"/>
      <c r="C7" s="179"/>
      <c r="D7" s="181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</row>
    <row r="8" ht="12.75" customHeight="1">
      <c r="A8" s="196" t="s">
        <v>173</v>
      </c>
      <c r="B8" s="197" t="s">
        <v>130</v>
      </c>
      <c r="C8" s="198" t="s">
        <v>131</v>
      </c>
      <c r="D8" s="199"/>
      <c r="E8" s="200"/>
      <c r="F8" s="201"/>
      <c r="G8" s="202">
        <f>SUMIF(AG9:AG23,"&lt;&gt;NOR",G9:G23)</f>
        <v>448662.6</v>
      </c>
      <c r="H8" s="203"/>
      <c r="I8" s="203">
        <f>SUM(I9:I23)</f>
        <v>0</v>
      </c>
      <c r="J8" s="203"/>
      <c r="K8" s="203">
        <f>SUM(K9:K23)</f>
        <v>0</v>
      </c>
      <c r="L8" s="203"/>
      <c r="M8" s="203">
        <f>SUM(M9:M23)</f>
        <v>542881.746</v>
      </c>
      <c r="N8" s="203"/>
      <c r="O8" s="203">
        <f>SUM(O9:O23)</f>
        <v>0</v>
      </c>
      <c r="P8" s="203"/>
      <c r="Q8" s="203">
        <f>SUM(Q9:Q23)</f>
        <v>0</v>
      </c>
      <c r="R8" s="203"/>
      <c r="S8" s="203"/>
      <c r="T8" s="203"/>
      <c r="U8" s="203"/>
      <c r="V8" s="203">
        <f>SUM(V9:V23)</f>
        <v>0</v>
      </c>
      <c r="W8" s="203"/>
      <c r="X8" s="203"/>
      <c r="AG8" s="184" t="s">
        <v>174</v>
      </c>
    </row>
    <row r="9" ht="12.75" customHeight="1" outlineLevel="1">
      <c r="A9" s="204">
        <v>1.0</v>
      </c>
      <c r="B9" s="205" t="s">
        <v>1488</v>
      </c>
      <c r="C9" s="206" t="s">
        <v>1489</v>
      </c>
      <c r="D9" s="207" t="s">
        <v>1490</v>
      </c>
      <c r="E9" s="208">
        <v>168.0</v>
      </c>
      <c r="F9" s="209">
        <v>214.0</v>
      </c>
      <c r="G9" s="210">
        <f t="shared" ref="G9:G23" si="1">ROUND(E9*F9,2)</f>
        <v>35952</v>
      </c>
      <c r="H9" s="211"/>
      <c r="I9" s="212">
        <f t="shared" ref="I9:I23" si="2">ROUND(E9*H9,2)</f>
        <v>0</v>
      </c>
      <c r="J9" s="211"/>
      <c r="K9" s="212">
        <f t="shared" ref="K9:K23" si="3">ROUND(E9*J9,2)</f>
        <v>0</v>
      </c>
      <c r="L9" s="212">
        <v>21.0</v>
      </c>
      <c r="M9" s="212">
        <f t="shared" ref="M9:M23" si="4">G9*(1+L9/100)</f>
        <v>43501.92</v>
      </c>
      <c r="N9" s="212">
        <v>0.0</v>
      </c>
      <c r="O9" s="212">
        <f t="shared" ref="O9:O23" si="5">ROUND(E9*N9,2)</f>
        <v>0</v>
      </c>
      <c r="P9" s="212">
        <v>0.0</v>
      </c>
      <c r="Q9" s="212">
        <f t="shared" ref="Q9:Q23" si="6">ROUND(E9*P9,2)</f>
        <v>0</v>
      </c>
      <c r="R9" s="212"/>
      <c r="S9" s="212" t="s">
        <v>178</v>
      </c>
      <c r="T9" s="212" t="s">
        <v>179</v>
      </c>
      <c r="U9" s="212">
        <v>0.0</v>
      </c>
      <c r="V9" s="212">
        <f t="shared" ref="V9:V23" si="7">ROUND(E9*U9,2)</f>
        <v>0</v>
      </c>
      <c r="W9" s="212"/>
      <c r="X9" s="212" t="s">
        <v>225</v>
      </c>
      <c r="Y9" s="213"/>
      <c r="Z9" s="213"/>
      <c r="AA9" s="213"/>
      <c r="AB9" s="213"/>
      <c r="AC9" s="213"/>
      <c r="AD9" s="213"/>
      <c r="AE9" s="213"/>
      <c r="AF9" s="213"/>
      <c r="AG9" s="213" t="s">
        <v>226</v>
      </c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</row>
    <row r="10" ht="12.75" customHeight="1" outlineLevel="1">
      <c r="A10" s="204">
        <v>2.0</v>
      </c>
      <c r="B10" s="205" t="s">
        <v>1491</v>
      </c>
      <c r="C10" s="206" t="s">
        <v>1492</v>
      </c>
      <c r="D10" s="207" t="s">
        <v>1493</v>
      </c>
      <c r="E10" s="208">
        <v>168.0</v>
      </c>
      <c r="F10" s="209">
        <v>290.8</v>
      </c>
      <c r="G10" s="210">
        <f t="shared" si="1"/>
        <v>48854.4</v>
      </c>
      <c r="H10" s="211"/>
      <c r="I10" s="212">
        <f t="shared" si="2"/>
        <v>0</v>
      </c>
      <c r="J10" s="211"/>
      <c r="K10" s="212">
        <f t="shared" si="3"/>
        <v>0</v>
      </c>
      <c r="L10" s="212">
        <v>21.0</v>
      </c>
      <c r="M10" s="212">
        <f t="shared" si="4"/>
        <v>59113.824</v>
      </c>
      <c r="N10" s="212">
        <v>0.0</v>
      </c>
      <c r="O10" s="212">
        <f t="shared" si="5"/>
        <v>0</v>
      </c>
      <c r="P10" s="212">
        <v>0.0</v>
      </c>
      <c r="Q10" s="212">
        <f t="shared" si="6"/>
        <v>0</v>
      </c>
      <c r="R10" s="212"/>
      <c r="S10" s="212" t="s">
        <v>178</v>
      </c>
      <c r="T10" s="212" t="s">
        <v>179</v>
      </c>
      <c r="U10" s="212">
        <v>0.0</v>
      </c>
      <c r="V10" s="212">
        <f t="shared" si="7"/>
        <v>0</v>
      </c>
      <c r="W10" s="212"/>
      <c r="X10" s="212" t="s">
        <v>225</v>
      </c>
      <c r="Y10" s="213"/>
      <c r="Z10" s="213"/>
      <c r="AA10" s="213"/>
      <c r="AB10" s="213"/>
      <c r="AC10" s="213"/>
      <c r="AD10" s="213"/>
      <c r="AE10" s="213"/>
      <c r="AF10" s="213"/>
      <c r="AG10" s="213" t="s">
        <v>226</v>
      </c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</row>
    <row r="11" ht="12.75" customHeight="1" outlineLevel="1">
      <c r="A11" s="204">
        <v>3.0</v>
      </c>
      <c r="B11" s="205" t="s">
        <v>1494</v>
      </c>
      <c r="C11" s="206" t="s">
        <v>1495</v>
      </c>
      <c r="D11" s="207" t="s">
        <v>1493</v>
      </c>
      <c r="E11" s="208">
        <v>336.0</v>
      </c>
      <c r="F11" s="209">
        <v>329.2</v>
      </c>
      <c r="G11" s="210">
        <f t="shared" si="1"/>
        <v>110611.2</v>
      </c>
      <c r="H11" s="211"/>
      <c r="I11" s="212">
        <f t="shared" si="2"/>
        <v>0</v>
      </c>
      <c r="J11" s="211"/>
      <c r="K11" s="212">
        <f t="shared" si="3"/>
        <v>0</v>
      </c>
      <c r="L11" s="212">
        <v>21.0</v>
      </c>
      <c r="M11" s="212">
        <f t="shared" si="4"/>
        <v>133839.552</v>
      </c>
      <c r="N11" s="212">
        <v>0.0</v>
      </c>
      <c r="O11" s="212">
        <f t="shared" si="5"/>
        <v>0</v>
      </c>
      <c r="P11" s="212">
        <v>0.0</v>
      </c>
      <c r="Q11" s="212">
        <f t="shared" si="6"/>
        <v>0</v>
      </c>
      <c r="R11" s="212"/>
      <c r="S11" s="212" t="s">
        <v>178</v>
      </c>
      <c r="T11" s="212" t="s">
        <v>179</v>
      </c>
      <c r="U11" s="212">
        <v>0.0</v>
      </c>
      <c r="V11" s="212">
        <f t="shared" si="7"/>
        <v>0</v>
      </c>
      <c r="W11" s="212"/>
      <c r="X11" s="212" t="s">
        <v>225</v>
      </c>
      <c r="Y11" s="213"/>
      <c r="Z11" s="213"/>
      <c r="AA11" s="213"/>
      <c r="AB11" s="213"/>
      <c r="AC11" s="213"/>
      <c r="AD11" s="213"/>
      <c r="AE11" s="213"/>
      <c r="AF11" s="213"/>
      <c r="AG11" s="213" t="s">
        <v>226</v>
      </c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</row>
    <row r="12" ht="12.75" customHeight="1" outlineLevel="1">
      <c r="A12" s="204">
        <v>4.0</v>
      </c>
      <c r="B12" s="205" t="s">
        <v>1496</v>
      </c>
      <c r="C12" s="206" t="s">
        <v>1497</v>
      </c>
      <c r="D12" s="207" t="s">
        <v>251</v>
      </c>
      <c r="E12" s="208">
        <v>250.0</v>
      </c>
      <c r="F12" s="209">
        <v>38.4</v>
      </c>
      <c r="G12" s="210">
        <f t="shared" si="1"/>
        <v>9600</v>
      </c>
      <c r="H12" s="211"/>
      <c r="I12" s="212">
        <f t="shared" si="2"/>
        <v>0</v>
      </c>
      <c r="J12" s="211"/>
      <c r="K12" s="212">
        <f t="shared" si="3"/>
        <v>0</v>
      </c>
      <c r="L12" s="212">
        <v>21.0</v>
      </c>
      <c r="M12" s="212">
        <f t="shared" si="4"/>
        <v>11616</v>
      </c>
      <c r="N12" s="212">
        <v>0.0</v>
      </c>
      <c r="O12" s="212">
        <f t="shared" si="5"/>
        <v>0</v>
      </c>
      <c r="P12" s="212">
        <v>0.0</v>
      </c>
      <c r="Q12" s="212">
        <f t="shared" si="6"/>
        <v>0</v>
      </c>
      <c r="R12" s="212"/>
      <c r="S12" s="212" t="s">
        <v>178</v>
      </c>
      <c r="T12" s="212" t="s">
        <v>179</v>
      </c>
      <c r="U12" s="212">
        <v>0.0</v>
      </c>
      <c r="V12" s="212">
        <f t="shared" si="7"/>
        <v>0</v>
      </c>
      <c r="W12" s="212"/>
      <c r="X12" s="212" t="s">
        <v>225</v>
      </c>
      <c r="Y12" s="213"/>
      <c r="Z12" s="213"/>
      <c r="AA12" s="213"/>
      <c r="AB12" s="213"/>
      <c r="AC12" s="213"/>
      <c r="AD12" s="213"/>
      <c r="AE12" s="213"/>
      <c r="AF12" s="213"/>
      <c r="AG12" s="213" t="s">
        <v>226</v>
      </c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</row>
    <row r="13" ht="12.75" customHeight="1" outlineLevel="1">
      <c r="A13" s="204">
        <v>5.0</v>
      </c>
      <c r="B13" s="205" t="s">
        <v>1498</v>
      </c>
      <c r="C13" s="206" t="s">
        <v>1499</v>
      </c>
      <c r="D13" s="207" t="s">
        <v>251</v>
      </c>
      <c r="E13" s="208">
        <v>250.0</v>
      </c>
      <c r="F13" s="209">
        <v>170.1</v>
      </c>
      <c r="G13" s="210">
        <f t="shared" si="1"/>
        <v>42525</v>
      </c>
      <c r="H13" s="211"/>
      <c r="I13" s="212">
        <f t="shared" si="2"/>
        <v>0</v>
      </c>
      <c r="J13" s="211"/>
      <c r="K13" s="212">
        <f t="shared" si="3"/>
        <v>0</v>
      </c>
      <c r="L13" s="212">
        <v>21.0</v>
      </c>
      <c r="M13" s="212">
        <f t="shared" si="4"/>
        <v>51455.25</v>
      </c>
      <c r="N13" s="212">
        <v>0.0</v>
      </c>
      <c r="O13" s="212">
        <f t="shared" si="5"/>
        <v>0</v>
      </c>
      <c r="P13" s="212">
        <v>0.0</v>
      </c>
      <c r="Q13" s="212">
        <f t="shared" si="6"/>
        <v>0</v>
      </c>
      <c r="R13" s="212"/>
      <c r="S13" s="212" t="s">
        <v>178</v>
      </c>
      <c r="T13" s="212" t="s">
        <v>179</v>
      </c>
      <c r="U13" s="212">
        <v>0.0</v>
      </c>
      <c r="V13" s="212">
        <f t="shared" si="7"/>
        <v>0</v>
      </c>
      <c r="W13" s="212"/>
      <c r="X13" s="212" t="s">
        <v>225</v>
      </c>
      <c r="Y13" s="213"/>
      <c r="Z13" s="213"/>
      <c r="AA13" s="213"/>
      <c r="AB13" s="213"/>
      <c r="AC13" s="213"/>
      <c r="AD13" s="213"/>
      <c r="AE13" s="213"/>
      <c r="AF13" s="213"/>
      <c r="AG13" s="213" t="s">
        <v>226</v>
      </c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</row>
    <row r="14" ht="12.75" customHeight="1" outlineLevel="1">
      <c r="A14" s="204">
        <v>6.0</v>
      </c>
      <c r="B14" s="205" t="s">
        <v>1500</v>
      </c>
      <c r="C14" s="206" t="s">
        <v>1501</v>
      </c>
      <c r="D14" s="207" t="s">
        <v>1490</v>
      </c>
      <c r="E14" s="208">
        <v>1.0</v>
      </c>
      <c r="F14" s="209">
        <v>214.0</v>
      </c>
      <c r="G14" s="210">
        <f t="shared" si="1"/>
        <v>214</v>
      </c>
      <c r="H14" s="211"/>
      <c r="I14" s="212">
        <f t="shared" si="2"/>
        <v>0</v>
      </c>
      <c r="J14" s="211"/>
      <c r="K14" s="212">
        <f t="shared" si="3"/>
        <v>0</v>
      </c>
      <c r="L14" s="212">
        <v>21.0</v>
      </c>
      <c r="M14" s="212">
        <f t="shared" si="4"/>
        <v>258.94</v>
      </c>
      <c r="N14" s="212">
        <v>0.0</v>
      </c>
      <c r="O14" s="212">
        <f t="shared" si="5"/>
        <v>0</v>
      </c>
      <c r="P14" s="212">
        <v>0.0</v>
      </c>
      <c r="Q14" s="212">
        <f t="shared" si="6"/>
        <v>0</v>
      </c>
      <c r="R14" s="212"/>
      <c r="S14" s="212" t="s">
        <v>178</v>
      </c>
      <c r="T14" s="212" t="s">
        <v>179</v>
      </c>
      <c r="U14" s="212">
        <v>0.0</v>
      </c>
      <c r="V14" s="212">
        <f t="shared" si="7"/>
        <v>0</v>
      </c>
      <c r="W14" s="212"/>
      <c r="X14" s="212" t="s">
        <v>225</v>
      </c>
      <c r="Y14" s="213"/>
      <c r="Z14" s="213"/>
      <c r="AA14" s="213"/>
      <c r="AB14" s="213"/>
      <c r="AC14" s="213"/>
      <c r="AD14" s="213"/>
      <c r="AE14" s="213"/>
      <c r="AF14" s="213"/>
      <c r="AG14" s="213" t="s">
        <v>226</v>
      </c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</row>
    <row r="15" ht="12.75" customHeight="1" outlineLevel="1">
      <c r="A15" s="204">
        <v>7.0</v>
      </c>
      <c r="B15" s="205" t="s">
        <v>1502</v>
      </c>
      <c r="C15" s="206" t="s">
        <v>1503</v>
      </c>
      <c r="D15" s="207" t="s">
        <v>1490</v>
      </c>
      <c r="E15" s="208">
        <v>1.0</v>
      </c>
      <c r="F15" s="209">
        <v>1810.4</v>
      </c>
      <c r="G15" s="210">
        <f t="shared" si="1"/>
        <v>1810.4</v>
      </c>
      <c r="H15" s="211"/>
      <c r="I15" s="212">
        <f t="shared" si="2"/>
        <v>0</v>
      </c>
      <c r="J15" s="211"/>
      <c r="K15" s="212">
        <f t="shared" si="3"/>
        <v>0</v>
      </c>
      <c r="L15" s="212">
        <v>21.0</v>
      </c>
      <c r="M15" s="212">
        <f t="shared" si="4"/>
        <v>2190.584</v>
      </c>
      <c r="N15" s="212">
        <v>0.0</v>
      </c>
      <c r="O15" s="212">
        <f t="shared" si="5"/>
        <v>0</v>
      </c>
      <c r="P15" s="212">
        <v>0.0</v>
      </c>
      <c r="Q15" s="212">
        <f t="shared" si="6"/>
        <v>0</v>
      </c>
      <c r="R15" s="212"/>
      <c r="S15" s="212" t="s">
        <v>178</v>
      </c>
      <c r="T15" s="212" t="s">
        <v>179</v>
      </c>
      <c r="U15" s="212">
        <v>0.0</v>
      </c>
      <c r="V15" s="212">
        <f t="shared" si="7"/>
        <v>0</v>
      </c>
      <c r="W15" s="212"/>
      <c r="X15" s="212" t="s">
        <v>225</v>
      </c>
      <c r="Y15" s="213"/>
      <c r="Z15" s="213"/>
      <c r="AA15" s="213"/>
      <c r="AB15" s="213"/>
      <c r="AC15" s="213"/>
      <c r="AD15" s="213"/>
      <c r="AE15" s="213"/>
      <c r="AF15" s="213"/>
      <c r="AG15" s="213" t="s">
        <v>226</v>
      </c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</row>
    <row r="16" ht="12.75" customHeight="1" outlineLevel="1">
      <c r="A16" s="204">
        <v>8.0</v>
      </c>
      <c r="B16" s="205" t="s">
        <v>1504</v>
      </c>
      <c r="C16" s="206" t="s">
        <v>1505</v>
      </c>
      <c r="D16" s="207" t="s">
        <v>1493</v>
      </c>
      <c r="E16" s="208">
        <v>336.0</v>
      </c>
      <c r="F16" s="209">
        <v>214.0</v>
      </c>
      <c r="G16" s="210">
        <f t="shared" si="1"/>
        <v>71904</v>
      </c>
      <c r="H16" s="211"/>
      <c r="I16" s="212">
        <f t="shared" si="2"/>
        <v>0</v>
      </c>
      <c r="J16" s="211"/>
      <c r="K16" s="212">
        <f t="shared" si="3"/>
        <v>0</v>
      </c>
      <c r="L16" s="212">
        <v>21.0</v>
      </c>
      <c r="M16" s="212">
        <f t="shared" si="4"/>
        <v>87003.84</v>
      </c>
      <c r="N16" s="212">
        <v>0.0</v>
      </c>
      <c r="O16" s="212">
        <f t="shared" si="5"/>
        <v>0</v>
      </c>
      <c r="P16" s="212">
        <v>0.0</v>
      </c>
      <c r="Q16" s="212">
        <f t="shared" si="6"/>
        <v>0</v>
      </c>
      <c r="R16" s="212"/>
      <c r="S16" s="212" t="s">
        <v>178</v>
      </c>
      <c r="T16" s="212" t="s">
        <v>179</v>
      </c>
      <c r="U16" s="212">
        <v>0.0</v>
      </c>
      <c r="V16" s="212">
        <f t="shared" si="7"/>
        <v>0</v>
      </c>
      <c r="W16" s="212"/>
      <c r="X16" s="212" t="s">
        <v>225</v>
      </c>
      <c r="Y16" s="213"/>
      <c r="Z16" s="213"/>
      <c r="AA16" s="213"/>
      <c r="AB16" s="213"/>
      <c r="AC16" s="213"/>
      <c r="AD16" s="213"/>
      <c r="AE16" s="213"/>
      <c r="AF16" s="213"/>
      <c r="AG16" s="213" t="s">
        <v>226</v>
      </c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</row>
    <row r="17" ht="12.75" customHeight="1" outlineLevel="1">
      <c r="A17" s="204">
        <v>9.0</v>
      </c>
      <c r="B17" s="205" t="s">
        <v>1506</v>
      </c>
      <c r="C17" s="206" t="s">
        <v>1507</v>
      </c>
      <c r="D17" s="207" t="s">
        <v>251</v>
      </c>
      <c r="E17" s="208">
        <v>840.0</v>
      </c>
      <c r="F17" s="209">
        <v>28.5</v>
      </c>
      <c r="G17" s="210">
        <f t="shared" si="1"/>
        <v>23940</v>
      </c>
      <c r="H17" s="211"/>
      <c r="I17" s="212">
        <f t="shared" si="2"/>
        <v>0</v>
      </c>
      <c r="J17" s="211"/>
      <c r="K17" s="212">
        <f t="shared" si="3"/>
        <v>0</v>
      </c>
      <c r="L17" s="212">
        <v>21.0</v>
      </c>
      <c r="M17" s="212">
        <f t="shared" si="4"/>
        <v>28967.4</v>
      </c>
      <c r="N17" s="212">
        <v>0.0</v>
      </c>
      <c r="O17" s="212">
        <f t="shared" si="5"/>
        <v>0</v>
      </c>
      <c r="P17" s="212">
        <v>0.0</v>
      </c>
      <c r="Q17" s="212">
        <f t="shared" si="6"/>
        <v>0</v>
      </c>
      <c r="R17" s="212"/>
      <c r="S17" s="212" t="s">
        <v>178</v>
      </c>
      <c r="T17" s="212" t="s">
        <v>179</v>
      </c>
      <c r="U17" s="212">
        <v>0.0</v>
      </c>
      <c r="V17" s="212">
        <f t="shared" si="7"/>
        <v>0</v>
      </c>
      <c r="W17" s="212"/>
      <c r="X17" s="212" t="s">
        <v>225</v>
      </c>
      <c r="Y17" s="213"/>
      <c r="Z17" s="213"/>
      <c r="AA17" s="213"/>
      <c r="AB17" s="213"/>
      <c r="AC17" s="213"/>
      <c r="AD17" s="213"/>
      <c r="AE17" s="213"/>
      <c r="AF17" s="213"/>
      <c r="AG17" s="213" t="s">
        <v>226</v>
      </c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</row>
    <row r="18" ht="12.75" customHeight="1" outlineLevel="1">
      <c r="A18" s="204">
        <v>10.0</v>
      </c>
      <c r="B18" s="205" t="s">
        <v>1508</v>
      </c>
      <c r="C18" s="206" t="s">
        <v>1509</v>
      </c>
      <c r="D18" s="207" t="s">
        <v>1490</v>
      </c>
      <c r="E18" s="208">
        <v>1.0</v>
      </c>
      <c r="F18" s="209">
        <v>1042.6</v>
      </c>
      <c r="G18" s="210">
        <f t="shared" si="1"/>
        <v>1042.6</v>
      </c>
      <c r="H18" s="211"/>
      <c r="I18" s="212">
        <f t="shared" si="2"/>
        <v>0</v>
      </c>
      <c r="J18" s="211"/>
      <c r="K18" s="212">
        <f t="shared" si="3"/>
        <v>0</v>
      </c>
      <c r="L18" s="212">
        <v>21.0</v>
      </c>
      <c r="M18" s="212">
        <f t="shared" si="4"/>
        <v>1261.546</v>
      </c>
      <c r="N18" s="212">
        <v>0.0</v>
      </c>
      <c r="O18" s="212">
        <f t="shared" si="5"/>
        <v>0</v>
      </c>
      <c r="P18" s="212">
        <v>0.0</v>
      </c>
      <c r="Q18" s="212">
        <f t="shared" si="6"/>
        <v>0</v>
      </c>
      <c r="R18" s="212"/>
      <c r="S18" s="212" t="s">
        <v>178</v>
      </c>
      <c r="T18" s="212" t="s">
        <v>179</v>
      </c>
      <c r="U18" s="212">
        <v>0.0</v>
      </c>
      <c r="V18" s="212">
        <f t="shared" si="7"/>
        <v>0</v>
      </c>
      <c r="W18" s="212"/>
      <c r="X18" s="212" t="s">
        <v>225</v>
      </c>
      <c r="Y18" s="213"/>
      <c r="Z18" s="213"/>
      <c r="AA18" s="213"/>
      <c r="AB18" s="213"/>
      <c r="AC18" s="213"/>
      <c r="AD18" s="213"/>
      <c r="AE18" s="213"/>
      <c r="AF18" s="213"/>
      <c r="AG18" s="213" t="s">
        <v>226</v>
      </c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</row>
    <row r="19" ht="12.75" customHeight="1" outlineLevel="1">
      <c r="A19" s="204">
        <v>11.0</v>
      </c>
      <c r="B19" s="205" t="s">
        <v>1510</v>
      </c>
      <c r="C19" s="206" t="s">
        <v>1511</v>
      </c>
      <c r="D19" s="207" t="s">
        <v>1490</v>
      </c>
      <c r="E19" s="208">
        <v>2.0</v>
      </c>
      <c r="F19" s="209">
        <v>1371.5</v>
      </c>
      <c r="G19" s="210">
        <f t="shared" si="1"/>
        <v>2743</v>
      </c>
      <c r="H19" s="211"/>
      <c r="I19" s="212">
        <f t="shared" si="2"/>
        <v>0</v>
      </c>
      <c r="J19" s="211"/>
      <c r="K19" s="212">
        <f t="shared" si="3"/>
        <v>0</v>
      </c>
      <c r="L19" s="212">
        <v>21.0</v>
      </c>
      <c r="M19" s="212">
        <f t="shared" si="4"/>
        <v>3319.03</v>
      </c>
      <c r="N19" s="212">
        <v>0.0</v>
      </c>
      <c r="O19" s="212">
        <f t="shared" si="5"/>
        <v>0</v>
      </c>
      <c r="P19" s="212">
        <v>0.0</v>
      </c>
      <c r="Q19" s="212">
        <f t="shared" si="6"/>
        <v>0</v>
      </c>
      <c r="R19" s="212"/>
      <c r="S19" s="212" t="s">
        <v>178</v>
      </c>
      <c r="T19" s="212" t="s">
        <v>179</v>
      </c>
      <c r="U19" s="212">
        <v>0.0</v>
      </c>
      <c r="V19" s="212">
        <f t="shared" si="7"/>
        <v>0</v>
      </c>
      <c r="W19" s="212"/>
      <c r="X19" s="212" t="s">
        <v>225</v>
      </c>
      <c r="Y19" s="213"/>
      <c r="Z19" s="213"/>
      <c r="AA19" s="213"/>
      <c r="AB19" s="213"/>
      <c r="AC19" s="213"/>
      <c r="AD19" s="213"/>
      <c r="AE19" s="213"/>
      <c r="AF19" s="213"/>
      <c r="AG19" s="213" t="s">
        <v>226</v>
      </c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</row>
    <row r="20" ht="12.75" customHeight="1" outlineLevel="1">
      <c r="A20" s="204">
        <v>12.0</v>
      </c>
      <c r="B20" s="205" t="s">
        <v>1512</v>
      </c>
      <c r="C20" s="206" t="s">
        <v>1513</v>
      </c>
      <c r="D20" s="207" t="s">
        <v>1490</v>
      </c>
      <c r="E20" s="208">
        <v>336.0</v>
      </c>
      <c r="F20" s="209">
        <v>5.5</v>
      </c>
      <c r="G20" s="210">
        <f t="shared" si="1"/>
        <v>1848</v>
      </c>
      <c r="H20" s="211"/>
      <c r="I20" s="212">
        <f t="shared" si="2"/>
        <v>0</v>
      </c>
      <c r="J20" s="211"/>
      <c r="K20" s="212">
        <f t="shared" si="3"/>
        <v>0</v>
      </c>
      <c r="L20" s="212">
        <v>21.0</v>
      </c>
      <c r="M20" s="212">
        <f t="shared" si="4"/>
        <v>2236.08</v>
      </c>
      <c r="N20" s="212">
        <v>0.0</v>
      </c>
      <c r="O20" s="212">
        <f t="shared" si="5"/>
        <v>0</v>
      </c>
      <c r="P20" s="212">
        <v>0.0</v>
      </c>
      <c r="Q20" s="212">
        <f t="shared" si="6"/>
        <v>0</v>
      </c>
      <c r="R20" s="212"/>
      <c r="S20" s="212" t="s">
        <v>178</v>
      </c>
      <c r="T20" s="212" t="s">
        <v>179</v>
      </c>
      <c r="U20" s="212">
        <v>0.0</v>
      </c>
      <c r="V20" s="212">
        <f t="shared" si="7"/>
        <v>0</v>
      </c>
      <c r="W20" s="212"/>
      <c r="X20" s="212" t="s">
        <v>225</v>
      </c>
      <c r="Y20" s="213"/>
      <c r="Z20" s="213"/>
      <c r="AA20" s="213"/>
      <c r="AB20" s="213"/>
      <c r="AC20" s="213"/>
      <c r="AD20" s="213"/>
      <c r="AE20" s="213"/>
      <c r="AF20" s="213"/>
      <c r="AG20" s="213" t="s">
        <v>226</v>
      </c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</row>
    <row r="21" ht="12.75" customHeight="1" outlineLevel="1">
      <c r="A21" s="204">
        <v>13.0</v>
      </c>
      <c r="B21" s="205" t="s">
        <v>1514</v>
      </c>
      <c r="C21" s="206" t="s">
        <v>1515</v>
      </c>
      <c r="D21" s="207" t="s">
        <v>1493</v>
      </c>
      <c r="E21" s="208">
        <v>168.0</v>
      </c>
      <c r="F21" s="209">
        <v>576.0</v>
      </c>
      <c r="G21" s="210">
        <f t="shared" si="1"/>
        <v>96768</v>
      </c>
      <c r="H21" s="211"/>
      <c r="I21" s="212">
        <f t="shared" si="2"/>
        <v>0</v>
      </c>
      <c r="J21" s="211"/>
      <c r="K21" s="212">
        <f t="shared" si="3"/>
        <v>0</v>
      </c>
      <c r="L21" s="212">
        <v>21.0</v>
      </c>
      <c r="M21" s="212">
        <f t="shared" si="4"/>
        <v>117089.28</v>
      </c>
      <c r="N21" s="212">
        <v>0.0</v>
      </c>
      <c r="O21" s="212">
        <f t="shared" si="5"/>
        <v>0</v>
      </c>
      <c r="P21" s="212">
        <v>0.0</v>
      </c>
      <c r="Q21" s="212">
        <f t="shared" si="6"/>
        <v>0</v>
      </c>
      <c r="R21" s="212"/>
      <c r="S21" s="212" t="s">
        <v>178</v>
      </c>
      <c r="T21" s="212" t="s">
        <v>179</v>
      </c>
      <c r="U21" s="212">
        <v>0.0</v>
      </c>
      <c r="V21" s="212">
        <f t="shared" si="7"/>
        <v>0</v>
      </c>
      <c r="W21" s="212"/>
      <c r="X21" s="212" t="s">
        <v>225</v>
      </c>
      <c r="Y21" s="213"/>
      <c r="Z21" s="213"/>
      <c r="AA21" s="213"/>
      <c r="AB21" s="213"/>
      <c r="AC21" s="213"/>
      <c r="AD21" s="213"/>
      <c r="AE21" s="213"/>
      <c r="AF21" s="213"/>
      <c r="AG21" s="213" t="s">
        <v>226</v>
      </c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</row>
    <row r="22" ht="12.75" customHeight="1" outlineLevel="1">
      <c r="A22" s="204">
        <v>14.0</v>
      </c>
      <c r="B22" s="205" t="s">
        <v>1516</v>
      </c>
      <c r="C22" s="206" t="s">
        <v>1517</v>
      </c>
      <c r="D22" s="207" t="s">
        <v>251</v>
      </c>
      <c r="E22" s="208">
        <v>250.0</v>
      </c>
      <c r="F22" s="209">
        <v>1.7</v>
      </c>
      <c r="G22" s="210">
        <f t="shared" si="1"/>
        <v>425</v>
      </c>
      <c r="H22" s="211"/>
      <c r="I22" s="212">
        <f t="shared" si="2"/>
        <v>0</v>
      </c>
      <c r="J22" s="211"/>
      <c r="K22" s="212">
        <f t="shared" si="3"/>
        <v>0</v>
      </c>
      <c r="L22" s="212">
        <v>21.0</v>
      </c>
      <c r="M22" s="212">
        <f t="shared" si="4"/>
        <v>514.25</v>
      </c>
      <c r="N22" s="212">
        <v>0.0</v>
      </c>
      <c r="O22" s="212">
        <f t="shared" si="5"/>
        <v>0</v>
      </c>
      <c r="P22" s="212">
        <v>0.0</v>
      </c>
      <c r="Q22" s="212">
        <f t="shared" si="6"/>
        <v>0</v>
      </c>
      <c r="R22" s="212"/>
      <c r="S22" s="212" t="s">
        <v>178</v>
      </c>
      <c r="T22" s="212" t="s">
        <v>179</v>
      </c>
      <c r="U22" s="212">
        <v>0.0</v>
      </c>
      <c r="V22" s="212">
        <f t="shared" si="7"/>
        <v>0</v>
      </c>
      <c r="W22" s="212"/>
      <c r="X22" s="212" t="s">
        <v>225</v>
      </c>
      <c r="Y22" s="213"/>
      <c r="Z22" s="213"/>
      <c r="AA22" s="213"/>
      <c r="AB22" s="213"/>
      <c r="AC22" s="213"/>
      <c r="AD22" s="213"/>
      <c r="AE22" s="213"/>
      <c r="AF22" s="213"/>
      <c r="AG22" s="213" t="s">
        <v>226</v>
      </c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</row>
    <row r="23" ht="12.75" customHeight="1" outlineLevel="1">
      <c r="A23" s="204">
        <v>15.0</v>
      </c>
      <c r="B23" s="205" t="s">
        <v>1518</v>
      </c>
      <c r="C23" s="206" t="s">
        <v>1519</v>
      </c>
      <c r="D23" s="207" t="s">
        <v>251</v>
      </c>
      <c r="E23" s="208">
        <v>250.0</v>
      </c>
      <c r="F23" s="209">
        <v>1.7</v>
      </c>
      <c r="G23" s="210">
        <f t="shared" si="1"/>
        <v>425</v>
      </c>
      <c r="H23" s="211"/>
      <c r="I23" s="212">
        <f t="shared" si="2"/>
        <v>0</v>
      </c>
      <c r="J23" s="211"/>
      <c r="K23" s="212">
        <f t="shared" si="3"/>
        <v>0</v>
      </c>
      <c r="L23" s="212">
        <v>21.0</v>
      </c>
      <c r="M23" s="212">
        <f t="shared" si="4"/>
        <v>514.25</v>
      </c>
      <c r="N23" s="212">
        <v>0.0</v>
      </c>
      <c r="O23" s="212">
        <f t="shared" si="5"/>
        <v>0</v>
      </c>
      <c r="P23" s="212">
        <v>0.0</v>
      </c>
      <c r="Q23" s="212">
        <f t="shared" si="6"/>
        <v>0</v>
      </c>
      <c r="R23" s="212"/>
      <c r="S23" s="212" t="s">
        <v>178</v>
      </c>
      <c r="T23" s="212" t="s">
        <v>179</v>
      </c>
      <c r="U23" s="212">
        <v>0.0</v>
      </c>
      <c r="V23" s="212">
        <f t="shared" si="7"/>
        <v>0</v>
      </c>
      <c r="W23" s="212"/>
      <c r="X23" s="212" t="s">
        <v>225</v>
      </c>
      <c r="Y23" s="213"/>
      <c r="Z23" s="213"/>
      <c r="AA23" s="213"/>
      <c r="AB23" s="213"/>
      <c r="AC23" s="213"/>
      <c r="AD23" s="213"/>
      <c r="AE23" s="213"/>
      <c r="AF23" s="213"/>
      <c r="AG23" s="213" t="s">
        <v>226</v>
      </c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</row>
    <row r="24" ht="12.75" customHeight="1">
      <c r="A24" s="196" t="s">
        <v>173</v>
      </c>
      <c r="B24" s="197" t="s">
        <v>136</v>
      </c>
      <c r="C24" s="198" t="s">
        <v>137</v>
      </c>
      <c r="D24" s="199"/>
      <c r="E24" s="200"/>
      <c r="F24" s="201"/>
      <c r="G24" s="202">
        <f>SUMIF(AG25:AG39,"&lt;&gt;NOR",G25:G39)</f>
        <v>215513</v>
      </c>
      <c r="H24" s="203"/>
      <c r="I24" s="203">
        <f>SUM(I25:I39)</f>
        <v>0</v>
      </c>
      <c r="J24" s="203"/>
      <c r="K24" s="203">
        <f>SUM(K25:K39)</f>
        <v>0</v>
      </c>
      <c r="L24" s="203"/>
      <c r="M24" s="203">
        <f>SUM(M25:M39)</f>
        <v>260770.73</v>
      </c>
      <c r="N24" s="203"/>
      <c r="O24" s="203">
        <f>SUM(O25:O39)</f>
        <v>0</v>
      </c>
      <c r="P24" s="203"/>
      <c r="Q24" s="203">
        <f>SUM(Q25:Q39)</f>
        <v>0</v>
      </c>
      <c r="R24" s="203"/>
      <c r="S24" s="203"/>
      <c r="T24" s="203"/>
      <c r="U24" s="203"/>
      <c r="V24" s="203">
        <f>SUM(V25:V39)</f>
        <v>0</v>
      </c>
      <c r="W24" s="203"/>
      <c r="X24" s="203"/>
      <c r="AG24" s="184" t="s">
        <v>174</v>
      </c>
    </row>
    <row r="25" ht="12.75" customHeight="1" outlineLevel="1">
      <c r="A25" s="204">
        <v>16.0</v>
      </c>
      <c r="B25" s="205" t="s">
        <v>789</v>
      </c>
      <c r="C25" s="206" t="s">
        <v>1520</v>
      </c>
      <c r="D25" s="207" t="s">
        <v>1521</v>
      </c>
      <c r="E25" s="208">
        <v>1.0</v>
      </c>
      <c r="F25" s="209">
        <v>18893.8</v>
      </c>
      <c r="G25" s="210">
        <f t="shared" ref="G25:G39" si="8">ROUND(E25*F25,2)</f>
        <v>18893.8</v>
      </c>
      <c r="H25" s="211"/>
      <c r="I25" s="212">
        <f t="shared" ref="I25:I39" si="9">ROUND(E25*H25,2)</f>
        <v>0</v>
      </c>
      <c r="J25" s="211"/>
      <c r="K25" s="212">
        <f t="shared" ref="K25:K39" si="10">ROUND(E25*J25,2)</f>
        <v>0</v>
      </c>
      <c r="L25" s="212">
        <v>21.0</v>
      </c>
      <c r="M25" s="212">
        <f t="shared" ref="M25:M39" si="11">G25*(1+L25/100)</f>
        <v>22861.498</v>
      </c>
      <c r="N25" s="212">
        <v>0.0</v>
      </c>
      <c r="O25" s="212">
        <f t="shared" ref="O25:O39" si="12">ROUND(E25*N25,2)</f>
        <v>0</v>
      </c>
      <c r="P25" s="212">
        <v>0.0</v>
      </c>
      <c r="Q25" s="212">
        <f t="shared" ref="Q25:Q39" si="13">ROUND(E25*P25,2)</f>
        <v>0</v>
      </c>
      <c r="R25" s="212"/>
      <c r="S25" s="212" t="s">
        <v>178</v>
      </c>
      <c r="T25" s="212" t="s">
        <v>179</v>
      </c>
      <c r="U25" s="212">
        <v>0.0</v>
      </c>
      <c r="V25" s="212">
        <f t="shared" ref="V25:V39" si="14">ROUND(E25*U25,2)</f>
        <v>0</v>
      </c>
      <c r="W25" s="212"/>
      <c r="X25" s="212" t="s">
        <v>225</v>
      </c>
      <c r="Y25" s="213"/>
      <c r="Z25" s="213"/>
      <c r="AA25" s="213"/>
      <c r="AB25" s="213"/>
      <c r="AC25" s="213"/>
      <c r="AD25" s="213"/>
      <c r="AE25" s="213"/>
      <c r="AF25" s="213"/>
      <c r="AG25" s="213" t="s">
        <v>226</v>
      </c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</row>
    <row r="26" ht="12.75" customHeight="1" outlineLevel="1">
      <c r="A26" s="204">
        <v>17.0</v>
      </c>
      <c r="B26" s="205" t="s">
        <v>791</v>
      </c>
      <c r="C26" s="206" t="s">
        <v>1522</v>
      </c>
      <c r="D26" s="207" t="s">
        <v>251</v>
      </c>
      <c r="E26" s="208">
        <v>25.0</v>
      </c>
      <c r="F26" s="209">
        <v>526.3</v>
      </c>
      <c r="G26" s="210">
        <f t="shared" si="8"/>
        <v>13157.5</v>
      </c>
      <c r="H26" s="211"/>
      <c r="I26" s="212">
        <f t="shared" si="9"/>
        <v>0</v>
      </c>
      <c r="J26" s="211"/>
      <c r="K26" s="212">
        <f t="shared" si="10"/>
        <v>0</v>
      </c>
      <c r="L26" s="212">
        <v>21.0</v>
      </c>
      <c r="M26" s="212">
        <f t="shared" si="11"/>
        <v>15920.575</v>
      </c>
      <c r="N26" s="212">
        <v>0.0</v>
      </c>
      <c r="O26" s="212">
        <f t="shared" si="12"/>
        <v>0</v>
      </c>
      <c r="P26" s="212">
        <v>0.0</v>
      </c>
      <c r="Q26" s="212">
        <f t="shared" si="13"/>
        <v>0</v>
      </c>
      <c r="R26" s="212"/>
      <c r="S26" s="212" t="s">
        <v>178</v>
      </c>
      <c r="T26" s="212" t="s">
        <v>179</v>
      </c>
      <c r="U26" s="212">
        <v>0.0</v>
      </c>
      <c r="V26" s="212">
        <f t="shared" si="14"/>
        <v>0</v>
      </c>
      <c r="W26" s="212"/>
      <c r="X26" s="212" t="s">
        <v>225</v>
      </c>
      <c r="Y26" s="213"/>
      <c r="Z26" s="213"/>
      <c r="AA26" s="213"/>
      <c r="AB26" s="213"/>
      <c r="AC26" s="213"/>
      <c r="AD26" s="213"/>
      <c r="AE26" s="213"/>
      <c r="AF26" s="213"/>
      <c r="AG26" s="213" t="s">
        <v>226</v>
      </c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</row>
    <row r="27" ht="12.75" customHeight="1" outlineLevel="1">
      <c r="A27" s="204">
        <v>18.0</v>
      </c>
      <c r="B27" s="205" t="s">
        <v>1523</v>
      </c>
      <c r="C27" s="206" t="s">
        <v>1524</v>
      </c>
      <c r="D27" s="207" t="s">
        <v>251</v>
      </c>
      <c r="E27" s="208">
        <v>225.0</v>
      </c>
      <c r="F27" s="209">
        <v>377.9</v>
      </c>
      <c r="G27" s="210">
        <f t="shared" si="8"/>
        <v>85027.5</v>
      </c>
      <c r="H27" s="211"/>
      <c r="I27" s="212">
        <f t="shared" si="9"/>
        <v>0</v>
      </c>
      <c r="J27" s="211"/>
      <c r="K27" s="212">
        <f t="shared" si="10"/>
        <v>0</v>
      </c>
      <c r="L27" s="212">
        <v>21.0</v>
      </c>
      <c r="M27" s="212">
        <f t="shared" si="11"/>
        <v>102883.275</v>
      </c>
      <c r="N27" s="212">
        <v>0.0</v>
      </c>
      <c r="O27" s="212">
        <f t="shared" si="12"/>
        <v>0</v>
      </c>
      <c r="P27" s="212">
        <v>0.0</v>
      </c>
      <c r="Q27" s="212">
        <f t="shared" si="13"/>
        <v>0</v>
      </c>
      <c r="R27" s="212"/>
      <c r="S27" s="212" t="s">
        <v>178</v>
      </c>
      <c r="T27" s="212" t="s">
        <v>179</v>
      </c>
      <c r="U27" s="212">
        <v>0.0</v>
      </c>
      <c r="V27" s="212">
        <f t="shared" si="14"/>
        <v>0</v>
      </c>
      <c r="W27" s="212"/>
      <c r="X27" s="212" t="s">
        <v>225</v>
      </c>
      <c r="Y27" s="213"/>
      <c r="Z27" s="213"/>
      <c r="AA27" s="213"/>
      <c r="AB27" s="213"/>
      <c r="AC27" s="213"/>
      <c r="AD27" s="213"/>
      <c r="AE27" s="213"/>
      <c r="AF27" s="213"/>
      <c r="AG27" s="213" t="s">
        <v>226</v>
      </c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</row>
    <row r="28" ht="12.75" customHeight="1" outlineLevel="1">
      <c r="A28" s="204">
        <v>19.0</v>
      </c>
      <c r="B28" s="205" t="s">
        <v>1525</v>
      </c>
      <c r="C28" s="206" t="s">
        <v>1526</v>
      </c>
      <c r="D28" s="207" t="s">
        <v>1490</v>
      </c>
      <c r="E28" s="208">
        <v>2.0</v>
      </c>
      <c r="F28" s="209">
        <v>1619.5</v>
      </c>
      <c r="G28" s="210">
        <f t="shared" si="8"/>
        <v>3239</v>
      </c>
      <c r="H28" s="211"/>
      <c r="I28" s="212">
        <f t="shared" si="9"/>
        <v>0</v>
      </c>
      <c r="J28" s="211"/>
      <c r="K28" s="212">
        <f t="shared" si="10"/>
        <v>0</v>
      </c>
      <c r="L28" s="212">
        <v>21.0</v>
      </c>
      <c r="M28" s="212">
        <f t="shared" si="11"/>
        <v>3919.19</v>
      </c>
      <c r="N28" s="212">
        <v>0.0</v>
      </c>
      <c r="O28" s="212">
        <f t="shared" si="12"/>
        <v>0</v>
      </c>
      <c r="P28" s="212">
        <v>0.0</v>
      </c>
      <c r="Q28" s="212">
        <f t="shared" si="13"/>
        <v>0</v>
      </c>
      <c r="R28" s="212"/>
      <c r="S28" s="212" t="s">
        <v>178</v>
      </c>
      <c r="T28" s="212" t="s">
        <v>179</v>
      </c>
      <c r="U28" s="212">
        <v>0.0</v>
      </c>
      <c r="V28" s="212">
        <f t="shared" si="14"/>
        <v>0</v>
      </c>
      <c r="W28" s="212"/>
      <c r="X28" s="212" t="s">
        <v>225</v>
      </c>
      <c r="Y28" s="213"/>
      <c r="Z28" s="213"/>
      <c r="AA28" s="213"/>
      <c r="AB28" s="213"/>
      <c r="AC28" s="213"/>
      <c r="AD28" s="213"/>
      <c r="AE28" s="213"/>
      <c r="AF28" s="213"/>
      <c r="AG28" s="213" t="s">
        <v>226</v>
      </c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</row>
    <row r="29" ht="12.75" customHeight="1" outlineLevel="1">
      <c r="A29" s="204">
        <v>20.0</v>
      </c>
      <c r="B29" s="205" t="s">
        <v>1527</v>
      </c>
      <c r="C29" s="206" t="s">
        <v>1528</v>
      </c>
      <c r="D29" s="207" t="s">
        <v>251</v>
      </c>
      <c r="E29" s="208">
        <v>225.0</v>
      </c>
      <c r="F29" s="209">
        <v>60.0</v>
      </c>
      <c r="G29" s="210">
        <f t="shared" si="8"/>
        <v>13500</v>
      </c>
      <c r="H29" s="211"/>
      <c r="I29" s="212">
        <f t="shared" si="9"/>
        <v>0</v>
      </c>
      <c r="J29" s="211"/>
      <c r="K29" s="212">
        <f t="shared" si="10"/>
        <v>0</v>
      </c>
      <c r="L29" s="212">
        <v>21.0</v>
      </c>
      <c r="M29" s="212">
        <f t="shared" si="11"/>
        <v>16335</v>
      </c>
      <c r="N29" s="212">
        <v>0.0</v>
      </c>
      <c r="O29" s="212">
        <f t="shared" si="12"/>
        <v>0</v>
      </c>
      <c r="P29" s="212">
        <v>0.0</v>
      </c>
      <c r="Q29" s="212">
        <f t="shared" si="13"/>
        <v>0</v>
      </c>
      <c r="R29" s="212"/>
      <c r="S29" s="212" t="s">
        <v>178</v>
      </c>
      <c r="T29" s="212" t="s">
        <v>179</v>
      </c>
      <c r="U29" s="212">
        <v>0.0</v>
      </c>
      <c r="V29" s="212">
        <f t="shared" si="14"/>
        <v>0</v>
      </c>
      <c r="W29" s="212"/>
      <c r="X29" s="212" t="s">
        <v>225</v>
      </c>
      <c r="Y29" s="213"/>
      <c r="Z29" s="213"/>
      <c r="AA29" s="213"/>
      <c r="AB29" s="213"/>
      <c r="AC29" s="213"/>
      <c r="AD29" s="213"/>
      <c r="AE29" s="213"/>
      <c r="AF29" s="213"/>
      <c r="AG29" s="213" t="s">
        <v>226</v>
      </c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</row>
    <row r="30" ht="12.75" customHeight="1" outlineLevel="1">
      <c r="A30" s="204">
        <v>21.0</v>
      </c>
      <c r="B30" s="205" t="s">
        <v>1529</v>
      </c>
      <c r="C30" s="206" t="s">
        <v>1530</v>
      </c>
      <c r="D30" s="207" t="s">
        <v>234</v>
      </c>
      <c r="E30" s="208">
        <v>4.5</v>
      </c>
      <c r="F30" s="209">
        <v>4671.9</v>
      </c>
      <c r="G30" s="210">
        <f t="shared" si="8"/>
        <v>21023.55</v>
      </c>
      <c r="H30" s="211"/>
      <c r="I30" s="212">
        <f t="shared" si="9"/>
        <v>0</v>
      </c>
      <c r="J30" s="211"/>
      <c r="K30" s="212">
        <f t="shared" si="10"/>
        <v>0</v>
      </c>
      <c r="L30" s="212">
        <v>21.0</v>
      </c>
      <c r="M30" s="212">
        <f t="shared" si="11"/>
        <v>25438.4955</v>
      </c>
      <c r="N30" s="212">
        <v>0.0</v>
      </c>
      <c r="O30" s="212">
        <f t="shared" si="12"/>
        <v>0</v>
      </c>
      <c r="P30" s="212">
        <v>0.0</v>
      </c>
      <c r="Q30" s="212">
        <f t="shared" si="13"/>
        <v>0</v>
      </c>
      <c r="R30" s="212"/>
      <c r="S30" s="212" t="s">
        <v>178</v>
      </c>
      <c r="T30" s="212" t="s">
        <v>179</v>
      </c>
      <c r="U30" s="212">
        <v>0.0</v>
      </c>
      <c r="V30" s="212">
        <f t="shared" si="14"/>
        <v>0</v>
      </c>
      <c r="W30" s="212"/>
      <c r="X30" s="212" t="s">
        <v>225</v>
      </c>
      <c r="Y30" s="213"/>
      <c r="Z30" s="213"/>
      <c r="AA30" s="213"/>
      <c r="AB30" s="213"/>
      <c r="AC30" s="213"/>
      <c r="AD30" s="213"/>
      <c r="AE30" s="213"/>
      <c r="AF30" s="213"/>
      <c r="AG30" s="213" t="s">
        <v>226</v>
      </c>
      <c r="AH30" s="213"/>
      <c r="AI30" s="213"/>
      <c r="AJ30" s="213"/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</row>
    <row r="31" ht="12.75" customHeight="1" outlineLevel="1">
      <c r="A31" s="204">
        <v>22.0</v>
      </c>
      <c r="B31" s="205" t="s">
        <v>1531</v>
      </c>
      <c r="C31" s="206" t="s">
        <v>1532</v>
      </c>
      <c r="D31" s="207" t="s">
        <v>234</v>
      </c>
      <c r="E31" s="208">
        <v>4.5</v>
      </c>
      <c r="F31" s="209">
        <v>539.5</v>
      </c>
      <c r="G31" s="210">
        <f t="shared" si="8"/>
        <v>2427.75</v>
      </c>
      <c r="H31" s="211"/>
      <c r="I31" s="212">
        <f t="shared" si="9"/>
        <v>0</v>
      </c>
      <c r="J31" s="211"/>
      <c r="K31" s="212">
        <f t="shared" si="10"/>
        <v>0</v>
      </c>
      <c r="L31" s="212">
        <v>21.0</v>
      </c>
      <c r="M31" s="212">
        <f t="shared" si="11"/>
        <v>2937.5775</v>
      </c>
      <c r="N31" s="212">
        <v>0.0</v>
      </c>
      <c r="O31" s="212">
        <f t="shared" si="12"/>
        <v>0</v>
      </c>
      <c r="P31" s="212">
        <v>0.0</v>
      </c>
      <c r="Q31" s="212">
        <f t="shared" si="13"/>
        <v>0</v>
      </c>
      <c r="R31" s="212"/>
      <c r="S31" s="212" t="s">
        <v>178</v>
      </c>
      <c r="T31" s="212" t="s">
        <v>179</v>
      </c>
      <c r="U31" s="212">
        <v>0.0</v>
      </c>
      <c r="V31" s="212">
        <f t="shared" si="14"/>
        <v>0</v>
      </c>
      <c r="W31" s="212"/>
      <c r="X31" s="212" t="s">
        <v>225</v>
      </c>
      <c r="Y31" s="213"/>
      <c r="Z31" s="213"/>
      <c r="AA31" s="213"/>
      <c r="AB31" s="213"/>
      <c r="AC31" s="213"/>
      <c r="AD31" s="213"/>
      <c r="AE31" s="213"/>
      <c r="AF31" s="213"/>
      <c r="AG31" s="213" t="s">
        <v>226</v>
      </c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</row>
    <row r="32" ht="12.75" customHeight="1" outlineLevel="1">
      <c r="A32" s="204">
        <v>23.0</v>
      </c>
      <c r="B32" s="205" t="s">
        <v>1533</v>
      </c>
      <c r="C32" s="206" t="s">
        <v>1534</v>
      </c>
      <c r="D32" s="207" t="s">
        <v>251</v>
      </c>
      <c r="E32" s="208">
        <v>50.0</v>
      </c>
      <c r="F32" s="209">
        <v>105.0</v>
      </c>
      <c r="G32" s="210">
        <f t="shared" si="8"/>
        <v>5250</v>
      </c>
      <c r="H32" s="211"/>
      <c r="I32" s="212">
        <f t="shared" si="9"/>
        <v>0</v>
      </c>
      <c r="J32" s="211"/>
      <c r="K32" s="212">
        <f t="shared" si="10"/>
        <v>0</v>
      </c>
      <c r="L32" s="212">
        <v>21.0</v>
      </c>
      <c r="M32" s="212">
        <f t="shared" si="11"/>
        <v>6352.5</v>
      </c>
      <c r="N32" s="212">
        <v>0.0</v>
      </c>
      <c r="O32" s="212">
        <f t="shared" si="12"/>
        <v>0</v>
      </c>
      <c r="P32" s="212">
        <v>0.0</v>
      </c>
      <c r="Q32" s="212">
        <f t="shared" si="13"/>
        <v>0</v>
      </c>
      <c r="R32" s="212"/>
      <c r="S32" s="212" t="s">
        <v>178</v>
      </c>
      <c r="T32" s="212" t="s">
        <v>179</v>
      </c>
      <c r="U32" s="212">
        <v>0.0</v>
      </c>
      <c r="V32" s="212">
        <f t="shared" si="14"/>
        <v>0</v>
      </c>
      <c r="W32" s="212"/>
      <c r="X32" s="212" t="s">
        <v>225</v>
      </c>
      <c r="Y32" s="213"/>
      <c r="Z32" s="213"/>
      <c r="AA32" s="213"/>
      <c r="AB32" s="213"/>
      <c r="AC32" s="213"/>
      <c r="AD32" s="213"/>
      <c r="AE32" s="213"/>
      <c r="AF32" s="213"/>
      <c r="AG32" s="213" t="s">
        <v>226</v>
      </c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</row>
    <row r="33" ht="12.75" customHeight="1" outlineLevel="1">
      <c r="A33" s="204">
        <v>24.0</v>
      </c>
      <c r="B33" s="205" t="s">
        <v>1535</v>
      </c>
      <c r="C33" s="206" t="s">
        <v>1536</v>
      </c>
      <c r="D33" s="207" t="s">
        <v>251</v>
      </c>
      <c r="E33" s="208">
        <v>25.0</v>
      </c>
      <c r="F33" s="209">
        <v>188.9</v>
      </c>
      <c r="G33" s="210">
        <f t="shared" si="8"/>
        <v>4722.5</v>
      </c>
      <c r="H33" s="211"/>
      <c r="I33" s="212">
        <f t="shared" si="9"/>
        <v>0</v>
      </c>
      <c r="J33" s="211"/>
      <c r="K33" s="212">
        <f t="shared" si="10"/>
        <v>0</v>
      </c>
      <c r="L33" s="212">
        <v>21.0</v>
      </c>
      <c r="M33" s="212">
        <f t="shared" si="11"/>
        <v>5714.225</v>
      </c>
      <c r="N33" s="212">
        <v>0.0</v>
      </c>
      <c r="O33" s="212">
        <f t="shared" si="12"/>
        <v>0</v>
      </c>
      <c r="P33" s="212">
        <v>0.0</v>
      </c>
      <c r="Q33" s="212">
        <f t="shared" si="13"/>
        <v>0</v>
      </c>
      <c r="R33" s="212"/>
      <c r="S33" s="212" t="s">
        <v>178</v>
      </c>
      <c r="T33" s="212" t="s">
        <v>179</v>
      </c>
      <c r="U33" s="212">
        <v>0.0</v>
      </c>
      <c r="V33" s="212">
        <f t="shared" si="14"/>
        <v>0</v>
      </c>
      <c r="W33" s="212"/>
      <c r="X33" s="212" t="s">
        <v>225</v>
      </c>
      <c r="Y33" s="213"/>
      <c r="Z33" s="213"/>
      <c r="AA33" s="213"/>
      <c r="AB33" s="213"/>
      <c r="AC33" s="213"/>
      <c r="AD33" s="213"/>
      <c r="AE33" s="213"/>
      <c r="AF33" s="213"/>
      <c r="AG33" s="213" t="s">
        <v>226</v>
      </c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3"/>
      <c r="AX33" s="213"/>
      <c r="AY33" s="213"/>
      <c r="AZ33" s="213"/>
      <c r="BA33" s="213"/>
    </row>
    <row r="34" ht="12.75" customHeight="1" outlineLevel="1">
      <c r="A34" s="204">
        <v>25.0</v>
      </c>
      <c r="B34" s="205" t="s">
        <v>1537</v>
      </c>
      <c r="C34" s="206" t="s">
        <v>1538</v>
      </c>
      <c r="D34" s="207" t="s">
        <v>251</v>
      </c>
      <c r="E34" s="208">
        <v>225.0</v>
      </c>
      <c r="F34" s="209">
        <v>71.5</v>
      </c>
      <c r="G34" s="210">
        <f t="shared" si="8"/>
        <v>16087.5</v>
      </c>
      <c r="H34" s="211"/>
      <c r="I34" s="212">
        <f t="shared" si="9"/>
        <v>0</v>
      </c>
      <c r="J34" s="211"/>
      <c r="K34" s="212">
        <f t="shared" si="10"/>
        <v>0</v>
      </c>
      <c r="L34" s="212">
        <v>21.0</v>
      </c>
      <c r="M34" s="212">
        <f t="shared" si="11"/>
        <v>19465.875</v>
      </c>
      <c r="N34" s="212">
        <v>0.0</v>
      </c>
      <c r="O34" s="212">
        <f t="shared" si="12"/>
        <v>0</v>
      </c>
      <c r="P34" s="212">
        <v>0.0</v>
      </c>
      <c r="Q34" s="212">
        <f t="shared" si="13"/>
        <v>0</v>
      </c>
      <c r="R34" s="212"/>
      <c r="S34" s="212" t="s">
        <v>178</v>
      </c>
      <c r="T34" s="212" t="s">
        <v>179</v>
      </c>
      <c r="U34" s="212">
        <v>0.0</v>
      </c>
      <c r="V34" s="212">
        <f t="shared" si="14"/>
        <v>0</v>
      </c>
      <c r="W34" s="212"/>
      <c r="X34" s="212" t="s">
        <v>225</v>
      </c>
      <c r="Y34" s="213"/>
      <c r="Z34" s="213"/>
      <c r="AA34" s="213"/>
      <c r="AB34" s="213"/>
      <c r="AC34" s="213"/>
      <c r="AD34" s="213"/>
      <c r="AE34" s="213"/>
      <c r="AF34" s="213"/>
      <c r="AG34" s="213" t="s">
        <v>226</v>
      </c>
      <c r="AH34" s="213"/>
      <c r="AI34" s="213"/>
      <c r="AJ34" s="213"/>
      <c r="AK34" s="213"/>
      <c r="AL34" s="213"/>
      <c r="AM34" s="213"/>
      <c r="AN34" s="213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</row>
    <row r="35" ht="12.75" customHeight="1" outlineLevel="1">
      <c r="A35" s="204">
        <v>26.0</v>
      </c>
      <c r="B35" s="205" t="s">
        <v>1539</v>
      </c>
      <c r="C35" s="206" t="s">
        <v>1540</v>
      </c>
      <c r="D35" s="207" t="s">
        <v>234</v>
      </c>
      <c r="E35" s="208">
        <v>38.0</v>
      </c>
      <c r="F35" s="209">
        <v>202.4</v>
      </c>
      <c r="G35" s="210">
        <f t="shared" si="8"/>
        <v>7691.2</v>
      </c>
      <c r="H35" s="211"/>
      <c r="I35" s="212">
        <f t="shared" si="9"/>
        <v>0</v>
      </c>
      <c r="J35" s="211"/>
      <c r="K35" s="212">
        <f t="shared" si="10"/>
        <v>0</v>
      </c>
      <c r="L35" s="212">
        <v>21.0</v>
      </c>
      <c r="M35" s="212">
        <f t="shared" si="11"/>
        <v>9306.352</v>
      </c>
      <c r="N35" s="212">
        <v>0.0</v>
      </c>
      <c r="O35" s="212">
        <f t="shared" si="12"/>
        <v>0</v>
      </c>
      <c r="P35" s="212">
        <v>0.0</v>
      </c>
      <c r="Q35" s="212">
        <f t="shared" si="13"/>
        <v>0</v>
      </c>
      <c r="R35" s="212"/>
      <c r="S35" s="212" t="s">
        <v>178</v>
      </c>
      <c r="T35" s="212" t="s">
        <v>179</v>
      </c>
      <c r="U35" s="212">
        <v>0.0</v>
      </c>
      <c r="V35" s="212">
        <f t="shared" si="14"/>
        <v>0</v>
      </c>
      <c r="W35" s="212"/>
      <c r="X35" s="212" t="s">
        <v>225</v>
      </c>
      <c r="Y35" s="213"/>
      <c r="Z35" s="213"/>
      <c r="AA35" s="213"/>
      <c r="AB35" s="213"/>
      <c r="AC35" s="213"/>
      <c r="AD35" s="213"/>
      <c r="AE35" s="213"/>
      <c r="AF35" s="213"/>
      <c r="AG35" s="213" t="s">
        <v>226</v>
      </c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</row>
    <row r="36" ht="12.75" customHeight="1" outlineLevel="1">
      <c r="A36" s="204">
        <v>27.0</v>
      </c>
      <c r="B36" s="205" t="s">
        <v>1541</v>
      </c>
      <c r="C36" s="206" t="s">
        <v>1542</v>
      </c>
      <c r="D36" s="207" t="s">
        <v>234</v>
      </c>
      <c r="E36" s="208">
        <v>9.0</v>
      </c>
      <c r="F36" s="209">
        <v>2116.5</v>
      </c>
      <c r="G36" s="210">
        <f t="shared" si="8"/>
        <v>19048.5</v>
      </c>
      <c r="H36" s="211"/>
      <c r="I36" s="212">
        <f t="shared" si="9"/>
        <v>0</v>
      </c>
      <c r="J36" s="211"/>
      <c r="K36" s="212">
        <f t="shared" si="10"/>
        <v>0</v>
      </c>
      <c r="L36" s="212">
        <v>21.0</v>
      </c>
      <c r="M36" s="212">
        <f t="shared" si="11"/>
        <v>23048.685</v>
      </c>
      <c r="N36" s="212">
        <v>0.0</v>
      </c>
      <c r="O36" s="212">
        <f t="shared" si="12"/>
        <v>0</v>
      </c>
      <c r="P36" s="212">
        <v>0.0</v>
      </c>
      <c r="Q36" s="212">
        <f t="shared" si="13"/>
        <v>0</v>
      </c>
      <c r="R36" s="212"/>
      <c r="S36" s="212" t="s">
        <v>178</v>
      </c>
      <c r="T36" s="212" t="s">
        <v>179</v>
      </c>
      <c r="U36" s="212">
        <v>0.0</v>
      </c>
      <c r="V36" s="212">
        <f t="shared" si="14"/>
        <v>0</v>
      </c>
      <c r="W36" s="212"/>
      <c r="X36" s="212" t="s">
        <v>225</v>
      </c>
      <c r="Y36" s="213"/>
      <c r="Z36" s="213"/>
      <c r="AA36" s="213"/>
      <c r="AB36" s="213"/>
      <c r="AC36" s="213"/>
      <c r="AD36" s="213"/>
      <c r="AE36" s="213"/>
      <c r="AF36" s="213"/>
      <c r="AG36" s="213" t="s">
        <v>226</v>
      </c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</row>
    <row r="37" ht="12.75" customHeight="1" outlineLevel="1">
      <c r="A37" s="204">
        <v>28.0</v>
      </c>
      <c r="B37" s="205" t="s">
        <v>1543</v>
      </c>
      <c r="C37" s="206" t="s">
        <v>1544</v>
      </c>
      <c r="D37" s="207" t="s">
        <v>251</v>
      </c>
      <c r="E37" s="208">
        <v>25.0</v>
      </c>
      <c r="F37" s="209">
        <v>14.6</v>
      </c>
      <c r="G37" s="210">
        <f t="shared" si="8"/>
        <v>365</v>
      </c>
      <c r="H37" s="211"/>
      <c r="I37" s="212">
        <f t="shared" si="9"/>
        <v>0</v>
      </c>
      <c r="J37" s="211"/>
      <c r="K37" s="212">
        <f t="shared" si="10"/>
        <v>0</v>
      </c>
      <c r="L37" s="212">
        <v>21.0</v>
      </c>
      <c r="M37" s="212">
        <f t="shared" si="11"/>
        <v>441.65</v>
      </c>
      <c r="N37" s="212">
        <v>0.0</v>
      </c>
      <c r="O37" s="212">
        <f t="shared" si="12"/>
        <v>0</v>
      </c>
      <c r="P37" s="212">
        <v>0.0</v>
      </c>
      <c r="Q37" s="212">
        <f t="shared" si="13"/>
        <v>0</v>
      </c>
      <c r="R37" s="212"/>
      <c r="S37" s="212" t="s">
        <v>178</v>
      </c>
      <c r="T37" s="212" t="s">
        <v>179</v>
      </c>
      <c r="U37" s="212">
        <v>0.0</v>
      </c>
      <c r="V37" s="212">
        <f t="shared" si="14"/>
        <v>0</v>
      </c>
      <c r="W37" s="212"/>
      <c r="X37" s="212" t="s">
        <v>225</v>
      </c>
      <c r="Y37" s="213"/>
      <c r="Z37" s="213"/>
      <c r="AA37" s="213"/>
      <c r="AB37" s="213"/>
      <c r="AC37" s="213"/>
      <c r="AD37" s="213"/>
      <c r="AE37" s="213"/>
      <c r="AF37" s="213"/>
      <c r="AG37" s="213" t="s">
        <v>226</v>
      </c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</row>
    <row r="38" ht="12.75" customHeight="1" outlineLevel="1">
      <c r="A38" s="204">
        <v>29.0</v>
      </c>
      <c r="B38" s="205" t="s">
        <v>1545</v>
      </c>
      <c r="C38" s="206" t="s">
        <v>1546</v>
      </c>
      <c r="D38" s="207" t="s">
        <v>251</v>
      </c>
      <c r="E38" s="208">
        <v>225.0</v>
      </c>
      <c r="F38" s="209">
        <v>17.2</v>
      </c>
      <c r="G38" s="210">
        <f t="shared" si="8"/>
        <v>3870</v>
      </c>
      <c r="H38" s="211"/>
      <c r="I38" s="212">
        <f t="shared" si="9"/>
        <v>0</v>
      </c>
      <c r="J38" s="211"/>
      <c r="K38" s="212">
        <f t="shared" si="10"/>
        <v>0</v>
      </c>
      <c r="L38" s="212">
        <v>21.0</v>
      </c>
      <c r="M38" s="212">
        <f t="shared" si="11"/>
        <v>4682.7</v>
      </c>
      <c r="N38" s="212">
        <v>0.0</v>
      </c>
      <c r="O38" s="212">
        <f t="shared" si="12"/>
        <v>0</v>
      </c>
      <c r="P38" s="212">
        <v>0.0</v>
      </c>
      <c r="Q38" s="212">
        <f t="shared" si="13"/>
        <v>0</v>
      </c>
      <c r="R38" s="212"/>
      <c r="S38" s="212" t="s">
        <v>178</v>
      </c>
      <c r="T38" s="212" t="s">
        <v>179</v>
      </c>
      <c r="U38" s="212">
        <v>0.0</v>
      </c>
      <c r="V38" s="212">
        <f t="shared" si="14"/>
        <v>0</v>
      </c>
      <c r="W38" s="212"/>
      <c r="X38" s="212" t="s">
        <v>225</v>
      </c>
      <c r="Y38" s="213"/>
      <c r="Z38" s="213"/>
      <c r="AA38" s="213"/>
      <c r="AB38" s="213"/>
      <c r="AC38" s="213"/>
      <c r="AD38" s="213"/>
      <c r="AE38" s="213"/>
      <c r="AF38" s="213"/>
      <c r="AG38" s="213" t="s">
        <v>226</v>
      </c>
      <c r="AH38" s="213"/>
      <c r="AI38" s="213"/>
      <c r="AJ38" s="213"/>
      <c r="AK38" s="213"/>
      <c r="AL38" s="213"/>
      <c r="AM38" s="213"/>
      <c r="AN38" s="213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</row>
    <row r="39" ht="12.75" customHeight="1" outlineLevel="1">
      <c r="A39" s="214">
        <v>30.0</v>
      </c>
      <c r="B39" s="215" t="s">
        <v>1547</v>
      </c>
      <c r="C39" s="216" t="s">
        <v>1548</v>
      </c>
      <c r="D39" s="217" t="s">
        <v>1490</v>
      </c>
      <c r="E39" s="218">
        <v>2.0</v>
      </c>
      <c r="F39" s="219">
        <v>604.6</v>
      </c>
      <c r="G39" s="220">
        <f t="shared" si="8"/>
        <v>1209.2</v>
      </c>
      <c r="H39" s="211"/>
      <c r="I39" s="212">
        <f t="shared" si="9"/>
        <v>0</v>
      </c>
      <c r="J39" s="211"/>
      <c r="K39" s="212">
        <f t="shared" si="10"/>
        <v>0</v>
      </c>
      <c r="L39" s="212">
        <v>21.0</v>
      </c>
      <c r="M39" s="212">
        <f t="shared" si="11"/>
        <v>1463.132</v>
      </c>
      <c r="N39" s="212">
        <v>0.0</v>
      </c>
      <c r="O39" s="212">
        <f t="shared" si="12"/>
        <v>0</v>
      </c>
      <c r="P39" s="212">
        <v>0.0</v>
      </c>
      <c r="Q39" s="212">
        <f t="shared" si="13"/>
        <v>0</v>
      </c>
      <c r="R39" s="212"/>
      <c r="S39" s="212" t="s">
        <v>178</v>
      </c>
      <c r="T39" s="212" t="s">
        <v>179</v>
      </c>
      <c r="U39" s="212">
        <v>0.0</v>
      </c>
      <c r="V39" s="212">
        <f t="shared" si="14"/>
        <v>0</v>
      </c>
      <c r="W39" s="212"/>
      <c r="X39" s="212" t="s">
        <v>225</v>
      </c>
      <c r="Y39" s="213"/>
      <c r="Z39" s="213"/>
      <c r="AA39" s="213"/>
      <c r="AB39" s="213"/>
      <c r="AC39" s="213"/>
      <c r="AD39" s="213"/>
      <c r="AE39" s="213"/>
      <c r="AF39" s="213"/>
      <c r="AG39" s="213" t="s">
        <v>226</v>
      </c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</row>
    <row r="40" ht="12.75" customHeight="1">
      <c r="A40" s="175"/>
      <c r="B40" s="179"/>
      <c r="C40" s="221"/>
      <c r="D40" s="181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AE40" s="184">
        <v>15.0</v>
      </c>
      <c r="AF40" s="184">
        <v>21.0</v>
      </c>
      <c r="AG40" s="184" t="s">
        <v>160</v>
      </c>
    </row>
    <row r="41" ht="12.75" customHeight="1">
      <c r="A41" s="222"/>
      <c r="B41" s="223" t="s">
        <v>24</v>
      </c>
      <c r="C41" s="224"/>
      <c r="D41" s="225"/>
      <c r="E41" s="226"/>
      <c r="F41" s="226"/>
      <c r="G41" s="227">
        <f>G8+G24</f>
        <v>664175.6</v>
      </c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AE41" s="184">
        <f>SUMIF(L7:L39,AE40,G7:G39)</f>
        <v>0</v>
      </c>
      <c r="AF41" s="184">
        <f>SUMIF(L7:L39,AF40,G7:G39)</f>
        <v>664175.6</v>
      </c>
      <c r="AG41" s="184" t="s">
        <v>218</v>
      </c>
    </row>
    <row r="42" ht="12.75" customHeight="1">
      <c r="A42" s="175"/>
      <c r="B42" s="179"/>
      <c r="C42" s="221"/>
      <c r="D42" s="181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</row>
    <row r="43" ht="12.75" customHeight="1">
      <c r="A43" s="175"/>
      <c r="B43" s="179"/>
      <c r="C43" s="221"/>
      <c r="D43" s="181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</row>
    <row r="44" ht="12.75" customHeight="1">
      <c r="A44" s="175" t="s">
        <v>219</v>
      </c>
      <c r="D44" s="181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</row>
    <row r="45" ht="12.75" customHeight="1">
      <c r="A45" s="228"/>
      <c r="B45" s="27"/>
      <c r="C45" s="27"/>
      <c r="D45" s="27"/>
      <c r="E45" s="27"/>
      <c r="F45" s="27"/>
      <c r="G45" s="229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AG45" s="184" t="s">
        <v>220</v>
      </c>
    </row>
    <row r="46" ht="12.75" customHeight="1">
      <c r="A46" s="230"/>
      <c r="G46" s="231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 ht="12.75" customHeight="1">
      <c r="A47" s="230"/>
      <c r="G47" s="231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 ht="12.75" customHeight="1">
      <c r="A48" s="230"/>
      <c r="G48" s="231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 ht="12.75" customHeight="1">
      <c r="A49" s="232"/>
      <c r="B49" s="38"/>
      <c r="C49" s="38"/>
      <c r="D49" s="38"/>
      <c r="E49" s="38"/>
      <c r="F49" s="38"/>
      <c r="G49" s="233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</row>
    <row r="50" ht="12.75" customHeight="1">
      <c r="A50" s="175"/>
      <c r="B50" s="179"/>
      <c r="C50" s="221"/>
      <c r="D50" s="181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</row>
    <row r="51" ht="12.75" customHeight="1">
      <c r="B51" s="185"/>
      <c r="C51" s="234"/>
      <c r="D51" s="126"/>
      <c r="AG51" s="184" t="s">
        <v>221</v>
      </c>
    </row>
    <row r="52" ht="12.75" customHeight="1">
      <c r="B52" s="185"/>
      <c r="C52" s="185"/>
      <c r="D52" s="126"/>
    </row>
    <row r="53" ht="12.75" customHeight="1">
      <c r="B53" s="185"/>
      <c r="C53" s="185"/>
      <c r="D53" s="126"/>
    </row>
    <row r="54" ht="12.75" customHeight="1">
      <c r="B54" s="185"/>
      <c r="C54" s="185"/>
      <c r="D54" s="126"/>
    </row>
    <row r="55" ht="12.75" customHeight="1">
      <c r="B55" s="185"/>
      <c r="C55" s="185"/>
      <c r="D55" s="126"/>
    </row>
    <row r="56" ht="12.75" customHeight="1">
      <c r="B56" s="185"/>
      <c r="C56" s="185"/>
      <c r="D56" s="126"/>
    </row>
    <row r="57" ht="12.75" customHeight="1">
      <c r="B57" s="185"/>
      <c r="C57" s="185"/>
      <c r="D57" s="126"/>
    </row>
    <row r="58" ht="12.75" customHeight="1">
      <c r="B58" s="185"/>
      <c r="C58" s="185"/>
      <c r="D58" s="126"/>
    </row>
    <row r="59" ht="12.75" customHeight="1">
      <c r="B59" s="185"/>
      <c r="C59" s="185"/>
      <c r="D59" s="126"/>
    </row>
    <row r="60" ht="12.75" customHeight="1">
      <c r="B60" s="185"/>
      <c r="C60" s="185"/>
      <c r="D60" s="126"/>
    </row>
    <row r="61" ht="12.75" customHeight="1">
      <c r="B61" s="185"/>
      <c r="C61" s="185"/>
      <c r="D61" s="126"/>
    </row>
    <row r="62" ht="12.75" customHeight="1">
      <c r="B62" s="185"/>
      <c r="C62" s="185"/>
      <c r="D62" s="126"/>
    </row>
    <row r="63" ht="12.75" customHeight="1">
      <c r="B63" s="185"/>
      <c r="C63" s="185"/>
      <c r="D63" s="126"/>
    </row>
    <row r="64" ht="12.75" customHeight="1">
      <c r="B64" s="185"/>
      <c r="C64" s="185"/>
      <c r="D64" s="126"/>
    </row>
    <row r="65" ht="12.75" customHeight="1">
      <c r="B65" s="185"/>
      <c r="C65" s="185"/>
      <c r="D65" s="126"/>
    </row>
    <row r="66" ht="12.75" customHeight="1">
      <c r="B66" s="185"/>
      <c r="C66" s="185"/>
      <c r="D66" s="126"/>
    </row>
    <row r="67" ht="12.75" customHeight="1">
      <c r="B67" s="185"/>
      <c r="C67" s="185"/>
      <c r="D67" s="126"/>
    </row>
    <row r="68" ht="12.75" customHeight="1">
      <c r="B68" s="185"/>
      <c r="C68" s="185"/>
      <c r="D68" s="126"/>
    </row>
    <row r="69" ht="12.75" customHeight="1">
      <c r="B69" s="185"/>
      <c r="C69" s="185"/>
      <c r="D69" s="126"/>
    </row>
    <row r="70" ht="12.75" customHeight="1">
      <c r="B70" s="185"/>
      <c r="C70" s="185"/>
      <c r="D70" s="126"/>
    </row>
    <row r="71" ht="12.75" customHeight="1">
      <c r="B71" s="185"/>
      <c r="C71" s="185"/>
      <c r="D71" s="126"/>
    </row>
    <row r="72" ht="12.75" customHeight="1">
      <c r="B72" s="185"/>
      <c r="C72" s="185"/>
      <c r="D72" s="126"/>
    </row>
    <row r="73" ht="12.75" customHeight="1">
      <c r="B73" s="185"/>
      <c r="C73" s="185"/>
      <c r="D73" s="126"/>
    </row>
    <row r="74" ht="12.75" customHeight="1">
      <c r="B74" s="185"/>
      <c r="C74" s="185"/>
      <c r="D74" s="126"/>
    </row>
    <row r="75" ht="12.75" customHeight="1">
      <c r="B75" s="185"/>
      <c r="C75" s="185"/>
      <c r="D75" s="126"/>
    </row>
    <row r="76" ht="12.75" customHeight="1">
      <c r="B76" s="185"/>
      <c r="C76" s="185"/>
      <c r="D76" s="126"/>
    </row>
    <row r="77" ht="12.75" customHeight="1">
      <c r="B77" s="185"/>
      <c r="C77" s="185"/>
      <c r="D77" s="126"/>
    </row>
    <row r="78" ht="12.75" customHeight="1">
      <c r="B78" s="185"/>
      <c r="C78" s="185"/>
      <c r="D78" s="126"/>
    </row>
    <row r="79" ht="12.75" customHeight="1">
      <c r="B79" s="185"/>
      <c r="C79" s="185"/>
      <c r="D79" s="126"/>
    </row>
    <row r="80" ht="12.75" customHeight="1">
      <c r="B80" s="185"/>
      <c r="C80" s="185"/>
      <c r="D80" s="126"/>
    </row>
    <row r="81" ht="12.75" customHeight="1">
      <c r="B81" s="185"/>
      <c r="C81" s="185"/>
      <c r="D81" s="126"/>
    </row>
    <row r="82" ht="12.75" customHeight="1">
      <c r="B82" s="185"/>
      <c r="C82" s="185"/>
      <c r="D82" s="126"/>
    </row>
    <row r="83" ht="12.75" customHeight="1">
      <c r="B83" s="185"/>
      <c r="C83" s="185"/>
      <c r="D83" s="126"/>
    </row>
    <row r="84" ht="12.75" customHeight="1">
      <c r="B84" s="185"/>
      <c r="C84" s="185"/>
      <c r="D84" s="126"/>
    </row>
    <row r="85" ht="12.75" customHeight="1">
      <c r="B85" s="185"/>
      <c r="C85" s="185"/>
      <c r="D85" s="126"/>
    </row>
    <row r="86" ht="12.75" customHeight="1">
      <c r="B86" s="185"/>
      <c r="C86" s="185"/>
      <c r="D86" s="126"/>
    </row>
    <row r="87" ht="12.75" customHeight="1">
      <c r="B87" s="185"/>
      <c r="C87" s="185"/>
      <c r="D87" s="126"/>
    </row>
    <row r="88" ht="12.75" customHeight="1">
      <c r="B88" s="185"/>
      <c r="C88" s="185"/>
      <c r="D88" s="126"/>
    </row>
    <row r="89" ht="12.75" customHeight="1">
      <c r="B89" s="185"/>
      <c r="C89" s="185"/>
      <c r="D89" s="126"/>
    </row>
    <row r="90" ht="12.75" customHeight="1">
      <c r="B90" s="185"/>
      <c r="C90" s="185"/>
      <c r="D90" s="126"/>
    </row>
    <row r="91" ht="12.75" customHeight="1">
      <c r="B91" s="185"/>
      <c r="C91" s="185"/>
      <c r="D91" s="126"/>
    </row>
    <row r="92" ht="12.75" customHeight="1">
      <c r="B92" s="185"/>
      <c r="C92" s="185"/>
      <c r="D92" s="126"/>
    </row>
    <row r="93" ht="12.75" customHeight="1">
      <c r="B93" s="185"/>
      <c r="C93" s="185"/>
      <c r="D93" s="126"/>
    </row>
    <row r="94" ht="12.75" customHeight="1">
      <c r="B94" s="185"/>
      <c r="C94" s="185"/>
      <c r="D94" s="126"/>
    </row>
    <row r="95" ht="12.75" customHeight="1">
      <c r="B95" s="185"/>
      <c r="C95" s="185"/>
      <c r="D95" s="126"/>
    </row>
    <row r="96" ht="12.75" customHeight="1">
      <c r="B96" s="185"/>
      <c r="C96" s="185"/>
      <c r="D96" s="126"/>
    </row>
    <row r="97" ht="12.75" customHeight="1">
      <c r="B97" s="185"/>
      <c r="C97" s="185"/>
      <c r="D97" s="126"/>
    </row>
    <row r="98" ht="12.75" customHeight="1">
      <c r="B98" s="185"/>
      <c r="C98" s="185"/>
      <c r="D98" s="126"/>
    </row>
    <row r="99" ht="12.75" customHeight="1">
      <c r="B99" s="185"/>
      <c r="C99" s="185"/>
      <c r="D99" s="126"/>
    </row>
    <row r="100" ht="12.75" customHeight="1">
      <c r="B100" s="185"/>
      <c r="C100" s="185"/>
      <c r="D100" s="126"/>
    </row>
    <row r="101" ht="12.75" customHeight="1">
      <c r="B101" s="185"/>
      <c r="C101" s="185"/>
      <c r="D101" s="126"/>
    </row>
    <row r="102" ht="12.75" customHeight="1">
      <c r="B102" s="185"/>
      <c r="C102" s="185"/>
      <c r="D102" s="126"/>
    </row>
    <row r="103" ht="12.75" customHeight="1">
      <c r="B103" s="185"/>
      <c r="C103" s="185"/>
      <c r="D103" s="126"/>
    </row>
    <row r="104" ht="12.75" customHeight="1">
      <c r="B104" s="185"/>
      <c r="C104" s="185"/>
      <c r="D104" s="126"/>
    </row>
    <row r="105" ht="12.75" customHeight="1">
      <c r="B105" s="185"/>
      <c r="C105" s="185"/>
      <c r="D105" s="126"/>
    </row>
    <row r="106" ht="12.75" customHeight="1">
      <c r="B106" s="185"/>
      <c r="C106" s="185"/>
      <c r="D106" s="126"/>
    </row>
    <row r="107" ht="12.75" customHeight="1">
      <c r="B107" s="185"/>
      <c r="C107" s="185"/>
      <c r="D107" s="126"/>
    </row>
    <row r="108" ht="12.75" customHeight="1">
      <c r="B108" s="185"/>
      <c r="C108" s="185"/>
      <c r="D108" s="126"/>
    </row>
    <row r="109" ht="12.75" customHeight="1">
      <c r="B109" s="185"/>
      <c r="C109" s="185"/>
      <c r="D109" s="126"/>
    </row>
    <row r="110" ht="12.75" customHeight="1">
      <c r="B110" s="185"/>
      <c r="C110" s="185"/>
      <c r="D110" s="126"/>
    </row>
    <row r="111" ht="12.75" customHeight="1">
      <c r="B111" s="185"/>
      <c r="C111" s="185"/>
      <c r="D111" s="126"/>
    </row>
    <row r="112" ht="12.75" customHeight="1">
      <c r="B112" s="185"/>
      <c r="C112" s="185"/>
      <c r="D112" s="126"/>
    </row>
    <row r="113" ht="12.75" customHeight="1">
      <c r="B113" s="185"/>
      <c r="C113" s="185"/>
      <c r="D113" s="126"/>
    </row>
    <row r="114" ht="12.75" customHeight="1">
      <c r="B114" s="185"/>
      <c r="C114" s="185"/>
      <c r="D114" s="126"/>
    </row>
    <row r="115" ht="12.75" customHeight="1">
      <c r="B115" s="185"/>
      <c r="C115" s="185"/>
      <c r="D115" s="126"/>
    </row>
    <row r="116" ht="12.75" customHeight="1">
      <c r="B116" s="185"/>
      <c r="C116" s="185"/>
      <c r="D116" s="126"/>
    </row>
    <row r="117" ht="12.75" customHeight="1">
      <c r="B117" s="185"/>
      <c r="C117" s="185"/>
      <c r="D117" s="126"/>
    </row>
    <row r="118" ht="12.75" customHeight="1">
      <c r="B118" s="185"/>
      <c r="C118" s="185"/>
      <c r="D118" s="126"/>
    </row>
    <row r="119" ht="12.75" customHeight="1">
      <c r="B119" s="185"/>
      <c r="C119" s="185"/>
      <c r="D119" s="126"/>
    </row>
    <row r="120" ht="12.75" customHeight="1">
      <c r="B120" s="185"/>
      <c r="C120" s="185"/>
      <c r="D120" s="126"/>
    </row>
    <row r="121" ht="12.75" customHeight="1">
      <c r="B121" s="185"/>
      <c r="C121" s="185"/>
      <c r="D121" s="126"/>
    </row>
    <row r="122" ht="12.75" customHeight="1">
      <c r="B122" s="185"/>
      <c r="C122" s="185"/>
      <c r="D122" s="126"/>
    </row>
    <row r="123" ht="12.75" customHeight="1">
      <c r="B123" s="185"/>
      <c r="C123" s="185"/>
      <c r="D123" s="126"/>
    </row>
    <row r="124" ht="12.75" customHeight="1">
      <c r="B124" s="185"/>
      <c r="C124" s="185"/>
      <c r="D124" s="126"/>
    </row>
    <row r="125" ht="12.75" customHeight="1">
      <c r="B125" s="185"/>
      <c r="C125" s="185"/>
      <c r="D125" s="126"/>
    </row>
    <row r="126" ht="12.75" customHeight="1">
      <c r="B126" s="185"/>
      <c r="C126" s="185"/>
      <c r="D126" s="126"/>
    </row>
    <row r="127" ht="12.75" customHeight="1">
      <c r="B127" s="185"/>
      <c r="C127" s="185"/>
      <c r="D127" s="126"/>
    </row>
    <row r="128" ht="12.75" customHeight="1">
      <c r="B128" s="185"/>
      <c r="C128" s="185"/>
      <c r="D128" s="126"/>
    </row>
    <row r="129" ht="12.75" customHeight="1">
      <c r="B129" s="185"/>
      <c r="C129" s="185"/>
      <c r="D129" s="126"/>
    </row>
    <row r="130" ht="12.75" customHeight="1">
      <c r="B130" s="185"/>
      <c r="C130" s="185"/>
      <c r="D130" s="126"/>
    </row>
    <row r="131" ht="12.75" customHeight="1">
      <c r="B131" s="185"/>
      <c r="C131" s="185"/>
      <c r="D131" s="126"/>
    </row>
    <row r="132" ht="12.75" customHeight="1">
      <c r="B132" s="185"/>
      <c r="C132" s="185"/>
      <c r="D132" s="126"/>
    </row>
    <row r="133" ht="12.75" customHeight="1">
      <c r="B133" s="185"/>
      <c r="C133" s="185"/>
      <c r="D133" s="126"/>
    </row>
    <row r="134" ht="12.75" customHeight="1">
      <c r="B134" s="185"/>
      <c r="C134" s="185"/>
      <c r="D134" s="126"/>
    </row>
    <row r="135" ht="12.75" customHeight="1">
      <c r="B135" s="185"/>
      <c r="C135" s="185"/>
      <c r="D135" s="126"/>
    </row>
    <row r="136" ht="12.75" customHeight="1">
      <c r="B136" s="185"/>
      <c r="C136" s="185"/>
      <c r="D136" s="126"/>
    </row>
    <row r="137" ht="12.75" customHeight="1">
      <c r="B137" s="185"/>
      <c r="C137" s="185"/>
      <c r="D137" s="126"/>
    </row>
    <row r="138" ht="12.75" customHeight="1">
      <c r="B138" s="185"/>
      <c r="C138" s="185"/>
      <c r="D138" s="126"/>
    </row>
    <row r="139" ht="12.75" customHeight="1">
      <c r="B139" s="185"/>
      <c r="C139" s="185"/>
      <c r="D139" s="126"/>
    </row>
    <row r="140" ht="12.75" customHeight="1">
      <c r="B140" s="185"/>
      <c r="C140" s="185"/>
      <c r="D140" s="126"/>
    </row>
    <row r="141" ht="12.75" customHeight="1">
      <c r="B141" s="185"/>
      <c r="C141" s="185"/>
      <c r="D141" s="126"/>
    </row>
    <row r="142" ht="12.75" customHeight="1">
      <c r="B142" s="185"/>
      <c r="C142" s="185"/>
      <c r="D142" s="126"/>
    </row>
    <row r="143" ht="12.75" customHeight="1">
      <c r="B143" s="185"/>
      <c r="C143" s="185"/>
      <c r="D143" s="126"/>
    </row>
    <row r="144" ht="12.75" customHeight="1">
      <c r="B144" s="185"/>
      <c r="C144" s="185"/>
      <c r="D144" s="126"/>
    </row>
    <row r="145" ht="12.75" customHeight="1">
      <c r="B145" s="185"/>
      <c r="C145" s="185"/>
      <c r="D145" s="126"/>
    </row>
    <row r="146" ht="12.75" customHeight="1">
      <c r="B146" s="185"/>
      <c r="C146" s="185"/>
      <c r="D146" s="126"/>
    </row>
    <row r="147" ht="12.75" customHeight="1">
      <c r="B147" s="185"/>
      <c r="C147" s="185"/>
      <c r="D147" s="126"/>
    </row>
    <row r="148" ht="12.75" customHeight="1">
      <c r="B148" s="185"/>
      <c r="C148" s="185"/>
      <c r="D148" s="126"/>
    </row>
    <row r="149" ht="12.75" customHeight="1">
      <c r="B149" s="185"/>
      <c r="C149" s="185"/>
      <c r="D149" s="126"/>
    </row>
    <row r="150" ht="12.75" customHeight="1">
      <c r="B150" s="185"/>
      <c r="C150" s="185"/>
      <c r="D150" s="126"/>
    </row>
    <row r="151" ht="12.75" customHeight="1">
      <c r="B151" s="185"/>
      <c r="C151" s="185"/>
      <c r="D151" s="126"/>
    </row>
    <row r="152" ht="12.75" customHeight="1">
      <c r="B152" s="185"/>
      <c r="C152" s="185"/>
      <c r="D152" s="126"/>
    </row>
    <row r="153" ht="12.75" customHeight="1">
      <c r="B153" s="185"/>
      <c r="C153" s="185"/>
      <c r="D153" s="126"/>
    </row>
    <row r="154" ht="12.75" customHeight="1">
      <c r="B154" s="185"/>
      <c r="C154" s="185"/>
      <c r="D154" s="126"/>
    </row>
    <row r="155" ht="12.75" customHeight="1">
      <c r="B155" s="185"/>
      <c r="C155" s="185"/>
      <c r="D155" s="126"/>
    </row>
    <row r="156" ht="12.75" customHeight="1">
      <c r="B156" s="185"/>
      <c r="C156" s="185"/>
      <c r="D156" s="126"/>
    </row>
    <row r="157" ht="12.75" customHeight="1">
      <c r="B157" s="185"/>
      <c r="C157" s="185"/>
      <c r="D157" s="126"/>
    </row>
    <row r="158" ht="12.75" customHeight="1">
      <c r="B158" s="185"/>
      <c r="C158" s="185"/>
      <c r="D158" s="126"/>
    </row>
    <row r="159" ht="12.75" customHeight="1">
      <c r="B159" s="185"/>
      <c r="C159" s="185"/>
      <c r="D159" s="126"/>
    </row>
    <row r="160" ht="12.75" customHeight="1">
      <c r="B160" s="185"/>
      <c r="C160" s="185"/>
      <c r="D160" s="126"/>
    </row>
    <row r="161" ht="12.75" customHeight="1">
      <c r="B161" s="185"/>
      <c r="C161" s="185"/>
      <c r="D161" s="126"/>
    </row>
    <row r="162" ht="12.75" customHeight="1">
      <c r="B162" s="185"/>
      <c r="C162" s="185"/>
      <c r="D162" s="126"/>
    </row>
    <row r="163" ht="12.75" customHeight="1">
      <c r="B163" s="185"/>
      <c r="C163" s="185"/>
      <c r="D163" s="126"/>
    </row>
    <row r="164" ht="12.75" customHeight="1">
      <c r="B164" s="185"/>
      <c r="C164" s="185"/>
      <c r="D164" s="126"/>
    </row>
    <row r="165" ht="12.75" customHeight="1">
      <c r="B165" s="185"/>
      <c r="C165" s="185"/>
      <c r="D165" s="126"/>
    </row>
    <row r="166" ht="12.75" customHeight="1">
      <c r="B166" s="185"/>
      <c r="C166" s="185"/>
      <c r="D166" s="126"/>
    </row>
    <row r="167" ht="12.75" customHeight="1">
      <c r="B167" s="185"/>
      <c r="C167" s="185"/>
      <c r="D167" s="126"/>
    </row>
    <row r="168" ht="12.75" customHeight="1">
      <c r="B168" s="185"/>
      <c r="C168" s="185"/>
      <c r="D168" s="126"/>
    </row>
    <row r="169" ht="12.75" customHeight="1">
      <c r="B169" s="185"/>
      <c r="C169" s="185"/>
      <c r="D169" s="126"/>
    </row>
    <row r="170" ht="12.75" customHeight="1">
      <c r="B170" s="185"/>
      <c r="C170" s="185"/>
      <c r="D170" s="126"/>
    </row>
    <row r="171" ht="12.75" customHeight="1">
      <c r="B171" s="185"/>
      <c r="C171" s="185"/>
      <c r="D171" s="126"/>
    </row>
    <row r="172" ht="12.75" customHeight="1">
      <c r="B172" s="185"/>
      <c r="C172" s="185"/>
      <c r="D172" s="126"/>
    </row>
    <row r="173" ht="12.75" customHeight="1">
      <c r="B173" s="185"/>
      <c r="C173" s="185"/>
      <c r="D173" s="126"/>
    </row>
    <row r="174" ht="12.75" customHeight="1">
      <c r="B174" s="185"/>
      <c r="C174" s="185"/>
      <c r="D174" s="126"/>
    </row>
    <row r="175" ht="12.75" customHeight="1">
      <c r="B175" s="185"/>
      <c r="C175" s="185"/>
      <c r="D175" s="126"/>
    </row>
    <row r="176" ht="12.75" customHeight="1">
      <c r="B176" s="185"/>
      <c r="C176" s="185"/>
      <c r="D176" s="126"/>
    </row>
    <row r="177" ht="12.75" customHeight="1">
      <c r="B177" s="185"/>
      <c r="C177" s="185"/>
      <c r="D177" s="126"/>
    </row>
    <row r="178" ht="12.75" customHeight="1">
      <c r="B178" s="185"/>
      <c r="C178" s="185"/>
      <c r="D178" s="126"/>
    </row>
    <row r="179" ht="12.75" customHeight="1">
      <c r="B179" s="185"/>
      <c r="C179" s="185"/>
      <c r="D179" s="126"/>
    </row>
    <row r="180" ht="12.75" customHeight="1">
      <c r="B180" s="185"/>
      <c r="C180" s="185"/>
      <c r="D180" s="126"/>
    </row>
    <row r="181" ht="12.75" customHeight="1">
      <c r="B181" s="185"/>
      <c r="C181" s="185"/>
      <c r="D181" s="126"/>
    </row>
    <row r="182" ht="12.75" customHeight="1">
      <c r="B182" s="185"/>
      <c r="C182" s="185"/>
      <c r="D182" s="126"/>
    </row>
    <row r="183" ht="12.75" customHeight="1">
      <c r="B183" s="185"/>
      <c r="C183" s="185"/>
      <c r="D183" s="126"/>
    </row>
    <row r="184" ht="12.75" customHeight="1">
      <c r="B184" s="185"/>
      <c r="C184" s="185"/>
      <c r="D184" s="126"/>
    </row>
    <row r="185" ht="12.75" customHeight="1">
      <c r="B185" s="185"/>
      <c r="C185" s="185"/>
      <c r="D185" s="126"/>
    </row>
    <row r="186" ht="12.75" customHeight="1">
      <c r="B186" s="185"/>
      <c r="C186" s="185"/>
      <c r="D186" s="126"/>
    </row>
    <row r="187" ht="12.75" customHeight="1">
      <c r="B187" s="185"/>
      <c r="C187" s="185"/>
      <c r="D187" s="126"/>
    </row>
    <row r="188" ht="12.75" customHeight="1">
      <c r="B188" s="185"/>
      <c r="C188" s="185"/>
      <c r="D188" s="126"/>
    </row>
    <row r="189" ht="12.75" customHeight="1">
      <c r="B189" s="185"/>
      <c r="C189" s="185"/>
      <c r="D189" s="126"/>
    </row>
    <row r="190" ht="12.75" customHeight="1">
      <c r="B190" s="185"/>
      <c r="C190" s="185"/>
      <c r="D190" s="126"/>
    </row>
    <row r="191" ht="12.75" customHeight="1">
      <c r="B191" s="185"/>
      <c r="C191" s="185"/>
      <c r="D191" s="126"/>
    </row>
    <row r="192" ht="12.75" customHeight="1">
      <c r="B192" s="185"/>
      <c r="C192" s="185"/>
      <c r="D192" s="126"/>
    </row>
    <row r="193" ht="12.75" customHeight="1">
      <c r="B193" s="185"/>
      <c r="C193" s="185"/>
      <c r="D193" s="126"/>
    </row>
    <row r="194" ht="12.75" customHeight="1">
      <c r="B194" s="185"/>
      <c r="C194" s="185"/>
      <c r="D194" s="126"/>
    </row>
    <row r="195" ht="12.75" customHeight="1">
      <c r="B195" s="185"/>
      <c r="C195" s="185"/>
      <c r="D195" s="126"/>
    </row>
    <row r="196" ht="12.75" customHeight="1">
      <c r="B196" s="185"/>
      <c r="C196" s="185"/>
      <c r="D196" s="126"/>
    </row>
    <row r="197" ht="12.75" customHeight="1">
      <c r="B197" s="185"/>
      <c r="C197" s="185"/>
      <c r="D197" s="126"/>
    </row>
    <row r="198" ht="12.75" customHeight="1">
      <c r="B198" s="185"/>
      <c r="C198" s="185"/>
      <c r="D198" s="126"/>
    </row>
    <row r="199" ht="12.75" customHeight="1">
      <c r="B199" s="185"/>
      <c r="C199" s="185"/>
      <c r="D199" s="126"/>
    </row>
    <row r="200" ht="12.75" customHeight="1">
      <c r="B200" s="185"/>
      <c r="C200" s="185"/>
      <c r="D200" s="126"/>
    </row>
    <row r="201" ht="12.75" customHeight="1">
      <c r="B201" s="185"/>
      <c r="C201" s="185"/>
      <c r="D201" s="126"/>
    </row>
    <row r="202" ht="12.75" customHeight="1">
      <c r="B202" s="185"/>
      <c r="C202" s="185"/>
      <c r="D202" s="126"/>
    </row>
    <row r="203" ht="12.75" customHeight="1">
      <c r="B203" s="185"/>
      <c r="C203" s="185"/>
      <c r="D203" s="126"/>
    </row>
    <row r="204" ht="12.75" customHeight="1">
      <c r="B204" s="185"/>
      <c r="C204" s="185"/>
      <c r="D204" s="126"/>
    </row>
    <row r="205" ht="12.75" customHeight="1">
      <c r="B205" s="185"/>
      <c r="C205" s="185"/>
      <c r="D205" s="126"/>
    </row>
    <row r="206" ht="12.75" customHeight="1">
      <c r="B206" s="185"/>
      <c r="C206" s="185"/>
      <c r="D206" s="126"/>
    </row>
    <row r="207" ht="12.75" customHeight="1">
      <c r="B207" s="185"/>
      <c r="C207" s="185"/>
      <c r="D207" s="126"/>
    </row>
    <row r="208" ht="12.75" customHeight="1">
      <c r="B208" s="185"/>
      <c r="C208" s="185"/>
      <c r="D208" s="126"/>
    </row>
    <row r="209" ht="12.75" customHeight="1">
      <c r="B209" s="185"/>
      <c r="C209" s="185"/>
      <c r="D209" s="126"/>
    </row>
    <row r="210" ht="12.75" customHeight="1">
      <c r="B210" s="185"/>
      <c r="C210" s="185"/>
      <c r="D210" s="126"/>
    </row>
    <row r="211" ht="12.75" customHeight="1">
      <c r="B211" s="185"/>
      <c r="C211" s="185"/>
      <c r="D211" s="126"/>
    </row>
    <row r="212" ht="12.75" customHeight="1">
      <c r="B212" s="185"/>
      <c r="C212" s="185"/>
      <c r="D212" s="126"/>
    </row>
    <row r="213" ht="12.75" customHeight="1">
      <c r="B213" s="185"/>
      <c r="C213" s="185"/>
      <c r="D213" s="126"/>
    </row>
    <row r="214" ht="12.75" customHeight="1">
      <c r="B214" s="185"/>
      <c r="C214" s="185"/>
      <c r="D214" s="126"/>
    </row>
    <row r="215" ht="12.75" customHeight="1">
      <c r="B215" s="185"/>
      <c r="C215" s="185"/>
      <c r="D215" s="126"/>
    </row>
    <row r="216" ht="12.75" customHeight="1">
      <c r="B216" s="185"/>
      <c r="C216" s="185"/>
      <c r="D216" s="126"/>
    </row>
    <row r="217" ht="12.75" customHeight="1">
      <c r="B217" s="185"/>
      <c r="C217" s="185"/>
      <c r="D217" s="126"/>
    </row>
    <row r="218" ht="12.75" customHeight="1">
      <c r="B218" s="185"/>
      <c r="C218" s="185"/>
      <c r="D218" s="126"/>
    </row>
    <row r="219" ht="12.75" customHeight="1">
      <c r="B219" s="185"/>
      <c r="C219" s="185"/>
      <c r="D219" s="126"/>
    </row>
    <row r="220" ht="12.75" customHeight="1">
      <c r="B220" s="185"/>
      <c r="C220" s="185"/>
      <c r="D220" s="126"/>
    </row>
    <row r="221" ht="12.75" customHeight="1">
      <c r="B221" s="185"/>
      <c r="C221" s="185"/>
      <c r="D221" s="126"/>
    </row>
    <row r="222" ht="12.75" customHeight="1">
      <c r="B222" s="185"/>
      <c r="C222" s="185"/>
      <c r="D222" s="126"/>
    </row>
    <row r="223" ht="12.75" customHeight="1">
      <c r="B223" s="185"/>
      <c r="C223" s="185"/>
      <c r="D223" s="126"/>
    </row>
    <row r="224" ht="12.75" customHeight="1">
      <c r="B224" s="185"/>
      <c r="C224" s="185"/>
      <c r="D224" s="126"/>
    </row>
    <row r="225" ht="12.75" customHeight="1">
      <c r="B225" s="185"/>
      <c r="C225" s="185"/>
      <c r="D225" s="126"/>
    </row>
    <row r="226" ht="12.75" customHeight="1">
      <c r="B226" s="185"/>
      <c r="C226" s="185"/>
      <c r="D226" s="126"/>
    </row>
    <row r="227" ht="12.75" customHeight="1">
      <c r="B227" s="185"/>
      <c r="C227" s="185"/>
      <c r="D227" s="126"/>
    </row>
    <row r="228" ht="12.75" customHeight="1">
      <c r="B228" s="185"/>
      <c r="C228" s="185"/>
      <c r="D228" s="126"/>
    </row>
    <row r="229" ht="12.75" customHeight="1">
      <c r="B229" s="185"/>
      <c r="C229" s="185"/>
      <c r="D229" s="126"/>
    </row>
    <row r="230" ht="12.75" customHeight="1">
      <c r="B230" s="185"/>
      <c r="C230" s="185"/>
      <c r="D230" s="126"/>
    </row>
    <row r="231" ht="12.75" customHeight="1">
      <c r="B231" s="185"/>
      <c r="C231" s="185"/>
      <c r="D231" s="126"/>
    </row>
    <row r="232" ht="12.75" customHeight="1">
      <c r="B232" s="185"/>
      <c r="C232" s="185"/>
      <c r="D232" s="126"/>
    </row>
    <row r="233" ht="12.75" customHeight="1">
      <c r="B233" s="185"/>
      <c r="C233" s="185"/>
      <c r="D233" s="126"/>
    </row>
    <row r="234" ht="12.75" customHeight="1">
      <c r="B234" s="185"/>
      <c r="C234" s="185"/>
      <c r="D234" s="126"/>
    </row>
    <row r="235" ht="12.75" customHeight="1">
      <c r="B235" s="185"/>
      <c r="C235" s="185"/>
      <c r="D235" s="126"/>
    </row>
    <row r="236" ht="12.75" customHeight="1">
      <c r="B236" s="185"/>
      <c r="C236" s="185"/>
      <c r="D236" s="126"/>
    </row>
    <row r="237" ht="12.75" customHeight="1">
      <c r="B237" s="185"/>
      <c r="C237" s="185"/>
      <c r="D237" s="126"/>
    </row>
    <row r="238" ht="12.75" customHeight="1">
      <c r="B238" s="185"/>
      <c r="C238" s="185"/>
      <c r="D238" s="126"/>
    </row>
    <row r="239" ht="12.75" customHeight="1">
      <c r="B239" s="185"/>
      <c r="C239" s="185"/>
      <c r="D239" s="126"/>
    </row>
    <row r="240" ht="12.75" customHeight="1">
      <c r="B240" s="185"/>
      <c r="C240" s="185"/>
      <c r="D240" s="126"/>
    </row>
    <row r="241" ht="12.75" customHeight="1">
      <c r="B241" s="185"/>
      <c r="C241" s="185"/>
      <c r="D241" s="126"/>
    </row>
    <row r="242" ht="12.75" customHeight="1">
      <c r="B242" s="185"/>
      <c r="C242" s="185"/>
      <c r="D242" s="126"/>
    </row>
    <row r="243" ht="12.75" customHeight="1">
      <c r="B243" s="185"/>
      <c r="C243" s="185"/>
      <c r="D243" s="126"/>
    </row>
    <row r="244" ht="12.75" customHeight="1">
      <c r="B244" s="185"/>
      <c r="C244" s="185"/>
      <c r="D244" s="126"/>
    </row>
    <row r="245" ht="12.75" customHeight="1">
      <c r="B245" s="185"/>
      <c r="C245" s="185"/>
      <c r="D245" s="126"/>
    </row>
    <row r="246" ht="12.75" customHeight="1">
      <c r="B246" s="185"/>
      <c r="C246" s="185"/>
      <c r="D246" s="126"/>
    </row>
    <row r="247" ht="12.75" customHeight="1">
      <c r="B247" s="185"/>
      <c r="C247" s="185"/>
      <c r="D247" s="126"/>
    </row>
    <row r="248" ht="12.75" customHeight="1">
      <c r="B248" s="185"/>
      <c r="C248" s="185"/>
      <c r="D248" s="126"/>
    </row>
    <row r="249" ht="12.75" customHeight="1">
      <c r="B249" s="185"/>
      <c r="C249" s="185"/>
      <c r="D249" s="126"/>
    </row>
    <row r="250" ht="12.75" customHeight="1">
      <c r="B250" s="185"/>
      <c r="C250" s="185"/>
      <c r="D250" s="126"/>
    </row>
    <row r="251" ht="12.75" customHeight="1">
      <c r="B251" s="185"/>
      <c r="C251" s="185"/>
      <c r="D251" s="126"/>
    </row>
    <row r="252" ht="12.75" customHeight="1">
      <c r="B252" s="185"/>
      <c r="C252" s="185"/>
    </row>
    <row r="253" ht="12.75" customHeight="1">
      <c r="B253" s="185"/>
      <c r="C253" s="185"/>
    </row>
    <row r="254" ht="12.75" customHeight="1">
      <c r="B254" s="185"/>
      <c r="C254" s="185"/>
    </row>
    <row r="255" ht="12.75" customHeight="1">
      <c r="B255" s="185"/>
      <c r="C255" s="185"/>
    </row>
    <row r="256" ht="12.75" customHeight="1">
      <c r="B256" s="185"/>
      <c r="C256" s="185"/>
    </row>
    <row r="257" ht="12.75" customHeight="1">
      <c r="B257" s="185"/>
      <c r="C257" s="185"/>
    </row>
    <row r="258" ht="12.75" customHeight="1">
      <c r="B258" s="185"/>
      <c r="C258" s="185"/>
    </row>
    <row r="259" ht="12.75" customHeight="1">
      <c r="B259" s="185"/>
      <c r="C259" s="185"/>
    </row>
    <row r="260" ht="12.75" customHeight="1">
      <c r="B260" s="185"/>
      <c r="C260" s="185"/>
    </row>
    <row r="261" ht="12.75" customHeight="1">
      <c r="B261" s="185"/>
      <c r="C261" s="185"/>
    </row>
    <row r="262" ht="12.75" customHeight="1">
      <c r="B262" s="185"/>
      <c r="C262" s="185"/>
    </row>
    <row r="263" ht="12.75" customHeight="1">
      <c r="B263" s="185"/>
      <c r="C263" s="185"/>
    </row>
    <row r="264" ht="12.75" customHeight="1">
      <c r="B264" s="185"/>
      <c r="C264" s="185"/>
    </row>
    <row r="265" ht="12.75" customHeight="1">
      <c r="B265" s="185"/>
      <c r="C265" s="185"/>
    </row>
    <row r="266" ht="12.75" customHeight="1">
      <c r="B266" s="185"/>
      <c r="C266" s="185"/>
    </row>
    <row r="267" ht="12.75" customHeight="1">
      <c r="B267" s="185"/>
      <c r="C267" s="185"/>
    </row>
    <row r="268" ht="12.75" customHeight="1">
      <c r="B268" s="185"/>
      <c r="C268" s="185"/>
    </row>
    <row r="269" ht="12.75" customHeight="1">
      <c r="B269" s="185"/>
      <c r="C269" s="185"/>
    </row>
    <row r="270" ht="12.75" customHeight="1">
      <c r="B270" s="185"/>
      <c r="C270" s="185"/>
    </row>
    <row r="271" ht="12.75" customHeight="1">
      <c r="B271" s="185"/>
      <c r="C271" s="185"/>
    </row>
    <row r="272" ht="12.75" customHeight="1">
      <c r="B272" s="185"/>
      <c r="C272" s="185"/>
    </row>
    <row r="273" ht="12.75" customHeight="1">
      <c r="B273" s="185"/>
      <c r="C273" s="185"/>
    </row>
    <row r="274" ht="12.75" customHeight="1">
      <c r="B274" s="185"/>
      <c r="C274" s="185"/>
    </row>
    <row r="275" ht="12.75" customHeight="1">
      <c r="B275" s="185"/>
      <c r="C275" s="185"/>
    </row>
    <row r="276" ht="12.75" customHeight="1">
      <c r="B276" s="185"/>
      <c r="C276" s="185"/>
    </row>
    <row r="277" ht="12.75" customHeight="1">
      <c r="B277" s="185"/>
      <c r="C277" s="185"/>
    </row>
    <row r="278" ht="12.75" customHeight="1">
      <c r="B278" s="185"/>
      <c r="C278" s="185"/>
    </row>
    <row r="279" ht="12.75" customHeight="1">
      <c r="B279" s="185"/>
      <c r="C279" s="185"/>
    </row>
    <row r="280" ht="12.75" customHeight="1">
      <c r="B280" s="185"/>
      <c r="C280" s="185"/>
    </row>
    <row r="281" ht="12.75" customHeight="1">
      <c r="B281" s="185"/>
      <c r="C281" s="185"/>
    </row>
    <row r="282" ht="12.75" customHeight="1">
      <c r="B282" s="185"/>
      <c r="C282" s="185"/>
    </row>
    <row r="283" ht="12.75" customHeight="1">
      <c r="B283" s="185"/>
      <c r="C283" s="185"/>
    </row>
    <row r="284" ht="12.75" customHeight="1">
      <c r="B284" s="185"/>
      <c r="C284" s="185"/>
    </row>
    <row r="285" ht="12.75" customHeight="1">
      <c r="B285" s="185"/>
      <c r="C285" s="185"/>
    </row>
    <row r="286" ht="12.75" customHeight="1">
      <c r="B286" s="185"/>
      <c r="C286" s="185"/>
    </row>
    <row r="287" ht="12.75" customHeight="1">
      <c r="B287" s="185"/>
      <c r="C287" s="185"/>
    </row>
    <row r="288" ht="12.75" customHeight="1">
      <c r="B288" s="185"/>
      <c r="C288" s="185"/>
    </row>
    <row r="289" ht="12.75" customHeight="1">
      <c r="B289" s="185"/>
      <c r="C289" s="185"/>
    </row>
    <row r="290" ht="12.75" customHeight="1">
      <c r="B290" s="185"/>
      <c r="C290" s="185"/>
    </row>
    <row r="291" ht="12.75" customHeight="1">
      <c r="B291" s="185"/>
      <c r="C291" s="185"/>
    </row>
    <row r="292" ht="12.75" customHeight="1">
      <c r="B292" s="185"/>
      <c r="C292" s="185"/>
    </row>
    <row r="293" ht="12.75" customHeight="1">
      <c r="B293" s="185"/>
      <c r="C293" s="185"/>
    </row>
    <row r="294" ht="12.75" customHeight="1">
      <c r="B294" s="185"/>
      <c r="C294" s="185"/>
    </row>
    <row r="295" ht="12.75" customHeight="1">
      <c r="B295" s="185"/>
      <c r="C295" s="185"/>
    </row>
    <row r="296" ht="12.75" customHeight="1">
      <c r="B296" s="185"/>
      <c r="C296" s="185"/>
    </row>
    <row r="297" ht="12.75" customHeight="1">
      <c r="B297" s="185"/>
      <c r="C297" s="185"/>
    </row>
    <row r="298" ht="12.75" customHeight="1">
      <c r="B298" s="185"/>
      <c r="C298" s="185"/>
    </row>
    <row r="299" ht="12.75" customHeight="1">
      <c r="B299" s="185"/>
      <c r="C299" s="185"/>
    </row>
    <row r="300" ht="12.75" customHeight="1">
      <c r="B300" s="185"/>
      <c r="C300" s="185"/>
    </row>
    <row r="301" ht="12.75" customHeight="1">
      <c r="B301" s="185"/>
      <c r="C301" s="185"/>
    </row>
    <row r="302" ht="12.75" customHeight="1">
      <c r="B302" s="185"/>
      <c r="C302" s="185"/>
    </row>
    <row r="303" ht="12.75" customHeight="1">
      <c r="B303" s="185"/>
      <c r="C303" s="185"/>
    </row>
    <row r="304" ht="12.75" customHeight="1">
      <c r="B304" s="185"/>
      <c r="C304" s="185"/>
    </row>
    <row r="305" ht="12.75" customHeight="1">
      <c r="B305" s="185"/>
      <c r="C305" s="185"/>
    </row>
    <row r="306" ht="12.75" customHeight="1">
      <c r="B306" s="185"/>
      <c r="C306" s="185"/>
    </row>
    <row r="307" ht="12.75" customHeight="1">
      <c r="B307" s="185"/>
      <c r="C307" s="185"/>
    </row>
    <row r="308" ht="12.75" customHeight="1">
      <c r="B308" s="185"/>
      <c r="C308" s="185"/>
    </row>
    <row r="309" ht="12.75" customHeight="1">
      <c r="B309" s="185"/>
      <c r="C309" s="185"/>
    </row>
    <row r="310" ht="12.75" customHeight="1">
      <c r="B310" s="185"/>
      <c r="C310" s="185"/>
    </row>
    <row r="311" ht="12.75" customHeight="1">
      <c r="B311" s="185"/>
      <c r="C311" s="185"/>
    </row>
    <row r="312" ht="12.75" customHeight="1">
      <c r="B312" s="185"/>
      <c r="C312" s="185"/>
    </row>
    <row r="313" ht="12.75" customHeight="1">
      <c r="B313" s="185"/>
      <c r="C313" s="185"/>
    </row>
    <row r="314" ht="12.75" customHeight="1">
      <c r="B314" s="185"/>
      <c r="C314" s="185"/>
    </row>
    <row r="315" ht="12.75" customHeight="1">
      <c r="B315" s="185"/>
      <c r="C315" s="185"/>
    </row>
    <row r="316" ht="12.75" customHeight="1">
      <c r="B316" s="185"/>
      <c r="C316" s="185"/>
    </row>
    <row r="317" ht="12.75" customHeight="1">
      <c r="B317" s="185"/>
      <c r="C317" s="185"/>
    </row>
    <row r="318" ht="12.75" customHeight="1">
      <c r="B318" s="185"/>
      <c r="C318" s="185"/>
    </row>
    <row r="319" ht="12.75" customHeight="1">
      <c r="B319" s="185"/>
      <c r="C319" s="185"/>
    </row>
    <row r="320" ht="12.75" customHeight="1">
      <c r="B320" s="185"/>
      <c r="C320" s="185"/>
    </row>
    <row r="321" ht="12.75" customHeight="1">
      <c r="B321" s="185"/>
      <c r="C321" s="185"/>
    </row>
    <row r="322" ht="12.75" customHeight="1">
      <c r="B322" s="185"/>
      <c r="C322" s="185"/>
    </row>
    <row r="323" ht="12.75" customHeight="1">
      <c r="B323" s="185"/>
      <c r="C323" s="185"/>
    </row>
    <row r="324" ht="12.75" customHeight="1">
      <c r="B324" s="185"/>
      <c r="C324" s="185"/>
    </row>
    <row r="325" ht="12.75" customHeight="1">
      <c r="B325" s="185"/>
      <c r="C325" s="185"/>
    </row>
    <row r="326" ht="12.75" customHeight="1">
      <c r="B326" s="185"/>
      <c r="C326" s="185"/>
    </row>
    <row r="327" ht="12.75" customHeight="1">
      <c r="B327" s="185"/>
      <c r="C327" s="185"/>
    </row>
    <row r="328" ht="12.75" customHeight="1">
      <c r="B328" s="185"/>
      <c r="C328" s="185"/>
    </row>
    <row r="329" ht="12.75" customHeight="1">
      <c r="B329" s="185"/>
      <c r="C329" s="185"/>
    </row>
    <row r="330" ht="12.75" customHeight="1">
      <c r="B330" s="185"/>
      <c r="C330" s="185"/>
    </row>
    <row r="331" ht="12.75" customHeight="1">
      <c r="B331" s="185"/>
      <c r="C331" s="185"/>
    </row>
    <row r="332" ht="12.75" customHeight="1">
      <c r="B332" s="185"/>
      <c r="C332" s="185"/>
    </row>
    <row r="333" ht="12.75" customHeight="1">
      <c r="B333" s="185"/>
      <c r="C333" s="185"/>
    </row>
    <row r="334" ht="12.75" customHeight="1">
      <c r="B334" s="185"/>
      <c r="C334" s="185"/>
    </row>
    <row r="335" ht="12.75" customHeight="1">
      <c r="B335" s="185"/>
      <c r="C335" s="185"/>
    </row>
    <row r="336" ht="12.75" customHeight="1">
      <c r="B336" s="185"/>
      <c r="C336" s="185"/>
    </row>
    <row r="337" ht="12.75" customHeight="1">
      <c r="B337" s="185"/>
      <c r="C337" s="185"/>
    </row>
    <row r="338" ht="12.75" customHeight="1">
      <c r="B338" s="185"/>
      <c r="C338" s="185"/>
    </row>
    <row r="339" ht="12.75" customHeight="1">
      <c r="B339" s="185"/>
      <c r="C339" s="185"/>
    </row>
    <row r="340" ht="12.75" customHeight="1">
      <c r="B340" s="185"/>
      <c r="C340" s="185"/>
    </row>
    <row r="341" ht="12.75" customHeight="1">
      <c r="B341" s="185"/>
      <c r="C341" s="185"/>
    </row>
    <row r="342" ht="12.75" customHeight="1">
      <c r="B342" s="185"/>
      <c r="C342" s="185"/>
    </row>
    <row r="343" ht="12.75" customHeight="1">
      <c r="B343" s="185"/>
      <c r="C343" s="185"/>
    </row>
    <row r="344" ht="12.75" customHeight="1">
      <c r="B344" s="185"/>
      <c r="C344" s="185"/>
    </row>
    <row r="345" ht="12.75" customHeight="1">
      <c r="B345" s="185"/>
      <c r="C345" s="185"/>
    </row>
    <row r="346" ht="12.75" customHeight="1">
      <c r="B346" s="185"/>
      <c r="C346" s="185"/>
    </row>
    <row r="347" ht="12.75" customHeight="1">
      <c r="B347" s="185"/>
      <c r="C347" s="185"/>
    </row>
    <row r="348" ht="12.75" customHeight="1">
      <c r="B348" s="185"/>
      <c r="C348" s="185"/>
    </row>
    <row r="349" ht="12.75" customHeight="1">
      <c r="B349" s="185"/>
      <c r="C349" s="185"/>
    </row>
    <row r="350" ht="12.75" customHeight="1">
      <c r="B350" s="185"/>
      <c r="C350" s="185"/>
    </row>
    <row r="351" ht="12.75" customHeight="1">
      <c r="B351" s="185"/>
      <c r="C351" s="185"/>
    </row>
    <row r="352" ht="12.75" customHeight="1">
      <c r="B352" s="185"/>
      <c r="C352" s="185"/>
    </row>
    <row r="353" ht="12.75" customHeight="1">
      <c r="B353" s="185"/>
      <c r="C353" s="185"/>
    </row>
    <row r="354" ht="12.75" customHeight="1">
      <c r="B354" s="185"/>
      <c r="C354" s="185"/>
    </row>
    <row r="355" ht="12.75" customHeight="1">
      <c r="B355" s="185"/>
      <c r="C355" s="185"/>
    </row>
    <row r="356" ht="12.75" customHeight="1">
      <c r="B356" s="185"/>
      <c r="C356" s="185"/>
    </row>
    <row r="357" ht="12.75" customHeight="1">
      <c r="B357" s="185"/>
      <c r="C357" s="185"/>
    </row>
    <row r="358" ht="12.75" customHeight="1">
      <c r="B358" s="185"/>
      <c r="C358" s="185"/>
    </row>
    <row r="359" ht="12.75" customHeight="1">
      <c r="B359" s="185"/>
      <c r="C359" s="185"/>
    </row>
    <row r="360" ht="12.75" customHeight="1">
      <c r="B360" s="185"/>
      <c r="C360" s="185"/>
    </row>
    <row r="361" ht="12.75" customHeight="1">
      <c r="B361" s="185"/>
      <c r="C361" s="185"/>
    </row>
    <row r="362" ht="12.75" customHeight="1">
      <c r="B362" s="185"/>
      <c r="C362" s="185"/>
    </row>
    <row r="363" ht="12.75" customHeight="1">
      <c r="B363" s="185"/>
      <c r="C363" s="185"/>
    </row>
    <row r="364" ht="12.75" customHeight="1">
      <c r="B364" s="185"/>
      <c r="C364" s="185"/>
    </row>
    <row r="365" ht="12.75" customHeight="1">
      <c r="B365" s="185"/>
      <c r="C365" s="185"/>
    </row>
    <row r="366" ht="12.75" customHeight="1">
      <c r="B366" s="185"/>
      <c r="C366" s="185"/>
    </row>
    <row r="367" ht="12.75" customHeight="1">
      <c r="B367" s="185"/>
      <c r="C367" s="185"/>
    </row>
    <row r="368" ht="12.75" customHeight="1">
      <c r="B368" s="185"/>
      <c r="C368" s="185"/>
    </row>
    <row r="369" ht="12.75" customHeight="1">
      <c r="B369" s="185"/>
      <c r="C369" s="185"/>
    </row>
    <row r="370" ht="12.75" customHeight="1">
      <c r="B370" s="185"/>
      <c r="C370" s="185"/>
    </row>
    <row r="371" ht="12.75" customHeight="1">
      <c r="B371" s="185"/>
      <c r="C371" s="185"/>
    </row>
    <row r="372" ht="12.75" customHeight="1">
      <c r="B372" s="185"/>
      <c r="C372" s="185"/>
    </row>
    <row r="373" ht="12.75" customHeight="1">
      <c r="B373" s="185"/>
      <c r="C373" s="185"/>
    </row>
    <row r="374" ht="12.75" customHeight="1">
      <c r="B374" s="185"/>
      <c r="C374" s="185"/>
    </row>
    <row r="375" ht="12.75" customHeight="1">
      <c r="B375" s="185"/>
      <c r="C375" s="185"/>
    </row>
    <row r="376" ht="12.75" customHeight="1">
      <c r="B376" s="185"/>
      <c r="C376" s="185"/>
    </row>
    <row r="377" ht="12.75" customHeight="1">
      <c r="B377" s="185"/>
      <c r="C377" s="185"/>
    </row>
    <row r="378" ht="12.75" customHeight="1">
      <c r="B378" s="185"/>
      <c r="C378" s="185"/>
    </row>
    <row r="379" ht="12.75" customHeight="1">
      <c r="B379" s="185"/>
      <c r="C379" s="185"/>
    </row>
    <row r="380" ht="12.75" customHeight="1">
      <c r="B380" s="185"/>
      <c r="C380" s="185"/>
    </row>
    <row r="381" ht="12.75" customHeight="1">
      <c r="B381" s="185"/>
      <c r="C381" s="185"/>
    </row>
    <row r="382" ht="12.75" customHeight="1">
      <c r="B382" s="185"/>
      <c r="C382" s="185"/>
    </row>
    <row r="383" ht="12.75" customHeight="1">
      <c r="B383" s="185"/>
      <c r="C383" s="185"/>
    </row>
    <row r="384" ht="12.75" customHeight="1">
      <c r="B384" s="185"/>
      <c r="C384" s="185"/>
    </row>
    <row r="385" ht="12.75" customHeight="1">
      <c r="B385" s="185"/>
      <c r="C385" s="185"/>
    </row>
    <row r="386" ht="12.75" customHeight="1">
      <c r="B386" s="185"/>
      <c r="C386" s="185"/>
    </row>
    <row r="387" ht="12.75" customHeight="1">
      <c r="B387" s="185"/>
      <c r="C387" s="185"/>
    </row>
    <row r="388" ht="12.75" customHeight="1">
      <c r="B388" s="185"/>
      <c r="C388" s="185"/>
    </row>
    <row r="389" ht="12.75" customHeight="1">
      <c r="B389" s="185"/>
      <c r="C389" s="185"/>
    </row>
    <row r="390" ht="12.75" customHeight="1">
      <c r="B390" s="185"/>
      <c r="C390" s="185"/>
    </row>
    <row r="391" ht="12.75" customHeight="1">
      <c r="B391" s="185"/>
      <c r="C391" s="185"/>
    </row>
    <row r="392" ht="12.75" customHeight="1">
      <c r="B392" s="185"/>
      <c r="C392" s="185"/>
    </row>
    <row r="393" ht="12.75" customHeight="1">
      <c r="B393" s="185"/>
      <c r="C393" s="185"/>
    </row>
    <row r="394" ht="12.75" customHeight="1">
      <c r="B394" s="185"/>
      <c r="C394" s="185"/>
    </row>
    <row r="395" ht="12.75" customHeight="1">
      <c r="B395" s="185"/>
      <c r="C395" s="185"/>
    </row>
    <row r="396" ht="12.75" customHeight="1">
      <c r="B396" s="185"/>
      <c r="C396" s="185"/>
    </row>
    <row r="397" ht="12.75" customHeight="1">
      <c r="B397" s="185"/>
      <c r="C397" s="185"/>
    </row>
    <row r="398" ht="12.75" customHeight="1">
      <c r="B398" s="185"/>
      <c r="C398" s="185"/>
    </row>
    <row r="399" ht="12.75" customHeight="1">
      <c r="B399" s="185"/>
      <c r="C399" s="185"/>
    </row>
    <row r="400" ht="12.75" customHeight="1">
      <c r="B400" s="185"/>
      <c r="C400" s="185"/>
    </row>
    <row r="401" ht="12.75" customHeight="1">
      <c r="B401" s="185"/>
      <c r="C401" s="185"/>
    </row>
    <row r="402" ht="12.75" customHeight="1">
      <c r="B402" s="185"/>
      <c r="C402" s="185"/>
    </row>
    <row r="403" ht="12.75" customHeight="1">
      <c r="B403" s="185"/>
      <c r="C403" s="185"/>
    </row>
    <row r="404" ht="12.75" customHeight="1">
      <c r="B404" s="185"/>
      <c r="C404" s="185"/>
    </row>
    <row r="405" ht="12.75" customHeight="1">
      <c r="B405" s="185"/>
      <c r="C405" s="185"/>
    </row>
    <row r="406" ht="12.75" customHeight="1">
      <c r="B406" s="185"/>
      <c r="C406" s="185"/>
    </row>
    <row r="407" ht="12.75" customHeight="1">
      <c r="B407" s="185"/>
      <c r="C407" s="185"/>
    </row>
    <row r="408" ht="12.75" customHeight="1">
      <c r="B408" s="185"/>
      <c r="C408" s="185"/>
    </row>
    <row r="409" ht="12.75" customHeight="1">
      <c r="B409" s="185"/>
      <c r="C409" s="185"/>
    </row>
    <row r="410" ht="12.75" customHeight="1">
      <c r="B410" s="185"/>
      <c r="C410" s="185"/>
    </row>
    <row r="411" ht="12.75" customHeight="1">
      <c r="B411" s="185"/>
      <c r="C411" s="185"/>
    </row>
    <row r="412" ht="12.75" customHeight="1">
      <c r="B412" s="185"/>
      <c r="C412" s="185"/>
    </row>
    <row r="413" ht="12.75" customHeight="1">
      <c r="B413" s="185"/>
      <c r="C413" s="185"/>
    </row>
    <row r="414" ht="12.75" customHeight="1">
      <c r="B414" s="185"/>
      <c r="C414" s="185"/>
    </row>
    <row r="415" ht="12.75" customHeight="1">
      <c r="B415" s="185"/>
      <c r="C415" s="185"/>
    </row>
    <row r="416" ht="12.75" customHeight="1">
      <c r="B416" s="185"/>
      <c r="C416" s="185"/>
    </row>
    <row r="417" ht="12.75" customHeight="1">
      <c r="B417" s="185"/>
      <c r="C417" s="185"/>
    </row>
    <row r="418" ht="12.75" customHeight="1">
      <c r="B418" s="185"/>
      <c r="C418" s="185"/>
    </row>
    <row r="419" ht="12.75" customHeight="1">
      <c r="B419" s="185"/>
      <c r="C419" s="185"/>
    </row>
    <row r="420" ht="12.75" customHeight="1">
      <c r="B420" s="185"/>
      <c r="C420" s="185"/>
    </row>
    <row r="421" ht="12.75" customHeight="1">
      <c r="B421" s="185"/>
      <c r="C421" s="185"/>
    </row>
    <row r="422" ht="12.75" customHeight="1">
      <c r="B422" s="185"/>
      <c r="C422" s="185"/>
    </row>
    <row r="423" ht="12.75" customHeight="1">
      <c r="B423" s="185"/>
      <c r="C423" s="185"/>
    </row>
    <row r="424" ht="12.75" customHeight="1">
      <c r="B424" s="185"/>
      <c r="C424" s="185"/>
    </row>
    <row r="425" ht="12.75" customHeight="1">
      <c r="B425" s="185"/>
      <c r="C425" s="185"/>
    </row>
    <row r="426" ht="12.75" customHeight="1">
      <c r="B426" s="185"/>
      <c r="C426" s="185"/>
    </row>
    <row r="427" ht="12.75" customHeight="1">
      <c r="B427" s="185"/>
      <c r="C427" s="185"/>
    </row>
    <row r="428" ht="12.75" customHeight="1">
      <c r="B428" s="185"/>
      <c r="C428" s="185"/>
    </row>
    <row r="429" ht="12.75" customHeight="1">
      <c r="B429" s="185"/>
      <c r="C429" s="185"/>
    </row>
    <row r="430" ht="12.75" customHeight="1">
      <c r="B430" s="185"/>
      <c r="C430" s="185"/>
    </row>
    <row r="431" ht="12.75" customHeight="1">
      <c r="B431" s="185"/>
      <c r="C431" s="185"/>
    </row>
    <row r="432" ht="12.75" customHeight="1">
      <c r="B432" s="185"/>
      <c r="C432" s="185"/>
    </row>
    <row r="433" ht="12.75" customHeight="1">
      <c r="B433" s="185"/>
      <c r="C433" s="185"/>
    </row>
    <row r="434" ht="12.75" customHeight="1">
      <c r="B434" s="185"/>
      <c r="C434" s="185"/>
    </row>
    <row r="435" ht="12.75" customHeight="1">
      <c r="B435" s="185"/>
      <c r="C435" s="185"/>
    </row>
    <row r="436" ht="12.75" customHeight="1">
      <c r="B436" s="185"/>
      <c r="C436" s="185"/>
    </row>
    <row r="437" ht="12.75" customHeight="1">
      <c r="B437" s="185"/>
      <c r="C437" s="185"/>
    </row>
    <row r="438" ht="12.75" customHeight="1">
      <c r="B438" s="185"/>
      <c r="C438" s="185"/>
    </row>
    <row r="439" ht="12.75" customHeight="1">
      <c r="B439" s="185"/>
      <c r="C439" s="185"/>
    </row>
    <row r="440" ht="12.75" customHeight="1">
      <c r="B440" s="185"/>
      <c r="C440" s="185"/>
    </row>
    <row r="441" ht="12.75" customHeight="1">
      <c r="B441" s="185"/>
      <c r="C441" s="185"/>
    </row>
    <row r="442" ht="12.75" customHeight="1">
      <c r="B442" s="185"/>
      <c r="C442" s="185"/>
    </row>
    <row r="443" ht="12.75" customHeight="1">
      <c r="B443" s="185"/>
      <c r="C443" s="185"/>
    </row>
    <row r="444" ht="12.75" customHeight="1">
      <c r="B444" s="185"/>
      <c r="C444" s="185"/>
    </row>
    <row r="445" ht="12.75" customHeight="1">
      <c r="B445" s="185"/>
      <c r="C445" s="185"/>
    </row>
    <row r="446" ht="12.75" customHeight="1">
      <c r="B446" s="185"/>
      <c r="C446" s="185"/>
    </row>
    <row r="447" ht="12.75" customHeight="1">
      <c r="B447" s="185"/>
      <c r="C447" s="185"/>
    </row>
    <row r="448" ht="12.75" customHeight="1">
      <c r="B448" s="185"/>
      <c r="C448" s="185"/>
    </row>
    <row r="449" ht="12.75" customHeight="1">
      <c r="B449" s="185"/>
      <c r="C449" s="185"/>
    </row>
    <row r="450" ht="12.75" customHeight="1">
      <c r="B450" s="185"/>
      <c r="C450" s="185"/>
    </row>
    <row r="451" ht="12.75" customHeight="1">
      <c r="B451" s="185"/>
      <c r="C451" s="185"/>
    </row>
    <row r="452" ht="12.75" customHeight="1">
      <c r="B452" s="185"/>
      <c r="C452" s="185"/>
    </row>
    <row r="453" ht="12.75" customHeight="1">
      <c r="B453" s="185"/>
      <c r="C453" s="185"/>
    </row>
    <row r="454" ht="12.75" customHeight="1">
      <c r="B454" s="185"/>
      <c r="C454" s="185"/>
    </row>
    <row r="455" ht="12.75" customHeight="1">
      <c r="B455" s="185"/>
      <c r="C455" s="185"/>
    </row>
    <row r="456" ht="12.75" customHeight="1">
      <c r="B456" s="185"/>
      <c r="C456" s="185"/>
    </row>
    <row r="457" ht="12.75" customHeight="1">
      <c r="B457" s="185"/>
      <c r="C457" s="185"/>
    </row>
    <row r="458" ht="12.75" customHeight="1">
      <c r="B458" s="185"/>
      <c r="C458" s="185"/>
    </row>
    <row r="459" ht="12.75" customHeight="1">
      <c r="B459" s="185"/>
      <c r="C459" s="185"/>
    </row>
    <row r="460" ht="12.75" customHeight="1">
      <c r="B460" s="185"/>
      <c r="C460" s="185"/>
    </row>
    <row r="461" ht="12.75" customHeight="1">
      <c r="B461" s="185"/>
      <c r="C461" s="185"/>
    </row>
    <row r="462" ht="12.75" customHeight="1">
      <c r="B462" s="185"/>
      <c r="C462" s="185"/>
    </row>
    <row r="463" ht="12.75" customHeight="1">
      <c r="B463" s="185"/>
      <c r="C463" s="185"/>
    </row>
    <row r="464" ht="12.75" customHeight="1">
      <c r="B464" s="185"/>
      <c r="C464" s="185"/>
    </row>
    <row r="465" ht="12.75" customHeight="1">
      <c r="B465" s="185"/>
      <c r="C465" s="185"/>
    </row>
    <row r="466" ht="12.75" customHeight="1">
      <c r="B466" s="185"/>
      <c r="C466" s="185"/>
    </row>
    <row r="467" ht="12.75" customHeight="1">
      <c r="B467" s="185"/>
      <c r="C467" s="185"/>
    </row>
    <row r="468" ht="12.75" customHeight="1">
      <c r="B468" s="185"/>
      <c r="C468" s="185"/>
    </row>
    <row r="469" ht="12.75" customHeight="1">
      <c r="B469" s="185"/>
      <c r="C469" s="185"/>
    </row>
    <row r="470" ht="12.75" customHeight="1">
      <c r="B470" s="185"/>
      <c r="C470" s="185"/>
    </row>
    <row r="471" ht="12.75" customHeight="1">
      <c r="B471" s="185"/>
      <c r="C471" s="185"/>
    </row>
    <row r="472" ht="12.75" customHeight="1">
      <c r="B472" s="185"/>
      <c r="C472" s="185"/>
    </row>
    <row r="473" ht="12.75" customHeight="1">
      <c r="B473" s="185"/>
      <c r="C473" s="185"/>
    </row>
    <row r="474" ht="12.75" customHeight="1">
      <c r="B474" s="185"/>
      <c r="C474" s="185"/>
    </row>
    <row r="475" ht="12.75" customHeight="1">
      <c r="B475" s="185"/>
      <c r="C475" s="185"/>
    </row>
    <row r="476" ht="12.75" customHeight="1">
      <c r="B476" s="185"/>
      <c r="C476" s="185"/>
    </row>
    <row r="477" ht="12.75" customHeight="1">
      <c r="B477" s="185"/>
      <c r="C477" s="185"/>
    </row>
    <row r="478" ht="12.75" customHeight="1">
      <c r="B478" s="185"/>
      <c r="C478" s="185"/>
    </row>
    <row r="479" ht="12.75" customHeight="1">
      <c r="B479" s="185"/>
      <c r="C479" s="185"/>
    </row>
    <row r="480" ht="12.75" customHeight="1">
      <c r="B480" s="185"/>
      <c r="C480" s="185"/>
    </row>
    <row r="481" ht="12.75" customHeight="1">
      <c r="B481" s="185"/>
      <c r="C481" s="185"/>
    </row>
    <row r="482" ht="12.75" customHeight="1">
      <c r="B482" s="185"/>
      <c r="C482" s="185"/>
    </row>
    <row r="483" ht="12.75" customHeight="1">
      <c r="B483" s="185"/>
      <c r="C483" s="185"/>
    </row>
    <row r="484" ht="12.75" customHeight="1">
      <c r="B484" s="185"/>
      <c r="C484" s="185"/>
    </row>
    <row r="485" ht="12.75" customHeight="1">
      <c r="B485" s="185"/>
      <c r="C485" s="185"/>
    </row>
    <row r="486" ht="12.75" customHeight="1">
      <c r="B486" s="185"/>
      <c r="C486" s="185"/>
    </row>
    <row r="487" ht="12.75" customHeight="1">
      <c r="B487" s="185"/>
      <c r="C487" s="185"/>
    </row>
    <row r="488" ht="12.75" customHeight="1">
      <c r="B488" s="185"/>
      <c r="C488" s="185"/>
    </row>
    <row r="489" ht="12.75" customHeight="1">
      <c r="B489" s="185"/>
      <c r="C489" s="185"/>
    </row>
    <row r="490" ht="12.75" customHeight="1">
      <c r="B490" s="185"/>
      <c r="C490" s="185"/>
    </row>
    <row r="491" ht="12.75" customHeight="1">
      <c r="B491" s="185"/>
      <c r="C491" s="185"/>
    </row>
    <row r="492" ht="12.75" customHeight="1">
      <c r="B492" s="185"/>
      <c r="C492" s="185"/>
    </row>
    <row r="493" ht="12.75" customHeight="1">
      <c r="B493" s="185"/>
      <c r="C493" s="185"/>
    </row>
    <row r="494" ht="12.75" customHeight="1">
      <c r="B494" s="185"/>
      <c r="C494" s="185"/>
    </row>
    <row r="495" ht="12.75" customHeight="1">
      <c r="B495" s="185"/>
      <c r="C495" s="185"/>
    </row>
    <row r="496" ht="12.75" customHeight="1">
      <c r="B496" s="185"/>
      <c r="C496" s="185"/>
    </row>
    <row r="497" ht="12.75" customHeight="1">
      <c r="B497" s="185"/>
      <c r="C497" s="185"/>
    </row>
    <row r="498" ht="12.75" customHeight="1">
      <c r="B498" s="185"/>
      <c r="C498" s="185"/>
    </row>
    <row r="499" ht="12.75" customHeight="1">
      <c r="B499" s="185"/>
      <c r="C499" s="185"/>
    </row>
    <row r="500" ht="12.75" customHeight="1">
      <c r="B500" s="185"/>
      <c r="C500" s="185"/>
    </row>
    <row r="501" ht="12.75" customHeight="1">
      <c r="B501" s="185"/>
      <c r="C501" s="185"/>
    </row>
    <row r="502" ht="12.75" customHeight="1">
      <c r="B502" s="185"/>
      <c r="C502" s="185"/>
    </row>
    <row r="503" ht="12.75" customHeight="1">
      <c r="B503" s="185"/>
      <c r="C503" s="185"/>
    </row>
    <row r="504" ht="12.75" customHeight="1">
      <c r="B504" s="185"/>
      <c r="C504" s="185"/>
    </row>
    <row r="505" ht="12.75" customHeight="1">
      <c r="B505" s="185"/>
      <c r="C505" s="185"/>
    </row>
    <row r="506" ht="12.75" customHeight="1">
      <c r="B506" s="185"/>
      <c r="C506" s="185"/>
    </row>
    <row r="507" ht="12.75" customHeight="1">
      <c r="B507" s="185"/>
      <c r="C507" s="185"/>
    </row>
    <row r="508" ht="12.75" customHeight="1">
      <c r="B508" s="185"/>
      <c r="C508" s="185"/>
    </row>
    <row r="509" ht="12.75" customHeight="1">
      <c r="B509" s="185"/>
      <c r="C509" s="185"/>
    </row>
    <row r="510" ht="12.75" customHeight="1">
      <c r="B510" s="185"/>
      <c r="C510" s="185"/>
    </row>
    <row r="511" ht="12.75" customHeight="1">
      <c r="B511" s="185"/>
      <c r="C511" s="185"/>
    </row>
    <row r="512" ht="12.75" customHeight="1">
      <c r="B512" s="185"/>
      <c r="C512" s="185"/>
    </row>
    <row r="513" ht="12.75" customHeight="1">
      <c r="B513" s="185"/>
      <c r="C513" s="185"/>
    </row>
    <row r="514" ht="12.75" customHeight="1">
      <c r="B514" s="185"/>
      <c r="C514" s="185"/>
    </row>
    <row r="515" ht="12.75" customHeight="1">
      <c r="B515" s="185"/>
      <c r="C515" s="185"/>
    </row>
    <row r="516" ht="12.75" customHeight="1">
      <c r="B516" s="185"/>
      <c r="C516" s="185"/>
    </row>
    <row r="517" ht="12.75" customHeight="1">
      <c r="B517" s="185"/>
      <c r="C517" s="185"/>
    </row>
    <row r="518" ht="12.75" customHeight="1">
      <c r="B518" s="185"/>
      <c r="C518" s="185"/>
    </row>
    <row r="519" ht="12.75" customHeight="1">
      <c r="B519" s="185"/>
      <c r="C519" s="185"/>
    </row>
    <row r="520" ht="12.75" customHeight="1">
      <c r="B520" s="185"/>
      <c r="C520" s="185"/>
    </row>
    <row r="521" ht="12.75" customHeight="1">
      <c r="B521" s="185"/>
      <c r="C521" s="185"/>
    </row>
    <row r="522" ht="12.75" customHeight="1">
      <c r="B522" s="185"/>
      <c r="C522" s="185"/>
    </row>
    <row r="523" ht="12.75" customHeight="1">
      <c r="B523" s="185"/>
      <c r="C523" s="185"/>
    </row>
    <row r="524" ht="12.75" customHeight="1">
      <c r="B524" s="185"/>
      <c r="C524" s="185"/>
    </row>
    <row r="525" ht="12.75" customHeight="1">
      <c r="B525" s="185"/>
      <c r="C525" s="185"/>
    </row>
    <row r="526" ht="12.75" customHeight="1">
      <c r="B526" s="185"/>
      <c r="C526" s="185"/>
    </row>
    <row r="527" ht="12.75" customHeight="1">
      <c r="B527" s="185"/>
      <c r="C527" s="185"/>
    </row>
    <row r="528" ht="12.75" customHeight="1">
      <c r="B528" s="185"/>
      <c r="C528" s="185"/>
    </row>
    <row r="529" ht="12.75" customHeight="1">
      <c r="B529" s="185"/>
      <c r="C529" s="185"/>
    </row>
    <row r="530" ht="12.75" customHeight="1">
      <c r="B530" s="185"/>
      <c r="C530" s="185"/>
    </row>
    <row r="531" ht="12.75" customHeight="1">
      <c r="B531" s="185"/>
      <c r="C531" s="185"/>
    </row>
    <row r="532" ht="12.75" customHeight="1">
      <c r="B532" s="185"/>
      <c r="C532" s="185"/>
    </row>
    <row r="533" ht="12.75" customHeight="1">
      <c r="B533" s="185"/>
      <c r="C533" s="185"/>
    </row>
    <row r="534" ht="12.75" customHeight="1">
      <c r="B534" s="185"/>
      <c r="C534" s="185"/>
    </row>
    <row r="535" ht="12.75" customHeight="1">
      <c r="B535" s="185"/>
      <c r="C535" s="185"/>
    </row>
    <row r="536" ht="12.75" customHeight="1">
      <c r="B536" s="185"/>
      <c r="C536" s="185"/>
    </row>
    <row r="537" ht="12.75" customHeight="1">
      <c r="B537" s="185"/>
      <c r="C537" s="185"/>
    </row>
    <row r="538" ht="12.75" customHeight="1">
      <c r="B538" s="185"/>
      <c r="C538" s="185"/>
    </row>
    <row r="539" ht="12.75" customHeight="1">
      <c r="B539" s="185"/>
      <c r="C539" s="185"/>
    </row>
    <row r="540" ht="12.75" customHeight="1">
      <c r="B540" s="185"/>
      <c r="C540" s="185"/>
    </row>
    <row r="541" ht="12.75" customHeight="1">
      <c r="B541" s="185"/>
      <c r="C541" s="185"/>
    </row>
    <row r="542" ht="12.75" customHeight="1">
      <c r="B542" s="185"/>
      <c r="C542" s="185"/>
    </row>
    <row r="543" ht="12.75" customHeight="1">
      <c r="B543" s="185"/>
      <c r="C543" s="185"/>
    </row>
    <row r="544" ht="12.75" customHeight="1">
      <c r="B544" s="185"/>
      <c r="C544" s="185"/>
    </row>
    <row r="545" ht="12.75" customHeight="1">
      <c r="B545" s="185"/>
      <c r="C545" s="185"/>
    </row>
    <row r="546" ht="12.75" customHeight="1">
      <c r="B546" s="185"/>
      <c r="C546" s="185"/>
    </row>
    <row r="547" ht="12.75" customHeight="1">
      <c r="B547" s="185"/>
      <c r="C547" s="185"/>
    </row>
    <row r="548" ht="12.75" customHeight="1">
      <c r="B548" s="185"/>
      <c r="C548" s="185"/>
    </row>
    <row r="549" ht="12.75" customHeight="1">
      <c r="B549" s="185"/>
      <c r="C549" s="185"/>
    </row>
    <row r="550" ht="12.75" customHeight="1">
      <c r="B550" s="185"/>
      <c r="C550" s="185"/>
    </row>
    <row r="551" ht="12.75" customHeight="1">
      <c r="B551" s="185"/>
      <c r="C551" s="185"/>
    </row>
    <row r="552" ht="12.75" customHeight="1">
      <c r="B552" s="185"/>
      <c r="C552" s="185"/>
    </row>
    <row r="553" ht="12.75" customHeight="1">
      <c r="B553" s="185"/>
      <c r="C553" s="185"/>
    </row>
    <row r="554" ht="12.75" customHeight="1">
      <c r="B554" s="185"/>
      <c r="C554" s="185"/>
    </row>
    <row r="555" ht="12.75" customHeight="1">
      <c r="B555" s="185"/>
      <c r="C555" s="185"/>
    </row>
    <row r="556" ht="12.75" customHeight="1">
      <c r="B556" s="185"/>
      <c r="C556" s="185"/>
    </row>
    <row r="557" ht="12.75" customHeight="1">
      <c r="B557" s="185"/>
      <c r="C557" s="185"/>
    </row>
    <row r="558" ht="12.75" customHeight="1">
      <c r="B558" s="185"/>
      <c r="C558" s="185"/>
    </row>
    <row r="559" ht="12.75" customHeight="1">
      <c r="B559" s="185"/>
      <c r="C559" s="185"/>
    </row>
    <row r="560" ht="12.75" customHeight="1">
      <c r="B560" s="185"/>
      <c r="C560" s="185"/>
    </row>
    <row r="561" ht="12.75" customHeight="1">
      <c r="B561" s="185"/>
      <c r="C561" s="185"/>
    </row>
    <row r="562" ht="12.75" customHeight="1">
      <c r="B562" s="185"/>
      <c r="C562" s="185"/>
    </row>
    <row r="563" ht="12.75" customHeight="1">
      <c r="B563" s="185"/>
      <c r="C563" s="185"/>
    </row>
    <row r="564" ht="12.75" customHeight="1">
      <c r="B564" s="185"/>
      <c r="C564" s="185"/>
    </row>
    <row r="565" ht="12.75" customHeight="1">
      <c r="B565" s="185"/>
      <c r="C565" s="185"/>
    </row>
    <row r="566" ht="12.75" customHeight="1">
      <c r="B566" s="185"/>
      <c r="C566" s="185"/>
    </row>
    <row r="567" ht="12.75" customHeight="1">
      <c r="B567" s="185"/>
      <c r="C567" s="185"/>
    </row>
    <row r="568" ht="12.75" customHeight="1">
      <c r="B568" s="185"/>
      <c r="C568" s="185"/>
    </row>
    <row r="569" ht="12.75" customHeight="1">
      <c r="B569" s="185"/>
      <c r="C569" s="185"/>
    </row>
    <row r="570" ht="12.75" customHeight="1">
      <c r="B570" s="185"/>
      <c r="C570" s="185"/>
    </row>
    <row r="571" ht="12.75" customHeight="1">
      <c r="B571" s="185"/>
      <c r="C571" s="185"/>
    </row>
    <row r="572" ht="12.75" customHeight="1">
      <c r="B572" s="185"/>
      <c r="C572" s="185"/>
    </row>
    <row r="573" ht="12.75" customHeight="1">
      <c r="B573" s="185"/>
      <c r="C573" s="185"/>
    </row>
    <row r="574" ht="12.75" customHeight="1">
      <c r="B574" s="185"/>
      <c r="C574" s="185"/>
    </row>
    <row r="575" ht="12.75" customHeight="1">
      <c r="B575" s="185"/>
      <c r="C575" s="185"/>
    </row>
    <row r="576" ht="12.75" customHeight="1">
      <c r="B576" s="185"/>
      <c r="C576" s="185"/>
    </row>
    <row r="577" ht="12.75" customHeight="1">
      <c r="B577" s="185"/>
      <c r="C577" s="185"/>
    </row>
    <row r="578" ht="12.75" customHeight="1">
      <c r="B578" s="185"/>
      <c r="C578" s="185"/>
    </row>
    <row r="579" ht="12.75" customHeight="1">
      <c r="B579" s="185"/>
      <c r="C579" s="185"/>
    </row>
    <row r="580" ht="12.75" customHeight="1">
      <c r="B580" s="185"/>
      <c r="C580" s="185"/>
    </row>
    <row r="581" ht="12.75" customHeight="1">
      <c r="B581" s="185"/>
      <c r="C581" s="185"/>
    </row>
    <row r="582" ht="12.75" customHeight="1">
      <c r="B582" s="185"/>
      <c r="C582" s="185"/>
    </row>
    <row r="583" ht="12.75" customHeight="1">
      <c r="B583" s="185"/>
      <c r="C583" s="185"/>
    </row>
    <row r="584" ht="12.75" customHeight="1">
      <c r="B584" s="185"/>
      <c r="C584" s="185"/>
    </row>
    <row r="585" ht="12.75" customHeight="1">
      <c r="B585" s="185"/>
      <c r="C585" s="185"/>
    </row>
    <row r="586" ht="12.75" customHeight="1">
      <c r="B586" s="185"/>
      <c r="C586" s="185"/>
    </row>
    <row r="587" ht="12.75" customHeight="1">
      <c r="B587" s="185"/>
      <c r="C587" s="185"/>
    </row>
    <row r="588" ht="12.75" customHeight="1">
      <c r="B588" s="185"/>
      <c r="C588" s="185"/>
    </row>
    <row r="589" ht="12.75" customHeight="1">
      <c r="B589" s="185"/>
      <c r="C589" s="185"/>
    </row>
    <row r="590" ht="12.75" customHeight="1">
      <c r="B590" s="185"/>
      <c r="C590" s="185"/>
    </row>
    <row r="591" ht="12.75" customHeight="1">
      <c r="B591" s="185"/>
      <c r="C591" s="185"/>
    </row>
    <row r="592" ht="12.75" customHeight="1">
      <c r="B592" s="185"/>
      <c r="C592" s="185"/>
    </row>
    <row r="593" ht="12.75" customHeight="1">
      <c r="B593" s="185"/>
      <c r="C593" s="185"/>
    </row>
    <row r="594" ht="12.75" customHeight="1">
      <c r="B594" s="185"/>
      <c r="C594" s="185"/>
    </row>
    <row r="595" ht="12.75" customHeight="1">
      <c r="B595" s="185"/>
      <c r="C595" s="185"/>
    </row>
    <row r="596" ht="12.75" customHeight="1">
      <c r="B596" s="185"/>
      <c r="C596" s="185"/>
    </row>
    <row r="597" ht="12.75" customHeight="1">
      <c r="B597" s="185"/>
      <c r="C597" s="185"/>
    </row>
    <row r="598" ht="12.75" customHeight="1">
      <c r="B598" s="185"/>
      <c r="C598" s="185"/>
    </row>
    <row r="599" ht="12.75" customHeight="1">
      <c r="B599" s="185"/>
      <c r="C599" s="185"/>
    </row>
    <row r="600" ht="12.75" customHeight="1">
      <c r="B600" s="185"/>
      <c r="C600" s="185"/>
    </row>
    <row r="601" ht="12.75" customHeight="1">
      <c r="B601" s="185"/>
      <c r="C601" s="185"/>
    </row>
    <row r="602" ht="12.75" customHeight="1">
      <c r="B602" s="185"/>
      <c r="C602" s="185"/>
    </row>
    <row r="603" ht="12.75" customHeight="1">
      <c r="B603" s="185"/>
      <c r="C603" s="185"/>
    </row>
    <row r="604" ht="12.75" customHeight="1">
      <c r="B604" s="185"/>
      <c r="C604" s="185"/>
    </row>
    <row r="605" ht="12.75" customHeight="1">
      <c r="B605" s="185"/>
      <c r="C605" s="185"/>
    </row>
    <row r="606" ht="12.75" customHeight="1">
      <c r="B606" s="185"/>
      <c r="C606" s="185"/>
    </row>
    <row r="607" ht="12.75" customHeight="1">
      <c r="B607" s="185"/>
      <c r="C607" s="185"/>
    </row>
    <row r="608" ht="12.75" customHeight="1">
      <c r="B608" s="185"/>
      <c r="C608" s="185"/>
    </row>
    <row r="609" ht="12.75" customHeight="1">
      <c r="B609" s="185"/>
      <c r="C609" s="185"/>
    </row>
    <row r="610" ht="12.75" customHeight="1">
      <c r="B610" s="185"/>
      <c r="C610" s="185"/>
    </row>
    <row r="611" ht="12.75" customHeight="1">
      <c r="B611" s="185"/>
      <c r="C611" s="185"/>
    </row>
    <row r="612" ht="12.75" customHeight="1">
      <c r="B612" s="185"/>
      <c r="C612" s="185"/>
    </row>
    <row r="613" ht="12.75" customHeight="1">
      <c r="B613" s="185"/>
      <c r="C613" s="185"/>
    </row>
    <row r="614" ht="12.75" customHeight="1">
      <c r="B614" s="185"/>
      <c r="C614" s="185"/>
    </row>
    <row r="615" ht="12.75" customHeight="1">
      <c r="B615" s="185"/>
      <c r="C615" s="185"/>
    </row>
    <row r="616" ht="12.75" customHeight="1">
      <c r="B616" s="185"/>
      <c r="C616" s="185"/>
    </row>
    <row r="617" ht="12.75" customHeight="1">
      <c r="B617" s="185"/>
      <c r="C617" s="185"/>
    </row>
    <row r="618" ht="12.75" customHeight="1">
      <c r="B618" s="185"/>
      <c r="C618" s="185"/>
    </row>
    <row r="619" ht="12.75" customHeight="1">
      <c r="B619" s="185"/>
      <c r="C619" s="185"/>
    </row>
    <row r="620" ht="12.75" customHeight="1">
      <c r="B620" s="185"/>
      <c r="C620" s="185"/>
    </row>
    <row r="621" ht="12.75" customHeight="1">
      <c r="B621" s="185"/>
      <c r="C621" s="185"/>
    </row>
    <row r="622" ht="12.75" customHeight="1">
      <c r="B622" s="185"/>
      <c r="C622" s="185"/>
    </row>
    <row r="623" ht="12.75" customHeight="1">
      <c r="B623" s="185"/>
      <c r="C623" s="185"/>
    </row>
    <row r="624" ht="12.75" customHeight="1">
      <c r="B624" s="185"/>
      <c r="C624" s="185"/>
    </row>
    <row r="625" ht="12.75" customHeight="1">
      <c r="B625" s="185"/>
      <c r="C625" s="185"/>
    </row>
    <row r="626" ht="12.75" customHeight="1">
      <c r="B626" s="185"/>
      <c r="C626" s="185"/>
    </row>
    <row r="627" ht="12.75" customHeight="1">
      <c r="B627" s="185"/>
      <c r="C627" s="185"/>
    </row>
    <row r="628" ht="12.75" customHeight="1">
      <c r="B628" s="185"/>
      <c r="C628" s="185"/>
    </row>
    <row r="629" ht="12.75" customHeight="1">
      <c r="B629" s="185"/>
      <c r="C629" s="185"/>
    </row>
    <row r="630" ht="12.75" customHeight="1">
      <c r="B630" s="185"/>
      <c r="C630" s="185"/>
    </row>
    <row r="631" ht="12.75" customHeight="1">
      <c r="B631" s="185"/>
      <c r="C631" s="185"/>
    </row>
    <row r="632" ht="12.75" customHeight="1">
      <c r="B632" s="185"/>
      <c r="C632" s="185"/>
    </row>
    <row r="633" ht="12.75" customHeight="1">
      <c r="B633" s="185"/>
      <c r="C633" s="185"/>
    </row>
    <row r="634" ht="12.75" customHeight="1">
      <c r="B634" s="185"/>
      <c r="C634" s="185"/>
    </row>
    <row r="635" ht="12.75" customHeight="1">
      <c r="B635" s="185"/>
      <c r="C635" s="185"/>
    </row>
    <row r="636" ht="12.75" customHeight="1">
      <c r="B636" s="185"/>
      <c r="C636" s="185"/>
    </row>
    <row r="637" ht="12.75" customHeight="1">
      <c r="B637" s="185"/>
      <c r="C637" s="185"/>
    </row>
    <row r="638" ht="12.75" customHeight="1">
      <c r="B638" s="185"/>
      <c r="C638" s="185"/>
    </row>
    <row r="639" ht="12.75" customHeight="1">
      <c r="B639" s="185"/>
      <c r="C639" s="185"/>
    </row>
    <row r="640" ht="12.75" customHeight="1">
      <c r="B640" s="185"/>
      <c r="C640" s="185"/>
    </row>
    <row r="641" ht="12.75" customHeight="1">
      <c r="B641" s="185"/>
      <c r="C641" s="185"/>
    </row>
    <row r="642" ht="12.75" customHeight="1">
      <c r="B642" s="185"/>
      <c r="C642" s="185"/>
    </row>
    <row r="643" ht="12.75" customHeight="1">
      <c r="B643" s="185"/>
      <c r="C643" s="185"/>
    </row>
    <row r="644" ht="12.75" customHeight="1">
      <c r="B644" s="185"/>
      <c r="C644" s="185"/>
    </row>
    <row r="645" ht="12.75" customHeight="1">
      <c r="B645" s="185"/>
      <c r="C645" s="185"/>
    </row>
    <row r="646" ht="12.75" customHeight="1">
      <c r="B646" s="185"/>
      <c r="C646" s="185"/>
    </row>
    <row r="647" ht="12.75" customHeight="1">
      <c r="B647" s="185"/>
      <c r="C647" s="185"/>
    </row>
    <row r="648" ht="12.75" customHeight="1">
      <c r="B648" s="185"/>
      <c r="C648" s="185"/>
    </row>
    <row r="649" ht="12.75" customHeight="1">
      <c r="B649" s="185"/>
      <c r="C649" s="185"/>
    </row>
    <row r="650" ht="12.75" customHeight="1">
      <c r="B650" s="185"/>
      <c r="C650" s="185"/>
    </row>
    <row r="651" ht="12.75" customHeight="1">
      <c r="B651" s="185"/>
      <c r="C651" s="185"/>
    </row>
    <row r="652" ht="12.75" customHeight="1">
      <c r="B652" s="185"/>
      <c r="C652" s="185"/>
    </row>
    <row r="653" ht="12.75" customHeight="1">
      <c r="B653" s="185"/>
      <c r="C653" s="185"/>
    </row>
    <row r="654" ht="12.75" customHeight="1">
      <c r="B654" s="185"/>
      <c r="C654" s="185"/>
    </row>
    <row r="655" ht="12.75" customHeight="1">
      <c r="B655" s="185"/>
      <c r="C655" s="185"/>
    </row>
    <row r="656" ht="12.75" customHeight="1">
      <c r="B656" s="185"/>
      <c r="C656" s="185"/>
    </row>
    <row r="657" ht="12.75" customHeight="1">
      <c r="B657" s="185"/>
      <c r="C657" s="185"/>
    </row>
    <row r="658" ht="12.75" customHeight="1">
      <c r="B658" s="185"/>
      <c r="C658" s="185"/>
    </row>
    <row r="659" ht="12.75" customHeight="1">
      <c r="B659" s="185"/>
      <c r="C659" s="185"/>
    </row>
    <row r="660" ht="12.75" customHeight="1">
      <c r="B660" s="185"/>
      <c r="C660" s="185"/>
    </row>
    <row r="661" ht="12.75" customHeight="1">
      <c r="B661" s="185"/>
      <c r="C661" s="185"/>
    </row>
    <row r="662" ht="12.75" customHeight="1">
      <c r="B662" s="185"/>
      <c r="C662" s="185"/>
    </row>
    <row r="663" ht="12.75" customHeight="1">
      <c r="B663" s="185"/>
      <c r="C663" s="185"/>
    </row>
    <row r="664" ht="12.75" customHeight="1">
      <c r="B664" s="185"/>
      <c r="C664" s="185"/>
    </row>
    <row r="665" ht="12.75" customHeight="1">
      <c r="B665" s="185"/>
      <c r="C665" s="185"/>
    </row>
    <row r="666" ht="12.75" customHeight="1">
      <c r="B666" s="185"/>
      <c r="C666" s="185"/>
    </row>
    <row r="667" ht="12.75" customHeight="1">
      <c r="B667" s="185"/>
      <c r="C667" s="185"/>
    </row>
    <row r="668" ht="12.75" customHeight="1">
      <c r="B668" s="185"/>
      <c r="C668" s="185"/>
    </row>
    <row r="669" ht="12.75" customHeight="1">
      <c r="B669" s="185"/>
      <c r="C669" s="185"/>
    </row>
    <row r="670" ht="12.75" customHeight="1">
      <c r="B670" s="185"/>
      <c r="C670" s="185"/>
    </row>
    <row r="671" ht="12.75" customHeight="1">
      <c r="B671" s="185"/>
      <c r="C671" s="185"/>
    </row>
    <row r="672" ht="12.75" customHeight="1">
      <c r="B672" s="185"/>
      <c r="C672" s="185"/>
    </row>
    <row r="673" ht="12.75" customHeight="1">
      <c r="B673" s="185"/>
      <c r="C673" s="185"/>
    </row>
    <row r="674" ht="12.75" customHeight="1">
      <c r="B674" s="185"/>
      <c r="C674" s="185"/>
    </row>
    <row r="675" ht="12.75" customHeight="1">
      <c r="B675" s="185"/>
      <c r="C675" s="185"/>
    </row>
    <row r="676" ht="12.75" customHeight="1">
      <c r="B676" s="185"/>
      <c r="C676" s="185"/>
    </row>
    <row r="677" ht="12.75" customHeight="1">
      <c r="B677" s="185"/>
      <c r="C677" s="185"/>
    </row>
    <row r="678" ht="12.75" customHeight="1">
      <c r="B678" s="185"/>
      <c r="C678" s="185"/>
    </row>
    <row r="679" ht="12.75" customHeight="1">
      <c r="B679" s="185"/>
      <c r="C679" s="185"/>
    </row>
    <row r="680" ht="12.75" customHeight="1">
      <c r="B680" s="185"/>
      <c r="C680" s="185"/>
    </row>
    <row r="681" ht="12.75" customHeight="1">
      <c r="B681" s="185"/>
      <c r="C681" s="185"/>
    </row>
    <row r="682" ht="12.75" customHeight="1">
      <c r="B682" s="185"/>
      <c r="C682" s="185"/>
    </row>
    <row r="683" ht="12.75" customHeight="1">
      <c r="B683" s="185"/>
      <c r="C683" s="185"/>
    </row>
    <row r="684" ht="12.75" customHeight="1">
      <c r="B684" s="185"/>
      <c r="C684" s="185"/>
    </row>
    <row r="685" ht="12.75" customHeight="1">
      <c r="B685" s="185"/>
      <c r="C685" s="185"/>
    </row>
    <row r="686" ht="12.75" customHeight="1">
      <c r="B686" s="185"/>
      <c r="C686" s="185"/>
    </row>
    <row r="687" ht="12.75" customHeight="1">
      <c r="B687" s="185"/>
      <c r="C687" s="185"/>
    </row>
    <row r="688" ht="12.75" customHeight="1">
      <c r="B688" s="185"/>
      <c r="C688" s="185"/>
    </row>
    <row r="689" ht="12.75" customHeight="1">
      <c r="B689" s="185"/>
      <c r="C689" s="185"/>
    </row>
    <row r="690" ht="12.75" customHeight="1">
      <c r="B690" s="185"/>
      <c r="C690" s="185"/>
    </row>
    <row r="691" ht="12.75" customHeight="1">
      <c r="B691" s="185"/>
      <c r="C691" s="185"/>
    </row>
    <row r="692" ht="12.75" customHeight="1">
      <c r="B692" s="185"/>
      <c r="C692" s="185"/>
    </row>
    <row r="693" ht="12.75" customHeight="1">
      <c r="B693" s="185"/>
      <c r="C693" s="185"/>
    </row>
    <row r="694" ht="12.75" customHeight="1">
      <c r="B694" s="185"/>
      <c r="C694" s="185"/>
    </row>
    <row r="695" ht="12.75" customHeight="1">
      <c r="B695" s="185"/>
      <c r="C695" s="185"/>
    </row>
    <row r="696" ht="12.75" customHeight="1">
      <c r="B696" s="185"/>
      <c r="C696" s="185"/>
    </row>
    <row r="697" ht="12.75" customHeight="1">
      <c r="B697" s="185"/>
      <c r="C697" s="185"/>
    </row>
    <row r="698" ht="12.75" customHeight="1">
      <c r="B698" s="185"/>
      <c r="C698" s="185"/>
    </row>
    <row r="699" ht="12.75" customHeight="1">
      <c r="B699" s="185"/>
      <c r="C699" s="185"/>
    </row>
    <row r="700" ht="12.75" customHeight="1">
      <c r="B700" s="185"/>
      <c r="C700" s="185"/>
    </row>
    <row r="701" ht="12.75" customHeight="1">
      <c r="B701" s="185"/>
      <c r="C701" s="185"/>
    </row>
    <row r="702" ht="12.75" customHeight="1">
      <c r="B702" s="185"/>
      <c r="C702" s="185"/>
    </row>
    <row r="703" ht="12.75" customHeight="1">
      <c r="B703" s="185"/>
      <c r="C703" s="185"/>
    </row>
    <row r="704" ht="12.75" customHeight="1">
      <c r="B704" s="185"/>
      <c r="C704" s="185"/>
    </row>
    <row r="705" ht="12.75" customHeight="1">
      <c r="B705" s="185"/>
      <c r="C705" s="185"/>
    </row>
    <row r="706" ht="12.75" customHeight="1">
      <c r="B706" s="185"/>
      <c r="C706" s="185"/>
    </row>
    <row r="707" ht="12.75" customHeight="1">
      <c r="B707" s="185"/>
      <c r="C707" s="185"/>
    </row>
    <row r="708" ht="12.75" customHeight="1">
      <c r="B708" s="185"/>
      <c r="C708" s="185"/>
    </row>
    <row r="709" ht="12.75" customHeight="1">
      <c r="B709" s="185"/>
      <c r="C709" s="185"/>
    </row>
    <row r="710" ht="12.75" customHeight="1">
      <c r="B710" s="185"/>
      <c r="C710" s="185"/>
    </row>
    <row r="711" ht="12.75" customHeight="1">
      <c r="B711" s="185"/>
      <c r="C711" s="185"/>
    </row>
    <row r="712" ht="12.75" customHeight="1">
      <c r="B712" s="185"/>
      <c r="C712" s="185"/>
    </row>
    <row r="713" ht="12.75" customHeight="1">
      <c r="B713" s="185"/>
      <c r="C713" s="185"/>
    </row>
    <row r="714" ht="12.75" customHeight="1">
      <c r="B714" s="185"/>
      <c r="C714" s="185"/>
    </row>
    <row r="715" ht="12.75" customHeight="1">
      <c r="B715" s="185"/>
      <c r="C715" s="185"/>
    </row>
    <row r="716" ht="12.75" customHeight="1">
      <c r="B716" s="185"/>
      <c r="C716" s="185"/>
    </row>
    <row r="717" ht="12.75" customHeight="1">
      <c r="B717" s="185"/>
      <c r="C717" s="185"/>
    </row>
    <row r="718" ht="12.75" customHeight="1">
      <c r="B718" s="185"/>
      <c r="C718" s="185"/>
    </row>
    <row r="719" ht="12.75" customHeight="1">
      <c r="B719" s="185"/>
      <c r="C719" s="185"/>
    </row>
    <row r="720" ht="12.75" customHeight="1">
      <c r="B720" s="185"/>
      <c r="C720" s="185"/>
    </row>
    <row r="721" ht="12.75" customHeight="1">
      <c r="B721" s="185"/>
      <c r="C721" s="185"/>
    </row>
    <row r="722" ht="12.75" customHeight="1">
      <c r="B722" s="185"/>
      <c r="C722" s="185"/>
    </row>
    <row r="723" ht="12.75" customHeight="1">
      <c r="B723" s="185"/>
      <c r="C723" s="185"/>
    </row>
    <row r="724" ht="12.75" customHeight="1">
      <c r="B724" s="185"/>
      <c r="C724" s="185"/>
    </row>
    <row r="725" ht="12.75" customHeight="1">
      <c r="B725" s="185"/>
      <c r="C725" s="185"/>
    </row>
    <row r="726" ht="12.75" customHeight="1">
      <c r="B726" s="185"/>
      <c r="C726" s="185"/>
    </row>
    <row r="727" ht="12.75" customHeight="1">
      <c r="B727" s="185"/>
      <c r="C727" s="185"/>
    </row>
    <row r="728" ht="12.75" customHeight="1">
      <c r="B728" s="185"/>
      <c r="C728" s="185"/>
    </row>
    <row r="729" ht="12.75" customHeight="1">
      <c r="B729" s="185"/>
      <c r="C729" s="185"/>
    </row>
    <row r="730" ht="12.75" customHeight="1">
      <c r="B730" s="185"/>
      <c r="C730" s="185"/>
    </row>
    <row r="731" ht="12.75" customHeight="1">
      <c r="B731" s="185"/>
      <c r="C731" s="185"/>
    </row>
    <row r="732" ht="12.75" customHeight="1">
      <c r="B732" s="185"/>
      <c r="C732" s="185"/>
    </row>
    <row r="733" ht="12.75" customHeight="1">
      <c r="B733" s="185"/>
      <c r="C733" s="185"/>
    </row>
    <row r="734" ht="12.75" customHeight="1">
      <c r="B734" s="185"/>
      <c r="C734" s="185"/>
    </row>
    <row r="735" ht="12.75" customHeight="1">
      <c r="B735" s="185"/>
      <c r="C735" s="185"/>
    </row>
    <row r="736" ht="12.75" customHeight="1">
      <c r="B736" s="185"/>
      <c r="C736" s="185"/>
    </row>
    <row r="737" ht="12.75" customHeight="1">
      <c r="B737" s="185"/>
      <c r="C737" s="185"/>
    </row>
    <row r="738" ht="12.75" customHeight="1">
      <c r="B738" s="185"/>
      <c r="C738" s="185"/>
    </row>
    <row r="739" ht="12.75" customHeight="1">
      <c r="B739" s="185"/>
      <c r="C739" s="185"/>
    </row>
    <row r="740" ht="12.75" customHeight="1">
      <c r="B740" s="185"/>
      <c r="C740" s="185"/>
    </row>
    <row r="741" ht="12.75" customHeight="1">
      <c r="B741" s="185"/>
      <c r="C741" s="185"/>
    </row>
    <row r="742" ht="12.75" customHeight="1">
      <c r="B742" s="185"/>
      <c r="C742" s="185"/>
    </row>
    <row r="743" ht="12.75" customHeight="1">
      <c r="B743" s="185"/>
      <c r="C743" s="185"/>
    </row>
    <row r="744" ht="12.75" customHeight="1">
      <c r="B744" s="185"/>
      <c r="C744" s="185"/>
    </row>
    <row r="745" ht="12.75" customHeight="1">
      <c r="B745" s="185"/>
      <c r="C745" s="185"/>
    </row>
    <row r="746" ht="12.75" customHeight="1">
      <c r="B746" s="185"/>
      <c r="C746" s="185"/>
    </row>
    <row r="747" ht="12.75" customHeight="1">
      <c r="B747" s="185"/>
      <c r="C747" s="185"/>
    </row>
    <row r="748" ht="12.75" customHeight="1">
      <c r="B748" s="185"/>
      <c r="C748" s="185"/>
    </row>
    <row r="749" ht="12.75" customHeight="1">
      <c r="B749" s="185"/>
      <c r="C749" s="185"/>
    </row>
    <row r="750" ht="12.75" customHeight="1">
      <c r="B750" s="185"/>
      <c r="C750" s="185"/>
    </row>
    <row r="751" ht="12.75" customHeight="1">
      <c r="B751" s="185"/>
      <c r="C751" s="185"/>
    </row>
    <row r="752" ht="12.75" customHeight="1">
      <c r="B752" s="185"/>
      <c r="C752" s="185"/>
    </row>
    <row r="753" ht="12.75" customHeight="1">
      <c r="B753" s="185"/>
      <c r="C753" s="185"/>
    </row>
    <row r="754" ht="12.75" customHeight="1">
      <c r="B754" s="185"/>
      <c r="C754" s="185"/>
    </row>
    <row r="755" ht="12.75" customHeight="1">
      <c r="B755" s="185"/>
      <c r="C755" s="185"/>
    </row>
    <row r="756" ht="12.75" customHeight="1">
      <c r="B756" s="185"/>
      <c r="C756" s="185"/>
    </row>
    <row r="757" ht="12.75" customHeight="1">
      <c r="B757" s="185"/>
      <c r="C757" s="185"/>
    </row>
    <row r="758" ht="12.75" customHeight="1">
      <c r="B758" s="185"/>
      <c r="C758" s="185"/>
    </row>
    <row r="759" ht="12.75" customHeight="1">
      <c r="B759" s="185"/>
      <c r="C759" s="185"/>
    </row>
    <row r="760" ht="12.75" customHeight="1">
      <c r="B760" s="185"/>
      <c r="C760" s="185"/>
    </row>
    <row r="761" ht="12.75" customHeight="1">
      <c r="B761" s="185"/>
      <c r="C761" s="185"/>
    </row>
    <row r="762" ht="12.75" customHeight="1">
      <c r="B762" s="185"/>
      <c r="C762" s="185"/>
    </row>
    <row r="763" ht="12.75" customHeight="1">
      <c r="B763" s="185"/>
      <c r="C763" s="185"/>
    </row>
    <row r="764" ht="12.75" customHeight="1">
      <c r="B764" s="185"/>
      <c r="C764" s="185"/>
    </row>
    <row r="765" ht="12.75" customHeight="1">
      <c r="B765" s="185"/>
      <c r="C765" s="185"/>
    </row>
    <row r="766" ht="12.75" customHeight="1">
      <c r="B766" s="185"/>
      <c r="C766" s="185"/>
    </row>
    <row r="767" ht="12.75" customHeight="1">
      <c r="B767" s="185"/>
      <c r="C767" s="185"/>
    </row>
    <row r="768" ht="12.75" customHeight="1">
      <c r="B768" s="185"/>
      <c r="C768" s="185"/>
    </row>
    <row r="769" ht="12.75" customHeight="1">
      <c r="B769" s="185"/>
      <c r="C769" s="185"/>
    </row>
    <row r="770" ht="12.75" customHeight="1">
      <c r="B770" s="185"/>
      <c r="C770" s="185"/>
    </row>
    <row r="771" ht="12.75" customHeight="1">
      <c r="B771" s="185"/>
      <c r="C771" s="185"/>
    </row>
    <row r="772" ht="12.75" customHeight="1">
      <c r="B772" s="185"/>
      <c r="C772" s="185"/>
    </row>
    <row r="773" ht="12.75" customHeight="1">
      <c r="B773" s="185"/>
      <c r="C773" s="185"/>
    </row>
    <row r="774" ht="12.75" customHeight="1">
      <c r="B774" s="185"/>
      <c r="C774" s="185"/>
    </row>
    <row r="775" ht="12.75" customHeight="1">
      <c r="B775" s="185"/>
      <c r="C775" s="185"/>
    </row>
    <row r="776" ht="12.75" customHeight="1">
      <c r="B776" s="185"/>
      <c r="C776" s="185"/>
    </row>
    <row r="777" ht="12.75" customHeight="1">
      <c r="B777" s="185"/>
      <c r="C777" s="185"/>
    </row>
    <row r="778" ht="12.75" customHeight="1">
      <c r="B778" s="185"/>
      <c r="C778" s="185"/>
    </row>
    <row r="779" ht="12.75" customHeight="1">
      <c r="B779" s="185"/>
      <c r="C779" s="185"/>
    </row>
    <row r="780" ht="12.75" customHeight="1">
      <c r="B780" s="185"/>
      <c r="C780" s="185"/>
    </row>
    <row r="781" ht="12.75" customHeight="1">
      <c r="B781" s="185"/>
      <c r="C781" s="185"/>
    </row>
    <row r="782" ht="12.75" customHeight="1">
      <c r="B782" s="185"/>
      <c r="C782" s="185"/>
    </row>
    <row r="783" ht="12.75" customHeight="1">
      <c r="B783" s="185"/>
      <c r="C783" s="185"/>
    </row>
    <row r="784" ht="12.75" customHeight="1">
      <c r="B784" s="185"/>
      <c r="C784" s="185"/>
    </row>
    <row r="785" ht="12.75" customHeight="1">
      <c r="B785" s="185"/>
      <c r="C785" s="185"/>
    </row>
    <row r="786" ht="12.75" customHeight="1">
      <c r="B786" s="185"/>
      <c r="C786" s="185"/>
    </row>
    <row r="787" ht="12.75" customHeight="1">
      <c r="B787" s="185"/>
      <c r="C787" s="185"/>
    </row>
    <row r="788" ht="12.75" customHeight="1">
      <c r="B788" s="185"/>
      <c r="C788" s="185"/>
    </row>
    <row r="789" ht="12.75" customHeight="1">
      <c r="B789" s="185"/>
      <c r="C789" s="185"/>
    </row>
    <row r="790" ht="12.75" customHeight="1">
      <c r="B790" s="185"/>
      <c r="C790" s="185"/>
    </row>
    <row r="791" ht="12.75" customHeight="1">
      <c r="B791" s="185"/>
      <c r="C791" s="185"/>
    </row>
    <row r="792" ht="12.75" customHeight="1">
      <c r="B792" s="185"/>
      <c r="C792" s="185"/>
    </row>
    <row r="793" ht="12.75" customHeight="1">
      <c r="B793" s="185"/>
      <c r="C793" s="185"/>
    </row>
    <row r="794" ht="12.75" customHeight="1">
      <c r="B794" s="185"/>
      <c r="C794" s="185"/>
    </row>
    <row r="795" ht="12.75" customHeight="1">
      <c r="B795" s="185"/>
      <c r="C795" s="185"/>
    </row>
    <row r="796" ht="12.75" customHeight="1">
      <c r="B796" s="185"/>
      <c r="C796" s="185"/>
    </row>
    <row r="797" ht="12.75" customHeight="1">
      <c r="B797" s="185"/>
      <c r="C797" s="185"/>
    </row>
    <row r="798" ht="12.75" customHeight="1">
      <c r="B798" s="185"/>
      <c r="C798" s="185"/>
    </row>
    <row r="799" ht="12.75" customHeight="1">
      <c r="B799" s="185"/>
      <c r="C799" s="185"/>
    </row>
    <row r="800" ht="12.75" customHeight="1">
      <c r="B800" s="185"/>
      <c r="C800" s="185"/>
    </row>
    <row r="801" ht="12.75" customHeight="1">
      <c r="B801" s="185"/>
      <c r="C801" s="185"/>
    </row>
    <row r="802" ht="12.75" customHeight="1">
      <c r="B802" s="185"/>
      <c r="C802" s="185"/>
    </row>
    <row r="803" ht="12.75" customHeight="1">
      <c r="B803" s="185"/>
      <c r="C803" s="185"/>
    </row>
    <row r="804" ht="12.75" customHeight="1">
      <c r="B804" s="185"/>
      <c r="C804" s="185"/>
    </row>
    <row r="805" ht="12.75" customHeight="1">
      <c r="B805" s="185"/>
      <c r="C805" s="185"/>
    </row>
    <row r="806" ht="12.75" customHeight="1">
      <c r="B806" s="185"/>
      <c r="C806" s="185"/>
    </row>
    <row r="807" ht="12.75" customHeight="1">
      <c r="B807" s="185"/>
      <c r="C807" s="185"/>
    </row>
    <row r="808" ht="12.75" customHeight="1">
      <c r="B808" s="185"/>
      <c r="C808" s="185"/>
    </row>
    <row r="809" ht="12.75" customHeight="1">
      <c r="B809" s="185"/>
      <c r="C809" s="185"/>
    </row>
    <row r="810" ht="12.75" customHeight="1">
      <c r="B810" s="185"/>
      <c r="C810" s="185"/>
    </row>
    <row r="811" ht="12.75" customHeight="1">
      <c r="B811" s="185"/>
      <c r="C811" s="185"/>
    </row>
    <row r="812" ht="12.75" customHeight="1">
      <c r="B812" s="185"/>
      <c r="C812" s="185"/>
    </row>
    <row r="813" ht="12.75" customHeight="1">
      <c r="B813" s="185"/>
      <c r="C813" s="185"/>
    </row>
    <row r="814" ht="12.75" customHeight="1">
      <c r="B814" s="185"/>
      <c r="C814" s="185"/>
    </row>
    <row r="815" ht="12.75" customHeight="1">
      <c r="B815" s="185"/>
      <c r="C815" s="185"/>
    </row>
    <row r="816" ht="12.75" customHeight="1">
      <c r="B816" s="185"/>
      <c r="C816" s="185"/>
    </row>
    <row r="817" ht="12.75" customHeight="1">
      <c r="B817" s="185"/>
      <c r="C817" s="185"/>
    </row>
    <row r="818" ht="12.75" customHeight="1">
      <c r="B818" s="185"/>
      <c r="C818" s="185"/>
    </row>
    <row r="819" ht="12.75" customHeight="1">
      <c r="B819" s="185"/>
      <c r="C819" s="185"/>
    </row>
    <row r="820" ht="12.75" customHeight="1">
      <c r="B820" s="185"/>
      <c r="C820" s="185"/>
    </row>
    <row r="821" ht="12.75" customHeight="1">
      <c r="B821" s="185"/>
      <c r="C821" s="185"/>
    </row>
    <row r="822" ht="12.75" customHeight="1">
      <c r="B822" s="185"/>
      <c r="C822" s="185"/>
    </row>
    <row r="823" ht="12.75" customHeight="1">
      <c r="B823" s="185"/>
      <c r="C823" s="185"/>
    </row>
    <row r="824" ht="12.75" customHeight="1">
      <c r="B824" s="185"/>
      <c r="C824" s="185"/>
    </row>
    <row r="825" ht="12.75" customHeight="1">
      <c r="B825" s="185"/>
      <c r="C825" s="185"/>
    </row>
    <row r="826" ht="12.75" customHeight="1">
      <c r="B826" s="185"/>
      <c r="C826" s="185"/>
    </row>
    <row r="827" ht="12.75" customHeight="1">
      <c r="B827" s="185"/>
      <c r="C827" s="185"/>
    </row>
    <row r="828" ht="12.75" customHeight="1">
      <c r="B828" s="185"/>
      <c r="C828" s="185"/>
    </row>
    <row r="829" ht="12.75" customHeight="1">
      <c r="B829" s="185"/>
      <c r="C829" s="185"/>
    </row>
    <row r="830" ht="12.75" customHeight="1">
      <c r="B830" s="185"/>
      <c r="C830" s="185"/>
    </row>
    <row r="831" ht="12.75" customHeight="1">
      <c r="B831" s="185"/>
      <c r="C831" s="185"/>
    </row>
    <row r="832" ht="12.75" customHeight="1">
      <c r="B832" s="185"/>
      <c r="C832" s="185"/>
    </row>
    <row r="833" ht="12.75" customHeight="1">
      <c r="B833" s="185"/>
      <c r="C833" s="185"/>
    </row>
    <row r="834" ht="12.75" customHeight="1">
      <c r="B834" s="185"/>
      <c r="C834" s="185"/>
    </row>
    <row r="835" ht="12.75" customHeight="1">
      <c r="B835" s="185"/>
      <c r="C835" s="185"/>
    </row>
    <row r="836" ht="12.75" customHeight="1">
      <c r="B836" s="185"/>
      <c r="C836" s="185"/>
    </row>
    <row r="837" ht="12.75" customHeight="1">
      <c r="B837" s="185"/>
      <c r="C837" s="185"/>
    </row>
    <row r="838" ht="12.75" customHeight="1">
      <c r="B838" s="185"/>
      <c r="C838" s="185"/>
    </row>
    <row r="839" ht="12.75" customHeight="1">
      <c r="B839" s="185"/>
      <c r="C839" s="185"/>
    </row>
    <row r="840" ht="12.75" customHeight="1">
      <c r="B840" s="185"/>
      <c r="C840" s="185"/>
    </row>
    <row r="841" ht="12.75" customHeight="1">
      <c r="B841" s="185"/>
      <c r="C841" s="185"/>
    </row>
    <row r="842" ht="12.75" customHeight="1">
      <c r="B842" s="185"/>
      <c r="C842" s="185"/>
    </row>
    <row r="843" ht="12.75" customHeight="1">
      <c r="B843" s="185"/>
      <c r="C843" s="185"/>
    </row>
    <row r="844" ht="12.75" customHeight="1">
      <c r="B844" s="185"/>
      <c r="C844" s="185"/>
    </row>
    <row r="845" ht="12.75" customHeight="1">
      <c r="B845" s="185"/>
      <c r="C845" s="185"/>
    </row>
    <row r="846" ht="12.75" customHeight="1">
      <c r="B846" s="185"/>
      <c r="C846" s="185"/>
    </row>
    <row r="847" ht="12.75" customHeight="1">
      <c r="B847" s="185"/>
      <c r="C847" s="185"/>
    </row>
    <row r="848" ht="12.75" customHeight="1">
      <c r="B848" s="185"/>
      <c r="C848" s="185"/>
    </row>
    <row r="849" ht="12.75" customHeight="1">
      <c r="B849" s="185"/>
      <c r="C849" s="185"/>
    </row>
    <row r="850" ht="12.75" customHeight="1">
      <c r="B850" s="185"/>
      <c r="C850" s="185"/>
    </row>
    <row r="851" ht="12.75" customHeight="1">
      <c r="B851" s="185"/>
      <c r="C851" s="185"/>
    </row>
    <row r="852" ht="12.75" customHeight="1">
      <c r="B852" s="185"/>
      <c r="C852" s="185"/>
    </row>
    <row r="853" ht="12.75" customHeight="1">
      <c r="B853" s="185"/>
      <c r="C853" s="185"/>
    </row>
    <row r="854" ht="12.75" customHeight="1">
      <c r="B854" s="185"/>
      <c r="C854" s="185"/>
    </row>
    <row r="855" ht="12.75" customHeight="1">
      <c r="B855" s="185"/>
      <c r="C855" s="185"/>
    </row>
    <row r="856" ht="12.75" customHeight="1">
      <c r="B856" s="185"/>
      <c r="C856" s="185"/>
    </row>
    <row r="857" ht="12.75" customHeight="1">
      <c r="B857" s="185"/>
      <c r="C857" s="185"/>
    </row>
    <row r="858" ht="12.75" customHeight="1">
      <c r="B858" s="185"/>
      <c r="C858" s="185"/>
    </row>
    <row r="859" ht="12.75" customHeight="1">
      <c r="B859" s="185"/>
      <c r="C859" s="185"/>
    </row>
    <row r="860" ht="12.75" customHeight="1">
      <c r="B860" s="185"/>
      <c r="C860" s="185"/>
    </row>
    <row r="861" ht="12.75" customHeight="1">
      <c r="B861" s="185"/>
      <c r="C861" s="185"/>
    </row>
    <row r="862" ht="12.75" customHeight="1">
      <c r="B862" s="185"/>
      <c r="C862" s="185"/>
    </row>
    <row r="863" ht="12.75" customHeight="1">
      <c r="B863" s="185"/>
      <c r="C863" s="185"/>
    </row>
    <row r="864" ht="12.75" customHeight="1">
      <c r="B864" s="185"/>
      <c r="C864" s="185"/>
    </row>
    <row r="865" ht="12.75" customHeight="1">
      <c r="B865" s="185"/>
      <c r="C865" s="185"/>
    </row>
    <row r="866" ht="12.75" customHeight="1">
      <c r="B866" s="185"/>
      <c r="C866" s="185"/>
    </row>
    <row r="867" ht="12.75" customHeight="1">
      <c r="B867" s="185"/>
      <c r="C867" s="185"/>
    </row>
    <row r="868" ht="12.75" customHeight="1">
      <c r="B868" s="185"/>
      <c r="C868" s="185"/>
    </row>
    <row r="869" ht="12.75" customHeight="1">
      <c r="B869" s="185"/>
      <c r="C869" s="185"/>
    </row>
    <row r="870" ht="12.75" customHeight="1">
      <c r="B870" s="185"/>
      <c r="C870" s="185"/>
    </row>
    <row r="871" ht="12.75" customHeight="1">
      <c r="B871" s="185"/>
      <c r="C871" s="185"/>
    </row>
    <row r="872" ht="12.75" customHeight="1">
      <c r="B872" s="185"/>
      <c r="C872" s="185"/>
    </row>
    <row r="873" ht="12.75" customHeight="1">
      <c r="B873" s="185"/>
      <c r="C873" s="185"/>
    </row>
    <row r="874" ht="12.75" customHeight="1">
      <c r="B874" s="185"/>
      <c r="C874" s="185"/>
    </row>
    <row r="875" ht="12.75" customHeight="1">
      <c r="B875" s="185"/>
      <c r="C875" s="185"/>
    </row>
    <row r="876" ht="12.75" customHeight="1">
      <c r="B876" s="185"/>
      <c r="C876" s="185"/>
    </row>
    <row r="877" ht="12.75" customHeight="1">
      <c r="B877" s="185"/>
      <c r="C877" s="185"/>
    </row>
    <row r="878" ht="12.75" customHeight="1">
      <c r="B878" s="185"/>
      <c r="C878" s="185"/>
    </row>
    <row r="879" ht="12.75" customHeight="1">
      <c r="B879" s="185"/>
      <c r="C879" s="185"/>
    </row>
    <row r="880" ht="12.75" customHeight="1">
      <c r="B880" s="185"/>
      <c r="C880" s="185"/>
    </row>
    <row r="881" ht="12.75" customHeight="1">
      <c r="B881" s="185"/>
      <c r="C881" s="185"/>
    </row>
    <row r="882" ht="12.75" customHeight="1">
      <c r="B882" s="185"/>
      <c r="C882" s="185"/>
    </row>
    <row r="883" ht="12.75" customHeight="1">
      <c r="B883" s="185"/>
      <c r="C883" s="185"/>
    </row>
    <row r="884" ht="12.75" customHeight="1">
      <c r="B884" s="185"/>
      <c r="C884" s="185"/>
    </row>
    <row r="885" ht="12.75" customHeight="1">
      <c r="B885" s="185"/>
      <c r="C885" s="185"/>
    </row>
    <row r="886" ht="12.75" customHeight="1">
      <c r="B886" s="185"/>
      <c r="C886" s="185"/>
    </row>
    <row r="887" ht="12.75" customHeight="1">
      <c r="B887" s="185"/>
      <c r="C887" s="185"/>
    </row>
    <row r="888" ht="12.75" customHeight="1">
      <c r="B888" s="185"/>
      <c r="C888" s="185"/>
    </row>
    <row r="889" ht="12.75" customHeight="1">
      <c r="B889" s="185"/>
      <c r="C889" s="185"/>
    </row>
    <row r="890" ht="12.75" customHeight="1">
      <c r="B890" s="185"/>
      <c r="C890" s="185"/>
    </row>
    <row r="891" ht="12.75" customHeight="1">
      <c r="B891" s="185"/>
      <c r="C891" s="185"/>
    </row>
    <row r="892" ht="12.75" customHeight="1">
      <c r="B892" s="185"/>
      <c r="C892" s="185"/>
    </row>
    <row r="893" ht="12.75" customHeight="1">
      <c r="B893" s="185"/>
      <c r="C893" s="185"/>
    </row>
    <row r="894" ht="12.75" customHeight="1">
      <c r="B894" s="185"/>
      <c r="C894" s="185"/>
    </row>
    <row r="895" ht="12.75" customHeight="1">
      <c r="B895" s="185"/>
      <c r="C895" s="185"/>
    </row>
    <row r="896" ht="12.75" customHeight="1">
      <c r="B896" s="185"/>
      <c r="C896" s="185"/>
    </row>
    <row r="897" ht="12.75" customHeight="1">
      <c r="B897" s="185"/>
      <c r="C897" s="185"/>
    </row>
    <row r="898" ht="12.75" customHeight="1">
      <c r="B898" s="185"/>
      <c r="C898" s="185"/>
    </row>
    <row r="899" ht="12.75" customHeight="1">
      <c r="B899" s="185"/>
      <c r="C899" s="185"/>
    </row>
    <row r="900" ht="12.75" customHeight="1">
      <c r="B900" s="185"/>
      <c r="C900" s="185"/>
    </row>
    <row r="901" ht="12.75" customHeight="1">
      <c r="B901" s="185"/>
      <c r="C901" s="185"/>
    </row>
    <row r="902" ht="12.75" customHeight="1">
      <c r="B902" s="185"/>
      <c r="C902" s="185"/>
    </row>
    <row r="903" ht="12.75" customHeight="1">
      <c r="B903" s="185"/>
      <c r="C903" s="185"/>
    </row>
    <row r="904" ht="12.75" customHeight="1">
      <c r="B904" s="185"/>
      <c r="C904" s="185"/>
    </row>
    <row r="905" ht="12.75" customHeight="1">
      <c r="B905" s="185"/>
      <c r="C905" s="185"/>
    </row>
    <row r="906" ht="12.75" customHeight="1">
      <c r="B906" s="185"/>
      <c r="C906" s="185"/>
    </row>
    <row r="907" ht="12.75" customHeight="1">
      <c r="B907" s="185"/>
      <c r="C907" s="185"/>
    </row>
    <row r="908" ht="12.75" customHeight="1">
      <c r="B908" s="185"/>
      <c r="C908" s="185"/>
    </row>
    <row r="909" ht="12.75" customHeight="1">
      <c r="B909" s="185"/>
      <c r="C909" s="185"/>
    </row>
    <row r="910" ht="12.75" customHeight="1">
      <c r="B910" s="185"/>
      <c r="C910" s="185"/>
    </row>
    <row r="911" ht="12.75" customHeight="1">
      <c r="B911" s="185"/>
      <c r="C911" s="185"/>
    </row>
    <row r="912" ht="12.75" customHeight="1">
      <c r="B912" s="185"/>
      <c r="C912" s="185"/>
    </row>
    <row r="913" ht="12.75" customHeight="1">
      <c r="B913" s="185"/>
      <c r="C913" s="185"/>
    </row>
    <row r="914" ht="12.75" customHeight="1">
      <c r="B914" s="185"/>
      <c r="C914" s="185"/>
    </row>
    <row r="915" ht="12.75" customHeight="1">
      <c r="B915" s="185"/>
      <c r="C915" s="185"/>
    </row>
    <row r="916" ht="12.75" customHeight="1">
      <c r="B916" s="185"/>
      <c r="C916" s="185"/>
    </row>
    <row r="917" ht="12.75" customHeight="1">
      <c r="B917" s="185"/>
      <c r="C917" s="185"/>
    </row>
    <row r="918" ht="12.75" customHeight="1">
      <c r="B918" s="185"/>
      <c r="C918" s="185"/>
    </row>
    <row r="919" ht="12.75" customHeight="1">
      <c r="B919" s="185"/>
      <c r="C919" s="185"/>
    </row>
    <row r="920" ht="12.75" customHeight="1">
      <c r="B920" s="185"/>
      <c r="C920" s="185"/>
    </row>
    <row r="921" ht="12.75" customHeight="1">
      <c r="B921" s="185"/>
      <c r="C921" s="185"/>
    </row>
    <row r="922" ht="12.75" customHeight="1">
      <c r="B922" s="185"/>
      <c r="C922" s="185"/>
    </row>
    <row r="923" ht="12.75" customHeight="1">
      <c r="B923" s="185"/>
      <c r="C923" s="185"/>
    </row>
    <row r="924" ht="12.75" customHeight="1">
      <c r="B924" s="185"/>
      <c r="C924" s="185"/>
    </row>
    <row r="925" ht="12.75" customHeight="1">
      <c r="B925" s="185"/>
      <c r="C925" s="185"/>
    </row>
    <row r="926" ht="12.75" customHeight="1">
      <c r="B926" s="185"/>
      <c r="C926" s="185"/>
    </row>
    <row r="927" ht="12.75" customHeight="1">
      <c r="B927" s="185"/>
      <c r="C927" s="185"/>
    </row>
    <row r="928" ht="12.75" customHeight="1">
      <c r="B928" s="185"/>
      <c r="C928" s="185"/>
    </row>
    <row r="929" ht="12.75" customHeight="1">
      <c r="B929" s="185"/>
      <c r="C929" s="185"/>
    </row>
    <row r="930" ht="12.75" customHeight="1">
      <c r="B930" s="185"/>
      <c r="C930" s="185"/>
    </row>
    <row r="931" ht="12.75" customHeight="1">
      <c r="B931" s="185"/>
      <c r="C931" s="185"/>
    </row>
    <row r="932" ht="12.75" customHeight="1">
      <c r="B932" s="185"/>
      <c r="C932" s="185"/>
    </row>
    <row r="933" ht="12.75" customHeight="1">
      <c r="B933" s="185"/>
      <c r="C933" s="185"/>
    </row>
    <row r="934" ht="12.75" customHeight="1">
      <c r="B934" s="185"/>
      <c r="C934" s="185"/>
    </row>
    <row r="935" ht="12.75" customHeight="1">
      <c r="B935" s="185"/>
      <c r="C935" s="185"/>
    </row>
    <row r="936" ht="12.75" customHeight="1">
      <c r="B936" s="185"/>
      <c r="C936" s="185"/>
    </row>
    <row r="937" ht="12.75" customHeight="1">
      <c r="B937" s="185"/>
      <c r="C937" s="185"/>
    </row>
    <row r="938" ht="12.75" customHeight="1">
      <c r="B938" s="185"/>
      <c r="C938" s="185"/>
    </row>
    <row r="939" ht="12.75" customHeight="1">
      <c r="B939" s="185"/>
      <c r="C939" s="185"/>
    </row>
    <row r="940" ht="12.75" customHeight="1">
      <c r="B940" s="185"/>
      <c r="C940" s="185"/>
    </row>
    <row r="941" ht="12.75" customHeight="1">
      <c r="B941" s="185"/>
      <c r="C941" s="185"/>
    </row>
    <row r="942" ht="12.75" customHeight="1">
      <c r="B942" s="185"/>
      <c r="C942" s="185"/>
    </row>
    <row r="943" ht="12.75" customHeight="1">
      <c r="B943" s="185"/>
      <c r="C943" s="185"/>
    </row>
    <row r="944" ht="12.75" customHeight="1">
      <c r="B944" s="185"/>
      <c r="C944" s="185"/>
    </row>
    <row r="945" ht="12.75" customHeight="1">
      <c r="B945" s="185"/>
      <c r="C945" s="185"/>
    </row>
    <row r="946" ht="12.75" customHeight="1">
      <c r="B946" s="185"/>
      <c r="C946" s="185"/>
    </row>
    <row r="947" ht="12.75" customHeight="1">
      <c r="B947" s="185"/>
      <c r="C947" s="185"/>
    </row>
    <row r="948" ht="12.75" customHeight="1">
      <c r="B948" s="185"/>
      <c r="C948" s="185"/>
    </row>
    <row r="949" ht="12.75" customHeight="1">
      <c r="B949" s="185"/>
      <c r="C949" s="185"/>
    </row>
    <row r="950" ht="12.75" customHeight="1">
      <c r="B950" s="185"/>
      <c r="C950" s="185"/>
    </row>
    <row r="951" ht="12.75" customHeight="1">
      <c r="B951" s="185"/>
      <c r="C951" s="185"/>
    </row>
    <row r="952" ht="12.75" customHeight="1">
      <c r="B952" s="185"/>
      <c r="C952" s="185"/>
    </row>
    <row r="953" ht="12.75" customHeight="1">
      <c r="B953" s="185"/>
      <c r="C953" s="185"/>
    </row>
    <row r="954" ht="12.75" customHeight="1">
      <c r="B954" s="185"/>
      <c r="C954" s="185"/>
    </row>
    <row r="955" ht="12.75" customHeight="1">
      <c r="B955" s="185"/>
      <c r="C955" s="185"/>
    </row>
    <row r="956" ht="12.75" customHeight="1">
      <c r="B956" s="185"/>
      <c r="C956" s="185"/>
    </row>
    <row r="957" ht="12.75" customHeight="1">
      <c r="B957" s="185"/>
      <c r="C957" s="185"/>
    </row>
    <row r="958" ht="12.75" customHeight="1">
      <c r="B958" s="185"/>
      <c r="C958" s="185"/>
    </row>
    <row r="959" ht="12.75" customHeight="1">
      <c r="B959" s="185"/>
      <c r="C959" s="185"/>
    </row>
    <row r="960" ht="12.75" customHeight="1">
      <c r="B960" s="185"/>
      <c r="C960" s="185"/>
    </row>
    <row r="961" ht="12.75" customHeight="1">
      <c r="B961" s="185"/>
      <c r="C961" s="185"/>
    </row>
    <row r="962" ht="12.75" customHeight="1">
      <c r="B962" s="185"/>
      <c r="C962" s="185"/>
    </row>
    <row r="963" ht="12.75" customHeight="1">
      <c r="B963" s="185"/>
      <c r="C963" s="185"/>
    </row>
    <row r="964" ht="12.75" customHeight="1">
      <c r="B964" s="185"/>
      <c r="C964" s="185"/>
    </row>
    <row r="965" ht="12.75" customHeight="1">
      <c r="B965" s="185"/>
      <c r="C965" s="185"/>
    </row>
    <row r="966" ht="12.75" customHeight="1">
      <c r="B966" s="185"/>
      <c r="C966" s="185"/>
    </row>
    <row r="967" ht="12.75" customHeight="1">
      <c r="B967" s="185"/>
      <c r="C967" s="185"/>
    </row>
    <row r="968" ht="12.75" customHeight="1">
      <c r="B968" s="185"/>
      <c r="C968" s="185"/>
    </row>
    <row r="969" ht="12.75" customHeight="1">
      <c r="B969" s="185"/>
      <c r="C969" s="185"/>
    </row>
    <row r="970" ht="12.75" customHeight="1">
      <c r="B970" s="185"/>
      <c r="C970" s="185"/>
    </row>
    <row r="971" ht="12.75" customHeight="1">
      <c r="B971" s="185"/>
      <c r="C971" s="185"/>
    </row>
    <row r="972" ht="12.75" customHeight="1">
      <c r="B972" s="185"/>
      <c r="C972" s="185"/>
    </row>
    <row r="973" ht="12.75" customHeight="1">
      <c r="B973" s="185"/>
      <c r="C973" s="185"/>
    </row>
    <row r="974" ht="12.75" customHeight="1">
      <c r="B974" s="185"/>
      <c r="C974" s="185"/>
    </row>
    <row r="975" ht="12.75" customHeight="1">
      <c r="B975" s="185"/>
      <c r="C975" s="185"/>
    </row>
    <row r="976" ht="12.75" customHeight="1">
      <c r="B976" s="185"/>
      <c r="C976" s="185"/>
    </row>
    <row r="977" ht="12.75" customHeight="1">
      <c r="B977" s="185"/>
      <c r="C977" s="185"/>
    </row>
    <row r="978" ht="12.75" customHeight="1">
      <c r="B978" s="185"/>
      <c r="C978" s="185"/>
    </row>
    <row r="979" ht="12.75" customHeight="1">
      <c r="B979" s="185"/>
      <c r="C979" s="185"/>
    </row>
    <row r="980" ht="12.75" customHeight="1">
      <c r="B980" s="185"/>
      <c r="C980" s="185"/>
    </row>
    <row r="981" ht="12.75" customHeight="1">
      <c r="B981" s="185"/>
      <c r="C981" s="185"/>
    </row>
    <row r="982" ht="12.75" customHeight="1">
      <c r="B982" s="185"/>
      <c r="C982" s="185"/>
    </row>
    <row r="983" ht="12.75" customHeight="1">
      <c r="B983" s="185"/>
      <c r="C983" s="185"/>
    </row>
    <row r="984" ht="12.75" customHeight="1">
      <c r="B984" s="185"/>
      <c r="C984" s="185"/>
    </row>
    <row r="985" ht="12.75" customHeight="1">
      <c r="B985" s="185"/>
      <c r="C985" s="185"/>
    </row>
    <row r="986" ht="12.75" customHeight="1">
      <c r="B986" s="185"/>
      <c r="C986" s="185"/>
    </row>
    <row r="987" ht="12.75" customHeight="1">
      <c r="B987" s="185"/>
      <c r="C987" s="185"/>
    </row>
    <row r="988" ht="12.75" customHeight="1">
      <c r="B988" s="185"/>
      <c r="C988" s="185"/>
    </row>
    <row r="989" ht="12.75" customHeight="1">
      <c r="B989" s="185"/>
      <c r="C989" s="185"/>
    </row>
    <row r="990" ht="12.75" customHeight="1">
      <c r="B990" s="185"/>
      <c r="C990" s="185"/>
    </row>
    <row r="991" ht="12.75" customHeight="1">
      <c r="B991" s="185"/>
      <c r="C991" s="185"/>
    </row>
    <row r="992" ht="12.75" customHeight="1">
      <c r="B992" s="185"/>
      <c r="C992" s="185"/>
    </row>
    <row r="993" ht="12.75" customHeight="1">
      <c r="B993" s="185"/>
      <c r="C993" s="185"/>
    </row>
    <row r="994" ht="12.75" customHeight="1">
      <c r="B994" s="185"/>
      <c r="C994" s="185"/>
    </row>
    <row r="995" ht="12.75" customHeight="1">
      <c r="B995" s="185"/>
      <c r="C995" s="185"/>
    </row>
    <row r="996" ht="12.75" customHeight="1">
      <c r="B996" s="185"/>
      <c r="C996" s="185"/>
    </row>
    <row r="997" ht="12.75" customHeight="1">
      <c r="B997" s="185"/>
      <c r="C997" s="185"/>
    </row>
    <row r="998" ht="12.75" customHeight="1">
      <c r="B998" s="185"/>
      <c r="C998" s="185"/>
    </row>
    <row r="999" ht="12.75" customHeight="1">
      <c r="B999" s="185"/>
      <c r="C999" s="185"/>
    </row>
    <row r="1000" ht="12.75" customHeight="1">
      <c r="B1000" s="185"/>
      <c r="C1000" s="185"/>
    </row>
  </sheetData>
  <mergeCells count="6">
    <mergeCell ref="A1:G1"/>
    <mergeCell ref="C2:G2"/>
    <mergeCell ref="C3:G3"/>
    <mergeCell ref="C4:G4"/>
    <mergeCell ref="A44:C44"/>
    <mergeCell ref="A45:G49"/>
  </mergeCells>
  <printOptions/>
  <pageMargins bottom="0.787401575" footer="0.0" header="0.0" left="0.590551181102362" right="0.196850393700787" top="0.787401575"/>
  <pageSetup paperSize="9" orientation="portrait"/>
  <headerFooter>
    <oddFooter>&amp;LZpracováno programem BUILDpower S,  © RTS, a.s.&amp;RStránka &amp;P z 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2009-04-08T07:15:50Z</dcterms:created>
</cp:coreProperties>
</file>