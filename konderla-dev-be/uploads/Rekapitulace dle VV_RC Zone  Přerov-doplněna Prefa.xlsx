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V:\Nabidky\AKCE - 2025\25-011 RC Zone Přerov\CN PS BRNO - oprava _7_4_25\"/>
    </mc:Choice>
  </mc:AlternateContent>
  <xr:revisionPtr revIDLastSave="0" documentId="13_ncr:1_{9925828B-0866-4DED-9F56-B0AD83804E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rycí list" sheetId="2" r:id="rId1"/>
    <sheet name="Rekapitulace" sheetId="1" r:id="rId2"/>
    <sheet name="Prefa konstrukce hal" sheetId="4" r:id="rId3"/>
  </sheets>
  <definedNames>
    <definedName name="_xlnm._FilterDatabase" localSheetId="2" hidden="1">'Prefa konstrukce hal'!$C$118:$K$147</definedName>
    <definedName name="_xlnm.Print_Titles" localSheetId="2">'Prefa konstrukce hal'!$118:$118</definedName>
    <definedName name="_xlnm.Print_Area" localSheetId="2">'Prefa konstrukce hal'!$C$4:$J$76,'Prefa konstrukce hal'!$C$82:$J$100,'Prefa konstrukce hal'!$C$106:$J$147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6" i="1" l="1"/>
  <c r="C135" i="1"/>
  <c r="C134" i="1"/>
  <c r="C94" i="1"/>
  <c r="C114" i="1"/>
  <c r="C105" i="1"/>
  <c r="BK147" i="4"/>
  <c r="BI147" i="4"/>
  <c r="BH147" i="4"/>
  <c r="BG147" i="4"/>
  <c r="BF147" i="4"/>
  <c r="T147" i="4"/>
  <c r="R147" i="4"/>
  <c r="P147" i="4"/>
  <c r="J147" i="4"/>
  <c r="BE147" i="4" s="1"/>
  <c r="BK146" i="4"/>
  <c r="BI146" i="4"/>
  <c r="BH146" i="4"/>
  <c r="BG146" i="4"/>
  <c r="BF146" i="4"/>
  <c r="T146" i="4"/>
  <c r="R146" i="4"/>
  <c r="P146" i="4"/>
  <c r="J146" i="4"/>
  <c r="BE146" i="4" s="1"/>
  <c r="BK145" i="4"/>
  <c r="BI145" i="4"/>
  <c r="BH145" i="4"/>
  <c r="BG145" i="4"/>
  <c r="BF145" i="4"/>
  <c r="T145" i="4"/>
  <c r="R145" i="4"/>
  <c r="P145" i="4"/>
  <c r="J145" i="4"/>
  <c r="BE145" i="4" s="1"/>
  <c r="BK144" i="4"/>
  <c r="BI144" i="4"/>
  <c r="BH144" i="4"/>
  <c r="BG144" i="4"/>
  <c r="BF144" i="4"/>
  <c r="T144" i="4"/>
  <c r="R144" i="4"/>
  <c r="P144" i="4"/>
  <c r="P140" i="4" s="1"/>
  <c r="J144" i="4"/>
  <c r="BE144" i="4" s="1"/>
  <c r="BK143" i="4"/>
  <c r="BI143" i="4"/>
  <c r="BH143" i="4"/>
  <c r="BG143" i="4"/>
  <c r="BF143" i="4"/>
  <c r="T143" i="4"/>
  <c r="R143" i="4"/>
  <c r="P143" i="4"/>
  <c r="J143" i="4"/>
  <c r="BE143" i="4" s="1"/>
  <c r="BK142" i="4"/>
  <c r="BI142" i="4"/>
  <c r="BH142" i="4"/>
  <c r="BG142" i="4"/>
  <c r="BF142" i="4"/>
  <c r="T142" i="4"/>
  <c r="R142" i="4"/>
  <c r="P142" i="4"/>
  <c r="J142" i="4"/>
  <c r="BE142" i="4" s="1"/>
  <c r="BK141" i="4"/>
  <c r="BI141" i="4"/>
  <c r="BH141" i="4"/>
  <c r="BG141" i="4"/>
  <c r="BF141" i="4"/>
  <c r="T141" i="4"/>
  <c r="R141" i="4"/>
  <c r="P141" i="4"/>
  <c r="J141" i="4"/>
  <c r="BE141" i="4" s="1"/>
  <c r="BK139" i="4"/>
  <c r="BI139" i="4"/>
  <c r="BH139" i="4"/>
  <c r="BG139" i="4"/>
  <c r="BF139" i="4"/>
  <c r="T139" i="4"/>
  <c r="R139" i="4"/>
  <c r="P139" i="4"/>
  <c r="J139" i="4"/>
  <c r="BE139" i="4" s="1"/>
  <c r="BK138" i="4"/>
  <c r="BI138" i="4"/>
  <c r="BH138" i="4"/>
  <c r="BG138" i="4"/>
  <c r="BF138" i="4"/>
  <c r="T138" i="4"/>
  <c r="R138" i="4"/>
  <c r="P138" i="4"/>
  <c r="J138" i="4"/>
  <c r="BE138" i="4" s="1"/>
  <c r="BK137" i="4"/>
  <c r="BI137" i="4"/>
  <c r="BH137" i="4"/>
  <c r="BG137" i="4"/>
  <c r="BF137" i="4"/>
  <c r="T137" i="4"/>
  <c r="R137" i="4"/>
  <c r="P137" i="4"/>
  <c r="J137" i="4"/>
  <c r="BE137" i="4" s="1"/>
  <c r="BK136" i="4"/>
  <c r="BI136" i="4"/>
  <c r="BH136" i="4"/>
  <c r="BG136" i="4"/>
  <c r="BF136" i="4"/>
  <c r="T136" i="4"/>
  <c r="R136" i="4"/>
  <c r="P136" i="4"/>
  <c r="J136" i="4"/>
  <c r="BE136" i="4" s="1"/>
  <c r="BK135" i="4"/>
  <c r="BI135" i="4"/>
  <c r="BH135" i="4"/>
  <c r="BG135" i="4"/>
  <c r="BF135" i="4"/>
  <c r="T135" i="4"/>
  <c r="R135" i="4"/>
  <c r="P135" i="4"/>
  <c r="J135" i="4"/>
  <c r="BE135" i="4" s="1"/>
  <c r="BK134" i="4"/>
  <c r="BI134" i="4"/>
  <c r="BH134" i="4"/>
  <c r="BG134" i="4"/>
  <c r="BF134" i="4"/>
  <c r="T134" i="4"/>
  <c r="R134" i="4"/>
  <c r="P134" i="4"/>
  <c r="J134" i="4"/>
  <c r="BE134" i="4" s="1"/>
  <c r="BK133" i="4"/>
  <c r="BI133" i="4"/>
  <c r="BH133" i="4"/>
  <c r="BG133" i="4"/>
  <c r="BF133" i="4"/>
  <c r="T133" i="4"/>
  <c r="T132" i="4" s="1"/>
  <c r="R133" i="4"/>
  <c r="P133" i="4"/>
  <c r="J133" i="4"/>
  <c r="BE133" i="4" s="1"/>
  <c r="BK131" i="4"/>
  <c r="BI131" i="4"/>
  <c r="BH131" i="4"/>
  <c r="BG131" i="4"/>
  <c r="BF131" i="4"/>
  <c r="T131" i="4"/>
  <c r="R131" i="4"/>
  <c r="P131" i="4"/>
  <c r="J131" i="4"/>
  <c r="BE131" i="4" s="1"/>
  <c r="BK130" i="4"/>
  <c r="BI130" i="4"/>
  <c r="BH130" i="4"/>
  <c r="BG130" i="4"/>
  <c r="BF130" i="4"/>
  <c r="T130" i="4"/>
  <c r="R130" i="4"/>
  <c r="P130" i="4"/>
  <c r="J130" i="4"/>
  <c r="BE130" i="4" s="1"/>
  <c r="BK129" i="4"/>
  <c r="BI129" i="4"/>
  <c r="BH129" i="4"/>
  <c r="BG129" i="4"/>
  <c r="BF129" i="4"/>
  <c r="T129" i="4"/>
  <c r="R129" i="4"/>
  <c r="P129" i="4"/>
  <c r="J129" i="4"/>
  <c r="BE129" i="4" s="1"/>
  <c r="BK128" i="4"/>
  <c r="BI128" i="4"/>
  <c r="BH128" i="4"/>
  <c r="BG128" i="4"/>
  <c r="BF128" i="4"/>
  <c r="T128" i="4"/>
  <c r="R128" i="4"/>
  <c r="P128" i="4"/>
  <c r="J128" i="4"/>
  <c r="BE128" i="4" s="1"/>
  <c r="BK127" i="4"/>
  <c r="BI127" i="4"/>
  <c r="BH127" i="4"/>
  <c r="BG127" i="4"/>
  <c r="BF127" i="4"/>
  <c r="T127" i="4"/>
  <c r="R127" i="4"/>
  <c r="P127" i="4"/>
  <c r="J127" i="4"/>
  <c r="BE127" i="4" s="1"/>
  <c r="BK126" i="4"/>
  <c r="BI126" i="4"/>
  <c r="BH126" i="4"/>
  <c r="BG126" i="4"/>
  <c r="BF126" i="4"/>
  <c r="T126" i="4"/>
  <c r="R126" i="4"/>
  <c r="P126" i="4"/>
  <c r="J126" i="4"/>
  <c r="BE126" i="4" s="1"/>
  <c r="BK125" i="4"/>
  <c r="BI125" i="4"/>
  <c r="BH125" i="4"/>
  <c r="BG125" i="4"/>
  <c r="BF125" i="4"/>
  <c r="T125" i="4"/>
  <c r="R125" i="4"/>
  <c r="P125" i="4"/>
  <c r="J125" i="4"/>
  <c r="BE125" i="4" s="1"/>
  <c r="BK124" i="4"/>
  <c r="BI124" i="4"/>
  <c r="BH124" i="4"/>
  <c r="BG124" i="4"/>
  <c r="BF124" i="4"/>
  <c r="T124" i="4"/>
  <c r="R124" i="4"/>
  <c r="P124" i="4"/>
  <c r="J124" i="4"/>
  <c r="BE124" i="4" s="1"/>
  <c r="BK123" i="4"/>
  <c r="BI123" i="4"/>
  <c r="BH123" i="4"/>
  <c r="BG123" i="4"/>
  <c r="BF123" i="4"/>
  <c r="T123" i="4"/>
  <c r="R123" i="4"/>
  <c r="P123" i="4"/>
  <c r="J123" i="4"/>
  <c r="BE123" i="4" s="1"/>
  <c r="BK122" i="4"/>
  <c r="BI122" i="4"/>
  <c r="BH122" i="4"/>
  <c r="BG122" i="4"/>
  <c r="BF122" i="4"/>
  <c r="T122" i="4"/>
  <c r="R122" i="4"/>
  <c r="P122" i="4"/>
  <c r="J122" i="4"/>
  <c r="BE122" i="4" s="1"/>
  <c r="BK121" i="4"/>
  <c r="BI121" i="4"/>
  <c r="BH121" i="4"/>
  <c r="BG121" i="4"/>
  <c r="BF121" i="4"/>
  <c r="T121" i="4"/>
  <c r="R121" i="4"/>
  <c r="P121" i="4"/>
  <c r="J121" i="4"/>
  <c r="BE121" i="4" s="1"/>
  <c r="J115" i="4"/>
  <c r="F113" i="4"/>
  <c r="E111" i="4"/>
  <c r="F89" i="4"/>
  <c r="E87" i="4"/>
  <c r="J37" i="4"/>
  <c r="J36" i="4"/>
  <c r="J35" i="4"/>
  <c r="J116" i="4"/>
  <c r="J91" i="4"/>
  <c r="F116" i="4"/>
  <c r="F91" i="4"/>
  <c r="J113" i="4"/>
  <c r="E109" i="4"/>
  <c r="BK140" i="4" l="1"/>
  <c r="J140" i="4" s="1"/>
  <c r="J99" i="4" s="1"/>
  <c r="P132" i="4"/>
  <c r="BK132" i="4"/>
  <c r="J132" i="4" s="1"/>
  <c r="J98" i="4" s="1"/>
  <c r="T120" i="4"/>
  <c r="R120" i="4"/>
  <c r="P120" i="4"/>
  <c r="P119" i="4" s="1"/>
  <c r="R132" i="4"/>
  <c r="R140" i="4"/>
  <c r="T140" i="4"/>
  <c r="F37" i="4"/>
  <c r="F35" i="4"/>
  <c r="F36" i="4"/>
  <c r="BK120" i="4"/>
  <c r="J120" i="4" s="1"/>
  <c r="J34" i="4"/>
  <c r="J33" i="4"/>
  <c r="F33" i="4"/>
  <c r="E85" i="4"/>
  <c r="F34" i="4"/>
  <c r="J89" i="4"/>
  <c r="F115" i="4"/>
  <c r="F92" i="4"/>
  <c r="J92" i="4"/>
  <c r="BK119" i="4" l="1"/>
  <c r="J119" i="4" s="1"/>
  <c r="J96" i="4" s="1"/>
  <c r="R119" i="4"/>
  <c r="T119" i="4"/>
  <c r="J97" i="4"/>
  <c r="C133" i="1"/>
  <c r="D35" i="2" s="1"/>
  <c r="J30" i="4" l="1"/>
  <c r="J39" i="4" s="1"/>
  <c r="A1" i="1"/>
  <c r="A3" i="1" l="1"/>
  <c r="C124" i="1" l="1"/>
  <c r="D33" i="2"/>
  <c r="D32" i="2"/>
  <c r="D31" i="2"/>
  <c r="D34" i="2" l="1"/>
  <c r="C89" i="1"/>
  <c r="D30" i="2" s="1"/>
  <c r="C82" i="1" l="1"/>
  <c r="D29" i="2" s="1"/>
  <c r="C76" i="1" l="1"/>
  <c r="D28" i="2" s="1"/>
  <c r="C65" i="1" l="1"/>
  <c r="D27" i="2" s="1"/>
  <c r="C52" i="1" l="1"/>
  <c r="D26" i="2" s="1"/>
  <c r="C36" i="1" l="1"/>
  <c r="D25" i="2" s="1"/>
  <c r="C28" i="1"/>
  <c r="D24" i="2" s="1"/>
  <c r="C18" i="1" l="1"/>
  <c r="D23" i="2" s="1"/>
  <c r="C7" i="1"/>
  <c r="C5" i="1" s="1"/>
  <c r="C140" i="1" s="1"/>
  <c r="D22" i="2" l="1"/>
  <c r="D38" i="2" l="1"/>
</calcChain>
</file>

<file path=xl/sharedStrings.xml><?xml version="1.0" encoding="utf-8"?>
<sst xmlns="http://schemas.openxmlformats.org/spreadsheetml/2006/main" count="646" uniqueCount="264">
  <si>
    <t>Pozice</t>
  </si>
  <si>
    <t>Popis</t>
  </si>
  <si>
    <t>Cena</t>
  </si>
  <si>
    <t>Poznámky</t>
  </si>
  <si>
    <t>Venkovní objekty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</si>
  <si>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</si>
  <si>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</si>
  <si>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</si>
  <si>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</si>
  <si>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</si>
  <si>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</si>
  <si>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</si>
  <si>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</si>
  <si>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</si>
  <si>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Opláštění</t>
  </si>
  <si>
    <t>SHZ</t>
  </si>
  <si>
    <t>Demolice a přípava staveniště</t>
  </si>
  <si>
    <t>Příprava podloží / pláně</t>
  </si>
  <si>
    <t>Sanace podloží pod objekty, komunikacemi a zpev. plochami</t>
  </si>
  <si>
    <t>Odvodnění pláně</t>
  </si>
  <si>
    <t>Zhutněný násyp pod objektem (zeminová deska)</t>
  </si>
  <si>
    <t>Dočasně zpevněné manipulační plochy</t>
  </si>
  <si>
    <t>Tepelná izolace</t>
  </si>
  <si>
    <t>Chráničky</t>
  </si>
  <si>
    <t>Ostatní</t>
  </si>
  <si>
    <t>Komunikace</t>
  </si>
  <si>
    <r>
      <t xml:space="preserve">Komunikace a zpevněné plochy - část 1 </t>
    </r>
    <r>
      <rPr>
        <b/>
        <sz val="12"/>
        <color theme="1"/>
        <rFont val="Arial"/>
        <family val="2"/>
        <charset val="238"/>
      </rPr>
      <t>(SO 1100.1)</t>
    </r>
  </si>
  <si>
    <r>
      <t xml:space="preserve">Komunikace a zpevněné plochy - část 2 </t>
    </r>
    <r>
      <rPr>
        <b/>
        <sz val="12"/>
        <color theme="1"/>
        <rFont val="Arial"/>
        <family val="2"/>
        <charset val="238"/>
      </rPr>
      <t>(SO 1100.2)</t>
    </r>
  </si>
  <si>
    <r>
      <t xml:space="preserve">Komunikace a zpevněné plochy - část 3 </t>
    </r>
    <r>
      <rPr>
        <b/>
        <sz val="12"/>
        <color theme="1"/>
        <rFont val="Arial"/>
        <family val="2"/>
        <charset val="238"/>
      </rPr>
      <t>(SO 1100.3)</t>
    </r>
  </si>
  <si>
    <r>
      <t xml:space="preserve">Komunikace a zpevněné plochy - část 4 </t>
    </r>
    <r>
      <rPr>
        <b/>
        <sz val="12"/>
        <color theme="1"/>
        <rFont val="Arial"/>
        <family val="2"/>
        <charset val="238"/>
      </rPr>
      <t>(SO 1100.4)</t>
    </r>
  </si>
  <si>
    <r>
      <t xml:space="preserve">Komunikace a zpevněné plochy - část 5 </t>
    </r>
    <r>
      <rPr>
        <b/>
        <sz val="12"/>
        <color theme="1"/>
        <rFont val="Arial"/>
        <family val="2"/>
        <charset val="238"/>
      </rPr>
      <t>(SO 1100.5)</t>
    </r>
  </si>
  <si>
    <r>
      <t xml:space="preserve">Komunikace a zpevněné plochy - část 6 </t>
    </r>
    <r>
      <rPr>
        <b/>
        <sz val="12"/>
        <color theme="1"/>
        <rFont val="Arial"/>
        <family val="2"/>
        <charset val="238"/>
      </rPr>
      <t>(SO 1100.6)</t>
    </r>
  </si>
  <si>
    <r>
      <t xml:space="preserve">Komunikace a zpevněné plochy - část 7 </t>
    </r>
    <r>
      <rPr>
        <b/>
        <sz val="12"/>
        <color theme="1"/>
        <rFont val="Arial"/>
        <family val="2"/>
        <charset val="238"/>
      </rPr>
      <t>(SO 1100.7)</t>
    </r>
  </si>
  <si>
    <r>
      <t>Komunikace a zpevněné plochy - část 8</t>
    </r>
    <r>
      <rPr>
        <b/>
        <sz val="12"/>
        <color theme="1"/>
        <rFont val="Arial"/>
        <family val="2"/>
        <charset val="238"/>
      </rPr>
      <t xml:space="preserve"> (SO 1100.8)</t>
    </r>
  </si>
  <si>
    <r>
      <t xml:space="preserve">HTÚ </t>
    </r>
    <r>
      <rPr>
        <b/>
        <sz val="12"/>
        <color theme="1"/>
        <rFont val="Arial"/>
        <family val="2"/>
        <charset val="238"/>
      </rPr>
      <t>(SO 1000)</t>
    </r>
  </si>
  <si>
    <t xml:space="preserve">Splašková kanalizace </t>
  </si>
  <si>
    <r>
      <t xml:space="preserve">Splašková kanalizace - přípojka </t>
    </r>
    <r>
      <rPr>
        <b/>
        <sz val="12"/>
        <color theme="1"/>
        <rFont val="Arial"/>
        <family val="2"/>
        <charset val="238"/>
      </rPr>
      <t>(SO 1200.1)</t>
    </r>
  </si>
  <si>
    <r>
      <t xml:space="preserve">Splašková kanalizace - ČS + výtlak </t>
    </r>
    <r>
      <rPr>
        <b/>
        <sz val="12"/>
        <color theme="1"/>
        <rFont val="Arial"/>
        <family val="2"/>
        <charset val="238"/>
      </rPr>
      <t>(SO 1200.2)</t>
    </r>
  </si>
  <si>
    <r>
      <t xml:space="preserve">Splašková kanalizace - areál PR 01 </t>
    </r>
    <r>
      <rPr>
        <b/>
        <sz val="12"/>
        <color theme="1"/>
        <rFont val="Arial"/>
        <family val="2"/>
        <charset val="238"/>
      </rPr>
      <t>(SO 1200.10)</t>
    </r>
  </si>
  <si>
    <r>
      <t xml:space="preserve">Splašková kanalizace – areál společná </t>
    </r>
    <r>
      <rPr>
        <b/>
        <sz val="12"/>
        <color theme="1"/>
        <rFont val="Arial"/>
        <family val="2"/>
        <charset val="238"/>
      </rPr>
      <t>(SO 1200.3)</t>
    </r>
  </si>
  <si>
    <r>
      <t xml:space="preserve">Splašková kanalizace - areál PR 02 </t>
    </r>
    <r>
      <rPr>
        <b/>
        <sz val="12"/>
        <color theme="1"/>
        <rFont val="Arial"/>
        <family val="2"/>
        <charset val="238"/>
      </rPr>
      <t>(SO 1200.20)</t>
    </r>
  </si>
  <si>
    <r>
      <t xml:space="preserve">Splašková kanalizace - areál PR 03 </t>
    </r>
    <r>
      <rPr>
        <b/>
        <sz val="12"/>
        <color theme="1"/>
        <rFont val="Arial"/>
        <family val="2"/>
        <charset val="238"/>
      </rPr>
      <t>(SO 1200.30)</t>
    </r>
  </si>
  <si>
    <t>Dešťová kanalizace</t>
  </si>
  <si>
    <r>
      <t xml:space="preserve">Dešťová kanalizace – areál PR01 - západ </t>
    </r>
    <r>
      <rPr>
        <b/>
        <sz val="12"/>
        <color theme="1"/>
        <rFont val="Arial"/>
        <family val="2"/>
        <charset val="238"/>
      </rPr>
      <t>(SO 1250.10)</t>
    </r>
  </si>
  <si>
    <r>
      <t xml:space="preserve">Dešťová kanalizace - areál PR 01 - jih </t>
    </r>
    <r>
      <rPr>
        <b/>
        <sz val="12"/>
        <color theme="1"/>
        <rFont val="Arial"/>
        <family val="2"/>
        <charset val="238"/>
      </rPr>
      <t>(SO 1250.11)</t>
    </r>
  </si>
  <si>
    <r>
      <t xml:space="preserve">Dešťová kanalizace - AN PR 01 - jih </t>
    </r>
    <r>
      <rPr>
        <b/>
        <sz val="12"/>
        <color theme="1"/>
        <rFont val="Arial"/>
        <family val="2"/>
        <charset val="238"/>
      </rPr>
      <t>(SO 1250.12)</t>
    </r>
  </si>
  <si>
    <r>
      <t>Dešťová kanalizace - vsak PR 01 - JIH</t>
    </r>
    <r>
      <rPr>
        <b/>
        <sz val="12"/>
        <color theme="1"/>
        <rFont val="Arial"/>
        <family val="2"/>
        <charset val="238"/>
      </rPr>
      <t xml:space="preserve"> (SO 1250.13)</t>
    </r>
  </si>
  <si>
    <r>
      <t>Dešťová kanalizace - areál PR 02</t>
    </r>
    <r>
      <rPr>
        <b/>
        <sz val="12"/>
        <color theme="1"/>
        <rFont val="Arial"/>
        <family val="2"/>
        <charset val="238"/>
      </rPr>
      <t xml:space="preserve"> (SO 1250.20)</t>
    </r>
  </si>
  <si>
    <r>
      <t xml:space="preserve">Dešťová kanalizace - AN PR 02 </t>
    </r>
    <r>
      <rPr>
        <b/>
        <sz val="12"/>
        <color theme="1"/>
        <rFont val="Arial"/>
        <family val="2"/>
        <charset val="238"/>
      </rPr>
      <t>(SO 1250.21)</t>
    </r>
  </si>
  <si>
    <r>
      <t xml:space="preserve">Dešťová kanalizace - RN PR 02 </t>
    </r>
    <r>
      <rPr>
        <b/>
        <sz val="12"/>
        <color theme="1"/>
        <rFont val="Arial"/>
        <family val="2"/>
        <charset val="238"/>
      </rPr>
      <t>(SO 1250.22)</t>
    </r>
  </si>
  <si>
    <r>
      <t xml:space="preserve">Dešťová kanalizace - ČS + výtlak PR 02 </t>
    </r>
    <r>
      <rPr>
        <b/>
        <sz val="12"/>
        <color theme="1"/>
        <rFont val="Arial"/>
        <family val="2"/>
        <charset val="238"/>
      </rPr>
      <t>(SO 1250.23)</t>
    </r>
  </si>
  <si>
    <r>
      <t xml:space="preserve">Dešťová kanalizace - vsak PR 02 </t>
    </r>
    <r>
      <rPr>
        <b/>
        <sz val="12"/>
        <color theme="1"/>
        <rFont val="Arial"/>
        <family val="2"/>
        <charset val="238"/>
      </rPr>
      <t>(SO 1250.24)</t>
    </r>
  </si>
  <si>
    <r>
      <t xml:space="preserve">Dešťová kanalizace - areál PR 03 - východ </t>
    </r>
    <r>
      <rPr>
        <b/>
        <sz val="12"/>
        <color theme="1"/>
        <rFont val="Arial"/>
        <family val="2"/>
        <charset val="238"/>
      </rPr>
      <t>(SO 1250.30)</t>
    </r>
  </si>
  <si>
    <r>
      <t xml:space="preserve">Dešťová kanalizace - vsak PR 03 - východ </t>
    </r>
    <r>
      <rPr>
        <b/>
        <sz val="12"/>
        <color theme="1"/>
        <rFont val="Arial"/>
        <family val="2"/>
        <charset val="238"/>
      </rPr>
      <t>(SO 1250.31)</t>
    </r>
  </si>
  <si>
    <r>
      <t>Dešťová kanalizace - areál PR 03 - západ</t>
    </r>
    <r>
      <rPr>
        <b/>
        <sz val="12"/>
        <color theme="1"/>
        <rFont val="Arial"/>
        <family val="2"/>
        <charset val="238"/>
      </rPr>
      <t xml:space="preserve"> (SO 1250.32)</t>
    </r>
  </si>
  <si>
    <r>
      <t xml:space="preserve">Dešťová kanalizace - AN PR 03 - západ </t>
    </r>
    <r>
      <rPr>
        <b/>
        <sz val="12"/>
        <color theme="1"/>
        <rFont val="Arial"/>
        <family val="2"/>
        <charset val="238"/>
      </rPr>
      <t>(SO 1250.33)</t>
    </r>
  </si>
  <si>
    <r>
      <t xml:space="preserve">Dešťová kanalizace - vsak u PR 03 - západ </t>
    </r>
    <r>
      <rPr>
        <b/>
        <sz val="12"/>
        <color theme="1"/>
        <rFont val="Arial"/>
        <family val="2"/>
        <charset val="238"/>
      </rPr>
      <t>(SO 1250.34)</t>
    </r>
  </si>
  <si>
    <t>Zaolejovaná kanalizace</t>
  </si>
  <si>
    <r>
      <t xml:space="preserve">Zaolejovaná kanalizace - ORL PR 01 </t>
    </r>
    <r>
      <rPr>
        <b/>
        <sz val="12"/>
        <color theme="1"/>
        <rFont val="Arial"/>
        <family val="2"/>
        <charset val="238"/>
      </rPr>
      <t>(SO 1300.11)</t>
    </r>
  </si>
  <si>
    <r>
      <t xml:space="preserve">Zaolejovaná kanalizace - areál PR 02 - jih </t>
    </r>
    <r>
      <rPr>
        <b/>
        <sz val="12"/>
        <color theme="1"/>
        <rFont val="Arial"/>
        <family val="2"/>
        <charset val="238"/>
      </rPr>
      <t>(SO 1300.20)</t>
    </r>
  </si>
  <si>
    <r>
      <t xml:space="preserve">Zaolejovaná kanalizace - ORL PR 02 - jih </t>
    </r>
    <r>
      <rPr>
        <b/>
        <sz val="12"/>
        <color theme="1"/>
        <rFont val="Arial"/>
        <family val="2"/>
        <charset val="238"/>
      </rPr>
      <t>(SO 1300.21)</t>
    </r>
  </si>
  <si>
    <r>
      <t xml:space="preserve">Zaolejovaná kanalizace - areál PR 02 - sever </t>
    </r>
    <r>
      <rPr>
        <b/>
        <sz val="12"/>
        <color theme="1"/>
        <rFont val="Arial"/>
        <family val="2"/>
        <charset val="238"/>
      </rPr>
      <t>(SO 1300.22)</t>
    </r>
  </si>
  <si>
    <r>
      <t xml:space="preserve">Zaolejovaná kanalizace - RN PR 02 - sever </t>
    </r>
    <r>
      <rPr>
        <b/>
        <sz val="12"/>
        <color theme="1"/>
        <rFont val="Arial"/>
        <family val="2"/>
        <charset val="238"/>
      </rPr>
      <t>(SO 1300.24)</t>
    </r>
  </si>
  <si>
    <r>
      <t xml:space="preserve">Zaolejovaná kanalizace - areál PR 03 </t>
    </r>
    <r>
      <rPr>
        <b/>
        <sz val="12"/>
        <color theme="1"/>
        <rFont val="Arial"/>
        <family val="2"/>
        <charset val="238"/>
      </rPr>
      <t>(SO 1300.30)</t>
    </r>
  </si>
  <si>
    <r>
      <t xml:space="preserve">Zaolejovaná kanalizace - ORL PR 03 </t>
    </r>
    <r>
      <rPr>
        <b/>
        <sz val="12"/>
        <color theme="1"/>
        <rFont val="Arial"/>
        <family val="2"/>
        <charset val="238"/>
      </rPr>
      <t>(SO 1300.31)</t>
    </r>
  </si>
  <si>
    <r>
      <t xml:space="preserve">Zaolejovaná kanalizace - ČS + výtlak PR 03 </t>
    </r>
    <r>
      <rPr>
        <b/>
        <sz val="12"/>
        <color theme="1"/>
        <rFont val="Arial"/>
        <family val="2"/>
        <charset val="238"/>
      </rPr>
      <t>(SO 1300.32)</t>
    </r>
  </si>
  <si>
    <t>Vodovod</t>
  </si>
  <si>
    <r>
      <t xml:space="preserve">Vodovod - přeložka - východ </t>
    </r>
    <r>
      <rPr>
        <b/>
        <sz val="12"/>
        <color theme="1"/>
        <rFont val="Arial"/>
        <family val="2"/>
        <charset val="238"/>
      </rPr>
      <t>(SO 1350.1)</t>
    </r>
  </si>
  <si>
    <r>
      <t xml:space="preserve">Vodovod - přeložka - západ </t>
    </r>
    <r>
      <rPr>
        <b/>
        <sz val="12"/>
        <color theme="1"/>
        <rFont val="Arial"/>
        <family val="2"/>
        <charset val="238"/>
      </rPr>
      <t>(SO 1350.2)</t>
    </r>
  </si>
  <si>
    <r>
      <t xml:space="preserve">Vodovod - přípojka </t>
    </r>
    <r>
      <rPr>
        <b/>
        <sz val="12"/>
        <color theme="1"/>
        <rFont val="Arial"/>
        <family val="2"/>
        <charset val="238"/>
      </rPr>
      <t>(SO 1350.3)</t>
    </r>
  </si>
  <si>
    <r>
      <t xml:space="preserve">Vodovod – areálový rozvod - společný </t>
    </r>
    <r>
      <rPr>
        <b/>
        <sz val="12"/>
        <color theme="1"/>
        <rFont val="Arial"/>
        <family val="2"/>
        <charset val="238"/>
      </rPr>
      <t>(SO 1350.4)</t>
    </r>
  </si>
  <si>
    <r>
      <t xml:space="preserve">Vodovod – napojení SHZ </t>
    </r>
    <r>
      <rPr>
        <b/>
        <sz val="12"/>
        <color theme="1"/>
        <rFont val="Arial"/>
        <family val="2"/>
        <charset val="238"/>
      </rPr>
      <t>(SO 1350.5)</t>
    </r>
  </si>
  <si>
    <r>
      <t xml:space="preserve">Vodovod –areálový rozvod - PR 01 </t>
    </r>
    <r>
      <rPr>
        <b/>
        <sz val="12"/>
        <color theme="1"/>
        <rFont val="Arial"/>
        <family val="2"/>
        <charset val="238"/>
      </rPr>
      <t>(SO 1350.10)</t>
    </r>
  </si>
  <si>
    <r>
      <t xml:space="preserve">Vodovod – napojení PR 01 </t>
    </r>
    <r>
      <rPr>
        <b/>
        <sz val="12"/>
        <color theme="1"/>
        <rFont val="Arial"/>
        <family val="2"/>
        <charset val="238"/>
      </rPr>
      <t>(SO 1350.11)</t>
    </r>
  </si>
  <si>
    <r>
      <t xml:space="preserve">Vodovod – napojení PR 02 </t>
    </r>
    <r>
      <rPr>
        <b/>
        <sz val="12"/>
        <color theme="1"/>
        <rFont val="Arial"/>
        <family val="2"/>
        <charset val="238"/>
      </rPr>
      <t>(SO 1350.20)</t>
    </r>
  </si>
  <si>
    <r>
      <t xml:space="preserve">Vodovod – napojení PR 03 </t>
    </r>
    <r>
      <rPr>
        <b/>
        <sz val="12"/>
        <color theme="1"/>
        <rFont val="Arial"/>
        <family val="2"/>
        <charset val="238"/>
      </rPr>
      <t>(SO 1350.30)</t>
    </r>
  </si>
  <si>
    <t>Požární vodovod</t>
  </si>
  <si>
    <r>
      <t xml:space="preserve">Požární vodovod – část společná </t>
    </r>
    <r>
      <rPr>
        <b/>
        <sz val="12"/>
        <color theme="1"/>
        <rFont val="Arial"/>
        <family val="2"/>
        <charset val="238"/>
      </rPr>
      <t>(SO 1650.1)</t>
    </r>
  </si>
  <si>
    <r>
      <t xml:space="preserve">Požární vodovod – část PR 03 </t>
    </r>
    <r>
      <rPr>
        <b/>
        <sz val="12"/>
        <color theme="1"/>
        <rFont val="Arial"/>
        <family val="2"/>
        <charset val="238"/>
      </rPr>
      <t>(SO 1650.30)</t>
    </r>
  </si>
  <si>
    <r>
      <t xml:space="preserve">Požární vodovod – část PR 02 </t>
    </r>
    <r>
      <rPr>
        <b/>
        <sz val="12"/>
        <color theme="1"/>
        <rFont val="Arial"/>
        <family val="2"/>
        <charset val="238"/>
      </rPr>
      <t>(SO 1650.20)</t>
    </r>
  </si>
  <si>
    <r>
      <t>Požární vodovod – část PR 01</t>
    </r>
    <r>
      <rPr>
        <b/>
        <sz val="12"/>
        <color theme="1"/>
        <rFont val="Arial"/>
        <family val="2"/>
        <charset val="238"/>
      </rPr>
      <t xml:space="preserve"> (SO 1650.10)</t>
    </r>
  </si>
  <si>
    <r>
      <t xml:space="preserve">Venkovní elektroinstalace </t>
    </r>
    <r>
      <rPr>
        <b/>
        <sz val="12"/>
        <color theme="1"/>
        <rFont val="Arial"/>
        <family val="2"/>
        <charset val="238"/>
      </rPr>
      <t>(SO 7500)</t>
    </r>
  </si>
  <si>
    <t>Kabely</t>
  </si>
  <si>
    <t>Svítidla</t>
  </si>
  <si>
    <t>Elektroinstalační materiály a kabelové trasy</t>
  </si>
  <si>
    <t>Zemní práce</t>
  </si>
  <si>
    <t>Materiál</t>
  </si>
  <si>
    <r>
      <t xml:space="preserve">Areálové rozvody VN a trafostanice </t>
    </r>
    <r>
      <rPr>
        <b/>
        <sz val="12"/>
        <color theme="1"/>
        <rFont val="Arial"/>
        <family val="2"/>
        <charset val="238"/>
      </rPr>
      <t>(SO 7600)</t>
    </r>
  </si>
  <si>
    <t>Pilotové založení</t>
  </si>
  <si>
    <t>Monolitické dobetonávky</t>
  </si>
  <si>
    <t>Střešní plášť</t>
  </si>
  <si>
    <t>Světlíky</t>
  </si>
  <si>
    <t>Průmyslové vrata</t>
  </si>
  <si>
    <t>Vnitřní příčky</t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</si>
  <si>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7200)</t>
    </r>
  </si>
  <si>
    <r>
      <t xml:space="preserve">Silnoproudá elektroinstalace </t>
    </r>
    <r>
      <rPr>
        <b/>
        <sz val="12"/>
        <color theme="1"/>
        <rFont val="Arial"/>
        <family val="2"/>
        <charset val="238"/>
      </rPr>
      <t>(SO 7000)</t>
    </r>
  </si>
  <si>
    <t>SHZ nádrž</t>
  </si>
  <si>
    <t>CENOVÁ NABÍDKA</t>
  </si>
  <si>
    <t>Zadavatel:</t>
  </si>
  <si>
    <t>Zhotovitel:</t>
  </si>
  <si>
    <t>Vyřizuje:
Tel.:
e-mail:</t>
  </si>
  <si>
    <t>Zpracoval:
Tel.:
e-mail:</t>
  </si>
  <si>
    <t>Tel.:</t>
  </si>
  <si>
    <t>e-mail:</t>
  </si>
  <si>
    <t>Číslo nabídky:</t>
  </si>
  <si>
    <t>Datum:</t>
  </si>
  <si>
    <t>NÁZEV AKCE :</t>
  </si>
  <si>
    <t xml:space="preserve"> </t>
  </si>
  <si>
    <t>REKAPITULACE NÁKLADŮ :</t>
  </si>
  <si>
    <t>CELKEM ZA OBJEKT:</t>
  </si>
  <si>
    <t>POZNÁMKA:</t>
  </si>
  <si>
    <t>PŘÍLOHY:</t>
  </si>
  <si>
    <t>Položkový rozpočet</t>
  </si>
  <si>
    <t>HTÚ</t>
  </si>
  <si>
    <t>Splašková kanalizace</t>
  </si>
  <si>
    <t>Venkovní elektroinstalace</t>
  </si>
  <si>
    <t>Areálové rozvody VN a trafostanice</t>
  </si>
  <si>
    <r>
      <t xml:space="preserve">Zaolejovaná kanalizace - areál PR 01 </t>
    </r>
    <r>
      <rPr>
        <b/>
        <sz val="12"/>
        <color theme="1"/>
        <rFont val="Arial"/>
        <family val="2"/>
        <charset val="238"/>
      </rPr>
      <t>(SO 1300.10)</t>
    </r>
  </si>
  <si>
    <r>
      <t xml:space="preserve">Zaolejovaná kanalizace - RN PR 01 </t>
    </r>
    <r>
      <rPr>
        <b/>
        <sz val="12"/>
        <color theme="1"/>
        <rFont val="Arial"/>
        <family val="2"/>
        <charset val="238"/>
      </rPr>
      <t>(SO 1300.12)</t>
    </r>
  </si>
  <si>
    <r>
      <t xml:space="preserve">Zaolejovaná kanalizace - ORL PR 02 - sever </t>
    </r>
    <r>
      <rPr>
        <b/>
        <sz val="12"/>
        <color theme="1"/>
        <rFont val="Arial"/>
        <family val="2"/>
        <charset val="238"/>
      </rPr>
      <t>(SO 1300.23)</t>
    </r>
  </si>
  <si>
    <t>Hala PR01</t>
  </si>
  <si>
    <t>Hala PR02</t>
  </si>
  <si>
    <t>Hala PR03</t>
  </si>
  <si>
    <t>PD - v rozsahu dle VV</t>
  </si>
  <si>
    <t>VRN - v rozsahu dle VV</t>
  </si>
  <si>
    <t>Roman  Červený</t>
  </si>
  <si>
    <t>cerveny@konderla.eu</t>
  </si>
  <si>
    <t>Příkop 843/4 </t>
  </si>
  <si>
    <t>Konderla Development, s.r.o.</t>
  </si>
  <si>
    <t>602 00 Brno</t>
  </si>
  <si>
    <t>RC Zone Přerov</t>
  </si>
  <si>
    <t>&gt;&gt;  skryté sloupce  &lt;&lt;</t>
  </si>
  <si>
    <t>{82a7035e-46a0-4833-af62-0bfe3c1c4662}</t>
  </si>
  <si>
    <t>2</t>
  </si>
  <si>
    <t>KRYCÍ LIST SOUPISU PRACÍ</t>
  </si>
  <si>
    <t>v ---  níže se nacházejí doplnkové a pomocné údaje k sestavám  --- v</t>
  </si>
  <si>
    <t>False</t>
  </si>
  <si>
    <t>Stavba:</t>
  </si>
  <si>
    <t>Objekt:</t>
  </si>
  <si>
    <t>03 - Prefa konstrukce hala 01, 02, 03</t>
  </si>
  <si>
    <t>KSO:</t>
  </si>
  <si>
    <t/>
  </si>
  <si>
    <t>CC-CZ:</t>
  </si>
  <si>
    <t>Místo:</t>
  </si>
  <si>
    <t>IČ:</t>
  </si>
  <si>
    <t>DIČ:</t>
  </si>
  <si>
    <t>Projektant:</t>
  </si>
  <si>
    <t>Zpracovatel:</t>
  </si>
  <si>
    <t>Poznámka:</t>
  </si>
  <si>
    <t>Cena bez DPH</t>
  </si>
  <si>
    <t>Základ daně</t>
  </si>
  <si>
    <t>Sazba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</si>
  <si>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</si>
  <si>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</si>
  <si>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</si>
  <si>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</si>
  <si>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</si>
  <si>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</si>
  <si>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</si>
  <si>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</si>
  <si>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</si>
  <si>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</si>
  <si>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</si>
  <si>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</si>
  <si>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</si>
  <si>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</si>
  <si>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</si>
  <si>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Zhotovitel</t>
  </si>
  <si>
    <t>REKAPITULACE ČLENĚNÍ SOUPISU PRACÍ</t>
  </si>
  <si>
    <t>Kód dílu - Popis</t>
  </si>
  <si>
    <t>Cena celkem [CZK]</t>
  </si>
  <si>
    <t>Náklady ze soupisu prací</t>
  </si>
  <si>
    <t>-1</t>
  </si>
  <si>
    <t>D1 - Nosná konstrukce SO 01</t>
  </si>
  <si>
    <t>D2 - Nosná konstrukce SO 02</t>
  </si>
  <si>
    <t>SOUPIS PRACÍ</t>
  </si>
  <si>
    <t>PČ</t>
  </si>
  <si>
    <t>Typ</t>
  </si>
  <si>
    <t>Kód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</si>
  <si>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</si>
  <si>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</si>
  <si>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</si>
  <si>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</si>
  <si>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</si>
  <si>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</si>
  <si>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</si>
  <si>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</si>
  <si>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</si>
  <si>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</si>
  <si>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</si>
  <si>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D</t>
  </si>
  <si>
    <t>D1</t>
  </si>
  <si>
    <t>1</t>
  </si>
  <si>
    <t>0</t>
  </si>
  <si>
    <t>ROZPOCET</t>
  </si>
  <si>
    <t>K</t>
  </si>
  <si>
    <t>sloupy</t>
  </si>
  <si>
    <t>ks</t>
  </si>
  <si>
    <t>4</t>
  </si>
  <si>
    <t>vazníky</t>
  </si>
  <si>
    <t>3</t>
  </si>
  <si>
    <t>vaznice</t>
  </si>
  <si>
    <t>6</t>
  </si>
  <si>
    <t>ztužidla</t>
  </si>
  <si>
    <t>8</t>
  </si>
  <si>
    <t>5</t>
  </si>
  <si>
    <t>10</t>
  </si>
  <si>
    <t>základové prahy sendvičové tl. 410mm</t>
  </si>
  <si>
    <t>12</t>
  </si>
  <si>
    <t>7</t>
  </si>
  <si>
    <t>parapetní panely plné tl. 140mm</t>
  </si>
  <si>
    <t>14</t>
  </si>
  <si>
    <t>prvky rampových můstků</t>
  </si>
  <si>
    <t>16</t>
  </si>
  <si>
    <t>9</t>
  </si>
  <si>
    <t>monolitická dna rampových můstků</t>
  </si>
  <si>
    <t>18</t>
  </si>
  <si>
    <t>monolitická pata základových prahů</t>
  </si>
  <si>
    <t>20</t>
  </si>
  <si>
    <t>11</t>
  </si>
  <si>
    <t>stropní dílce budoucího rozšíření</t>
  </si>
  <si>
    <t>22</t>
  </si>
  <si>
    <t>D2</t>
  </si>
  <si>
    <t>24</t>
  </si>
  <si>
    <t>13</t>
  </si>
  <si>
    <t>26</t>
  </si>
  <si>
    <t>28</t>
  </si>
  <si>
    <t>15</t>
  </si>
  <si>
    <t>30</t>
  </si>
  <si>
    <t>32</t>
  </si>
  <si>
    <t>17</t>
  </si>
  <si>
    <t>34</t>
  </si>
  <si>
    <t>36</t>
  </si>
  <si>
    <t>19</t>
  </si>
  <si>
    <t>38</t>
  </si>
  <si>
    <t>40</t>
  </si>
  <si>
    <t>21</t>
  </si>
  <si>
    <t>42</t>
  </si>
  <si>
    <t>44</t>
  </si>
  <si>
    <t>23</t>
  </si>
  <si>
    <t>46</t>
  </si>
  <si>
    <t>48</t>
  </si>
  <si>
    <t>25</t>
  </si>
  <si>
    <t>50</t>
  </si>
  <si>
    <t>Nosná konstrukce PR03</t>
  </si>
  <si>
    <t>Nosná konstrukce PR01</t>
  </si>
  <si>
    <t>Nosná konstrukce PR02</t>
  </si>
  <si>
    <t>Prefa konstrukce</t>
  </si>
  <si>
    <t>D3</t>
  </si>
  <si>
    <t>D3 - Nosná konstrukce SO 02</t>
  </si>
  <si>
    <t>RC Zone Přerov - Prefa konstrukce</t>
  </si>
  <si>
    <t>Podtlakové odvodnění střechy</t>
  </si>
  <si>
    <t>STAVBA CELKEM bez DPH</t>
  </si>
  <si>
    <t>Inflační příplatek 5% pro PR03</t>
  </si>
  <si>
    <t>PS BRNO, s.r.o.</t>
  </si>
  <si>
    <t>Vídeňská 153/119b</t>
  </si>
  <si>
    <t>619 00 Brno</t>
  </si>
  <si>
    <t>ing. Radek Černohorský</t>
  </si>
  <si>
    <t>cernohorsky@ps-brno.cz</t>
  </si>
  <si>
    <t>nebylo ve VV</t>
  </si>
  <si>
    <t>předpokládaný nárůst ceny v době realizace haly PR03 dle HMG</t>
  </si>
  <si>
    <t>viz monolity</t>
  </si>
  <si>
    <r>
      <t xml:space="preserve">základové prahy sendvičové tl. </t>
    </r>
    <r>
      <rPr>
        <sz val="9"/>
        <color rgb="FFFF0000"/>
        <rFont val="Arial CE"/>
        <family val="2"/>
        <charset val="238"/>
      </rPr>
      <t>300mm</t>
    </r>
  </si>
  <si>
    <r>
      <t>základové prahy sendvičové tl.</t>
    </r>
    <r>
      <rPr>
        <sz val="9"/>
        <color rgb="FFFF0000"/>
        <rFont val="Arial CE"/>
        <family val="2"/>
        <charset val="238"/>
      </rPr>
      <t xml:space="preserve"> 300mm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</si>
</sst>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#,##0\ [$€-1]_);[Red]\(#,##0\ [$€-1]\)"/>
    <numFmt numFmtId="165" formatCode="#,##0\ &quot;Kč&quot;;[Red]#,##0\ &quot;Kč&quot;"/>
    <numFmt numFmtId="166" formatCode="#,##0\ &quot;Kč&quot;"/>
    <numFmt numFmtId="167" formatCode="dd\.mm\.yyyy"/>
    <numFmt numFmtId="168" formatCode="#,##0.00%"/>
    <numFmt numFmtId="169" formatCode="#,##0.00000"/>
    <numFmt numFmtId="170" formatCode="#,##0.000"/>
    <numFmt numFmtId="171" formatCode="_-* #,##0_-;\-* #,##0_-;_-* &quot;-&quot;??_-;_-@_-"/>
  </numFmts>
  <fonts count="54">
    <font>
      <sz val="11"/>
      <color theme="1"/>
      <name val="Aptos Narrow"/>
      <family val="2"/>
      <charset val="238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color rgb="FFFF0000"/>
      <name val="Arial"/>
      <family val="2"/>
      <charset val="238"/>
    </font>
    <font>
      <sz val="12"/>
      <name val="formata"/>
      <charset val="238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name val="Arial CE"/>
      <family val="2"/>
      <charset val="238"/>
    </font>
    <font>
      <b/>
      <sz val="28"/>
      <color indexed="55"/>
      <name val="Tahoma"/>
      <family val="2"/>
    </font>
    <font>
      <b/>
      <sz val="10"/>
      <name val="Arial CE"/>
      <family val="2"/>
      <charset val="238"/>
    </font>
    <font>
      <b/>
      <sz val="10"/>
      <name val="Arial"/>
      <family val="2"/>
      <charset val="238"/>
    </font>
    <font>
      <b/>
      <sz val="10"/>
      <name val="Arial CE"/>
      <charset val="238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 CE"/>
      <family val="2"/>
      <charset val="238"/>
    </font>
    <font>
      <b/>
      <sz val="11"/>
      <name val="Arial CE"/>
      <family val="2"/>
      <charset val="238"/>
    </font>
    <font>
      <b/>
      <sz val="11"/>
      <color theme="1"/>
      <name val="Aptos Narrow"/>
      <family val="2"/>
      <charset val="238"/>
      <scheme val="minor"/>
    </font>
    <font>
      <sz val="7"/>
      <color theme="1"/>
      <name val="Arial"/>
      <family val="2"/>
      <charset val="238"/>
    </font>
    <font>
      <b/>
      <sz val="11"/>
      <color theme="1" tint="0.34998626667073579"/>
      <name val="Arial"/>
      <family val="2"/>
      <charset val="238"/>
    </font>
    <font>
      <b/>
      <sz val="10"/>
      <color theme="1" tint="0.34998626667073579"/>
      <name val="Arial"/>
      <family val="2"/>
      <charset val="238"/>
    </font>
    <font>
      <sz val="8"/>
      <name val="Arial CE"/>
      <family val="2"/>
    </font>
    <font>
      <sz val="8"/>
      <color rgb="FF3366FF"/>
      <name val="Arial CE"/>
    </font>
    <font>
      <b/>
      <sz val="14"/>
      <name val="Arial CE"/>
    </font>
    <font>
      <sz val="10"/>
      <color rgb="FF3366FF"/>
      <name val="Arial CE"/>
    </font>
    <font>
      <sz val="10"/>
      <color rgb="FF969696"/>
      <name val="Arial CE"/>
    </font>
    <font>
      <b/>
      <sz val="11"/>
      <name val="Arial CE"/>
    </font>
    <font>
      <sz val="10"/>
      <name val="Arial CE"/>
    </font>
    <font>
      <b/>
      <sz val="10"/>
      <name val="Arial CE"/>
    </font>
    <font>
      <b/>
      <sz val="12"/>
      <color rgb="FF960000"/>
      <name val="Arial CE"/>
    </font>
    <font>
      <sz val="8"/>
      <color rgb="FF969696"/>
      <name val="Arial CE"/>
    </font>
    <font>
      <b/>
      <sz val="12"/>
      <name val="Arial CE"/>
    </font>
    <font>
      <b/>
      <sz val="10"/>
      <color rgb="FF464646"/>
      <name val="Arial CE"/>
    </font>
    <font>
      <sz val="9"/>
      <name val="Arial CE"/>
    </font>
    <font>
      <b/>
      <sz val="12"/>
      <color rgb="FF800000"/>
      <name val="Arial CE"/>
    </font>
    <font>
      <sz val="12"/>
      <color rgb="FF003366"/>
      <name val="Arial CE"/>
    </font>
    <font>
      <sz val="9"/>
      <color rgb="FF969696"/>
      <name val="Arial CE"/>
    </font>
    <font>
      <sz val="8"/>
      <color rgb="FF960000"/>
      <name val="Arial CE"/>
    </font>
    <font>
      <b/>
      <sz val="8"/>
      <name val="Arial CE"/>
    </font>
    <font>
      <sz val="8"/>
      <color rgb="FF003366"/>
      <name val="Arial CE"/>
    </font>
    <font>
      <sz val="10"/>
      <color theme="1"/>
      <name val="Arial Narrow"/>
      <family val="2"/>
      <charset val="238"/>
    </font>
    <font>
      <u/>
      <sz val="12"/>
      <color indexed="8"/>
      <name val="formata"/>
      <charset val="238"/>
    </font>
    <font>
      <sz val="10"/>
      <name val="MS Sans Serif"/>
      <family val="2"/>
      <charset val="238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0"/>
      <name val="Helv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2"/>
      <color rgb="FFFF0000"/>
      <name val="Arial"/>
      <family val="2"/>
      <charset val="238"/>
    </font>
    <font>
      <sz val="9"/>
      <color rgb="FFFF0000"/>
      <name val="Arial CE"/>
      <family val="2"/>
      <charset val="238"/>
    </font>
    <font>
      <sz val="9"/>
      <name val="Arial CE"/>
      <family val="2"/>
      <charset val="238"/>
    </font>
    <font>
      <sz val="8"/>
      <color rgb="FFFF0000"/>
      <name val="Arial CE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</patternFill>
    </fill>
    <fill>
      <patternFill patternType="solid">
        <fgColor rgb="FFD2D2D2"/>
      </patternFill>
    </fill>
  </fills>
  <borders count="6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969696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</borders>
  <cellStyleXfs count="26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0"/>
    <xf numFmtId="0" fontId="8" fillId="0" borderId="0"/>
    <xf numFmtId="0" fontId="2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2" fillId="0" borderId="0"/>
    <xf numFmtId="0" fontId="48" fillId="0" borderId="0"/>
    <xf numFmtId="0" fontId="43" fillId="0" borderId="0" applyNumberFormat="0" applyBorder="0" applyAlignment="0" applyProtection="0">
      <alignment vertical="top"/>
      <protection locked="0"/>
    </xf>
    <xf numFmtId="0" fontId="44" fillId="0" borderId="0"/>
    <xf numFmtId="0" fontId="45" fillId="0" borderId="0"/>
    <xf numFmtId="0" fontId="10" fillId="0" borderId="0"/>
    <xf numFmtId="0" fontId="7" fillId="0" borderId="0"/>
    <xf numFmtId="0" fontId="46" fillId="0" borderId="0"/>
    <xf numFmtId="1" fontId="10" fillId="0" borderId="0">
      <alignment horizontal="center" vertical="center"/>
      <protection locked="0"/>
    </xf>
    <xf numFmtId="0" fontId="15" fillId="0" borderId="0"/>
    <xf numFmtId="0" fontId="4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9" fillId="0" borderId="0"/>
    <xf numFmtId="43" fontId="42" fillId="0" borderId="0" applyFont="0" applyFill="0" applyBorder="0" applyAlignment="0" applyProtection="0"/>
  </cellStyleXfs>
  <cellXfs count="250">
    <xf numFmtId="0" fontId="0" fillId="0" borderId="0" xfId="0"/>
    <xf numFmtId="2" fontId="3" fillId="0" borderId="1" xfId="0" applyNumberFormat="1" applyFont="1" applyBorder="1" applyAlignment="1" applyProtection="1">
      <alignment vertical="center"/>
      <protection hidden="1"/>
    </xf>
    <xf numFmtId="49" fontId="1" fillId="3" borderId="1" xfId="0" applyNumberFormat="1" applyFont="1" applyFill="1" applyBorder="1" applyAlignment="1" applyProtection="1">
      <alignment vertical="center"/>
      <protection hidden="1"/>
    </xf>
    <xf numFmtId="165" fontId="1" fillId="3" borderId="1" xfId="0" applyNumberFormat="1" applyFont="1" applyFill="1" applyBorder="1" applyAlignment="1" applyProtection="1">
      <alignment vertical="center"/>
      <protection hidden="1"/>
    </xf>
    <xf numFmtId="49" fontId="3" fillId="0" borderId="1" xfId="0" applyNumberFormat="1" applyFont="1" applyBorder="1" applyAlignment="1" applyProtection="1">
      <alignment vertical="center"/>
      <protection hidden="1"/>
    </xf>
    <xf numFmtId="164" fontId="3" fillId="0" borderId="1" xfId="0" applyNumberFormat="1" applyFont="1" applyBorder="1" applyAlignment="1" applyProtection="1">
      <alignment vertical="center"/>
      <protection hidden="1"/>
    </xf>
    <xf numFmtId="165" fontId="3" fillId="2" borderId="1" xfId="0" applyNumberFormat="1" applyFont="1" applyFill="1" applyBorder="1" applyAlignment="1" applyProtection="1">
      <alignment vertical="center"/>
      <protection locked="0"/>
    </xf>
    <xf numFmtId="49" fontId="1" fillId="3" borderId="3" xfId="0" applyNumberFormat="1" applyFont="1" applyFill="1" applyBorder="1" applyAlignment="1" applyProtection="1">
      <alignment vertical="center"/>
      <protection hidden="1"/>
    </xf>
    <xf numFmtId="165" fontId="1" fillId="3" borderId="3" xfId="0" applyNumberFormat="1" applyFont="1" applyFill="1" applyBorder="1" applyAlignment="1" applyProtection="1">
      <alignment vertical="center"/>
      <protection hidden="1"/>
    </xf>
    <xf numFmtId="49" fontId="1" fillId="3" borderId="2" xfId="0" applyNumberFormat="1" applyFont="1" applyFill="1" applyBorder="1" applyAlignment="1" applyProtection="1">
      <alignment horizontal="center" vertical="center"/>
      <protection hidden="1"/>
    </xf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49" fontId="3" fillId="0" borderId="1" xfId="0" applyNumberFormat="1" applyFont="1" applyBorder="1" applyAlignment="1" applyProtection="1">
      <alignment horizontal="right" vertical="center"/>
      <protection hidden="1"/>
    </xf>
    <xf numFmtId="165" fontId="0" fillId="0" borderId="0" xfId="0" applyNumberFormat="1"/>
    <xf numFmtId="49" fontId="3" fillId="0" borderId="1" xfId="0" applyNumberFormat="1" applyFont="1" applyBorder="1" applyAlignment="1" applyProtection="1">
      <alignment horizontal="left" vertical="center"/>
      <protection hidden="1"/>
    </xf>
    <xf numFmtId="165" fontId="5" fillId="2" borderId="1" xfId="0" applyNumberFormat="1" applyFont="1" applyFill="1" applyBorder="1" applyAlignment="1" applyProtection="1">
      <alignment vertical="center"/>
      <protection hidden="1"/>
    </xf>
    <xf numFmtId="0" fontId="13" fillId="4" borderId="10" xfId="3" applyFont="1" applyFill="1" applyBorder="1" applyAlignment="1">
      <alignment horizontal="left" vertical="center" wrapText="1" indent="1"/>
    </xf>
    <xf numFmtId="3" fontId="15" fillId="4" borderId="10" xfId="3" applyNumberFormat="1" applyFont="1" applyFill="1" applyBorder="1" applyAlignment="1">
      <alignment horizontal="left" vertical="center" wrapText="1" indent="1"/>
    </xf>
    <xf numFmtId="3" fontId="15" fillId="4" borderId="13" xfId="3" applyNumberFormat="1" applyFont="1" applyFill="1" applyBorder="1" applyAlignment="1">
      <alignment horizontal="left" vertical="center" wrapText="1" indent="1"/>
    </xf>
    <xf numFmtId="0" fontId="15" fillId="4" borderId="10" xfId="3" applyFont="1" applyFill="1" applyBorder="1" applyAlignment="1">
      <alignment horizontal="left" vertical="center" wrapText="1" indent="1"/>
    </xf>
    <xf numFmtId="0" fontId="9" fillId="4" borderId="13" xfId="2" applyFill="1" applyBorder="1" applyAlignment="1">
      <alignment horizontal="left" vertical="center" wrapText="1" indent="1"/>
    </xf>
    <xf numFmtId="0" fontId="0" fillId="4" borderId="1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6" fillId="0" borderId="2" xfId="3" applyFont="1" applyBorder="1" applyAlignment="1">
      <alignment horizontal="left" vertical="center" wrapText="1"/>
    </xf>
    <xf numFmtId="0" fontId="12" fillId="5" borderId="2" xfId="2" applyFont="1" applyFill="1" applyBorder="1" applyAlignment="1">
      <alignment horizontal="left" vertical="center" wrapText="1" indent="1"/>
    </xf>
    <xf numFmtId="14" fontId="14" fillId="5" borderId="2" xfId="2" applyNumberFormat="1" applyFont="1" applyFill="1" applyBorder="1" applyAlignment="1" applyProtection="1">
      <alignment horizontal="left" vertical="center" wrapText="1" indent="1"/>
    </xf>
    <xf numFmtId="0" fontId="16" fillId="5" borderId="16" xfId="3" applyFont="1" applyFill="1" applyBorder="1" applyAlignment="1">
      <alignment horizontal="left" vertical="center" wrapText="1"/>
    </xf>
    <xf numFmtId="0" fontId="9" fillId="5" borderId="0" xfId="2" applyFill="1" applyAlignment="1">
      <alignment horizontal="left" vertical="center" wrapText="1" indent="1"/>
    </xf>
    <xf numFmtId="0" fontId="16" fillId="5" borderId="0" xfId="3" applyFont="1" applyFill="1" applyAlignment="1">
      <alignment horizontal="left" vertical="center" wrapText="1"/>
    </xf>
    <xf numFmtId="0" fontId="9" fillId="5" borderId="15" xfId="2" applyFill="1" applyBorder="1" applyAlignment="1">
      <alignment horizontal="left" vertical="center" wrapText="1" indent="1"/>
    </xf>
    <xf numFmtId="0" fontId="17" fillId="6" borderId="5" xfId="0" applyFont="1" applyFill="1" applyBorder="1" applyAlignment="1">
      <alignment horizontal="left"/>
    </xf>
    <xf numFmtId="0" fontId="17" fillId="6" borderId="6" xfId="0" applyFont="1" applyFill="1" applyBorder="1" applyAlignment="1">
      <alignment horizontal="left"/>
    </xf>
    <xf numFmtId="0" fontId="10" fillId="0" borderId="13" xfId="3" applyBorder="1" applyAlignment="1">
      <alignment horizontal="right" vertical="top" wrapText="1" indent="1"/>
    </xf>
    <xf numFmtId="166" fontId="10" fillId="0" borderId="13" xfId="3" applyNumberFormat="1" applyBorder="1" applyAlignment="1">
      <alignment horizontal="right" vertical="top" wrapText="1" indent="1"/>
    </xf>
    <xf numFmtId="166" fontId="18" fillId="6" borderId="13" xfId="3" applyNumberFormat="1" applyFont="1" applyFill="1" applyBorder="1" applyAlignment="1">
      <alignment horizontal="right" vertical="center" indent="1"/>
    </xf>
    <xf numFmtId="0" fontId="11" fillId="0" borderId="16" xfId="3" applyFont="1" applyBorder="1" applyAlignment="1">
      <alignment vertical="center"/>
    </xf>
    <xf numFmtId="0" fontId="12" fillId="0" borderId="16" xfId="3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10" fillId="0" borderId="0" xfId="3" applyAlignment="1">
      <alignment wrapText="1"/>
    </xf>
    <xf numFmtId="0" fontId="8" fillId="0" borderId="16" xfId="4" applyBorder="1" applyAlignment="1">
      <alignment vertical="top"/>
    </xf>
    <xf numFmtId="0" fontId="8" fillId="0" borderId="0" xfId="4" applyAlignment="1">
      <alignment vertical="top"/>
    </xf>
    <xf numFmtId="0" fontId="0" fillId="0" borderId="16" xfId="0" applyBorder="1" applyAlignment="1">
      <alignment vertical="top"/>
    </xf>
    <xf numFmtId="0" fontId="0" fillId="0" borderId="0" xfId="0" applyAlignment="1">
      <alignment vertical="top"/>
    </xf>
    <xf numFmtId="0" fontId="0" fillId="0" borderId="15" xfId="0" applyBorder="1" applyAlignment="1">
      <alignment vertical="top"/>
    </xf>
    <xf numFmtId="0" fontId="12" fillId="0" borderId="7" xfId="3" applyFont="1" applyBorder="1" applyAlignment="1">
      <alignment horizontal="left"/>
    </xf>
    <xf numFmtId="0" fontId="11" fillId="0" borderId="0" xfId="3" applyFont="1" applyAlignment="1">
      <alignment vertical="center"/>
    </xf>
    <xf numFmtId="0" fontId="10" fillId="0" borderId="15" xfId="3" applyBorder="1"/>
    <xf numFmtId="0" fontId="9" fillId="4" borderId="15" xfId="2" applyFill="1" applyBorder="1" applyAlignment="1">
      <alignment horizontal="left" indent="1"/>
    </xf>
    <xf numFmtId="0" fontId="1" fillId="3" borderId="30" xfId="0" applyFont="1" applyFill="1" applyBorder="1" applyAlignment="1" applyProtection="1">
      <alignment horizontal="center" vertical="center"/>
      <protection hidden="1"/>
    </xf>
    <xf numFmtId="164" fontId="1" fillId="3" borderId="31" xfId="0" applyNumberFormat="1" applyFont="1" applyFill="1" applyBorder="1" applyAlignment="1" applyProtection="1">
      <alignment horizontal="center" vertical="center"/>
      <protection hidden="1"/>
    </xf>
    <xf numFmtId="0" fontId="1" fillId="3" borderId="32" xfId="0" applyFont="1" applyFill="1" applyBorder="1" applyAlignment="1" applyProtection="1">
      <alignment vertical="center"/>
      <protection hidden="1"/>
    </xf>
    <xf numFmtId="164" fontId="1" fillId="3" borderId="33" xfId="0" applyNumberFormat="1" applyFont="1" applyFill="1" applyBorder="1" applyAlignment="1" applyProtection="1">
      <alignment vertical="center"/>
      <protection hidden="1"/>
    </xf>
    <xf numFmtId="49" fontId="3" fillId="0" borderId="34" xfId="0" applyNumberFormat="1" applyFont="1" applyBorder="1" applyAlignment="1" applyProtection="1">
      <alignment horizontal="right" vertical="center"/>
      <protection hidden="1"/>
    </xf>
    <xf numFmtId="49" fontId="3" fillId="0" borderId="35" xfId="0" applyNumberFormat="1" applyFont="1" applyBorder="1" applyAlignment="1" applyProtection="1">
      <alignment horizontal="right" vertical="center"/>
      <protection hidden="1"/>
    </xf>
    <xf numFmtId="0" fontId="6" fillId="0" borderId="35" xfId="0" applyFont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hidden="1"/>
    </xf>
    <xf numFmtId="0" fontId="1" fillId="3" borderId="34" xfId="0" applyFont="1" applyFill="1" applyBorder="1" applyAlignment="1" applyProtection="1">
      <alignment vertical="center"/>
      <protection hidden="1"/>
    </xf>
    <xf numFmtId="0" fontId="2" fillId="3" borderId="35" xfId="0" applyFont="1" applyFill="1" applyBorder="1" applyAlignment="1" applyProtection="1">
      <alignment vertical="center" wrapText="1"/>
      <protection hidden="1"/>
    </xf>
    <xf numFmtId="0" fontId="4" fillId="0" borderId="35" xfId="0" applyFont="1" applyBorder="1" applyAlignment="1" applyProtection="1">
      <alignment vertical="center" wrapText="1"/>
      <protection locked="0"/>
    </xf>
    <xf numFmtId="0" fontId="6" fillId="0" borderId="35" xfId="0" applyFont="1" applyBorder="1" applyAlignment="1" applyProtection="1">
      <alignment vertical="center" wrapText="1"/>
      <protection locked="0"/>
    </xf>
    <xf numFmtId="0" fontId="3" fillId="0" borderId="34" xfId="0" applyFont="1" applyBorder="1" applyAlignment="1" applyProtection="1">
      <alignment horizontal="right" vertical="center"/>
      <protection hidden="1"/>
    </xf>
    <xf numFmtId="0" fontId="3" fillId="0" borderId="36" xfId="0" applyFont="1" applyBorder="1" applyAlignment="1" applyProtection="1">
      <alignment horizontal="right" vertical="center"/>
      <protection hidden="1"/>
    </xf>
    <xf numFmtId="49" fontId="3" fillId="0" borderId="37" xfId="0" applyNumberFormat="1" applyFont="1" applyBorder="1" applyAlignment="1" applyProtection="1">
      <alignment vertical="center"/>
      <protection hidden="1"/>
    </xf>
    <xf numFmtId="164" fontId="3" fillId="0" borderId="37" xfId="0" applyNumberFormat="1" applyFont="1" applyBorder="1" applyAlignment="1" applyProtection="1">
      <alignment vertical="center"/>
      <protection hidden="1"/>
    </xf>
    <xf numFmtId="0" fontId="4" fillId="0" borderId="38" xfId="0" applyFont="1" applyBorder="1" applyAlignment="1" applyProtection="1">
      <alignment vertical="center" wrapText="1"/>
      <protection hidden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0" fontId="23" fillId="0" borderId="0" xfId="5"/>
    <xf numFmtId="0" fontId="23" fillId="0" borderId="0" xfId="5" applyAlignment="1">
      <alignment horizontal="left" vertical="center"/>
    </xf>
    <xf numFmtId="0" fontId="23" fillId="0" borderId="39" xfId="5" applyBorder="1"/>
    <xf numFmtId="0" fontId="23" fillId="0" borderId="40" xfId="5" applyBorder="1"/>
    <xf numFmtId="0" fontId="23" fillId="0" borderId="41" xfId="5" applyBorder="1"/>
    <xf numFmtId="0" fontId="25" fillId="0" borderId="0" xfId="5" applyFont="1" applyAlignment="1">
      <alignment horizontal="left" vertical="center"/>
    </xf>
    <xf numFmtId="0" fontId="26" fillId="0" borderId="0" xfId="5" applyFont="1" applyAlignment="1">
      <alignment horizontal="left" vertical="center"/>
    </xf>
    <xf numFmtId="0" fontId="27" fillId="0" borderId="0" xfId="5" applyFont="1" applyAlignment="1">
      <alignment horizontal="left" vertical="center"/>
    </xf>
    <xf numFmtId="0" fontId="23" fillId="0" borderId="0" xfId="5" applyAlignment="1">
      <alignment vertical="center"/>
    </xf>
    <xf numFmtId="0" fontId="23" fillId="0" borderId="41" xfId="5" applyBorder="1" applyAlignment="1">
      <alignment vertical="center"/>
    </xf>
    <xf numFmtId="0" fontId="29" fillId="0" borderId="0" xfId="5" applyFont="1" applyAlignment="1">
      <alignment horizontal="left" vertical="center"/>
    </xf>
    <xf numFmtId="167" fontId="29" fillId="0" borderId="0" xfId="5" applyNumberFormat="1" applyFont="1" applyAlignment="1">
      <alignment horizontal="left" vertical="center"/>
    </xf>
    <xf numFmtId="0" fontId="23" fillId="0" borderId="0" xfId="5" applyAlignment="1">
      <alignment vertical="center" wrapText="1"/>
    </xf>
    <xf numFmtId="0" fontId="23" fillId="0" borderId="41" xfId="5" applyBorder="1" applyAlignment="1">
      <alignment vertical="center" wrapText="1"/>
    </xf>
    <xf numFmtId="0" fontId="23" fillId="0" borderId="42" xfId="5" applyBorder="1" applyAlignment="1">
      <alignment vertical="center"/>
    </xf>
    <xf numFmtId="0" fontId="30" fillId="0" borderId="0" xfId="5" applyFont="1" applyAlignment="1">
      <alignment horizontal="left" vertical="center"/>
    </xf>
    <xf numFmtId="4" fontId="31" fillId="0" borderId="0" xfId="5" applyNumberFormat="1" applyFont="1" applyAlignment="1">
      <alignment vertical="center"/>
    </xf>
    <xf numFmtId="0" fontId="27" fillId="0" borderId="0" xfId="5" applyFont="1" applyAlignment="1">
      <alignment horizontal="right" vertical="center"/>
    </xf>
    <xf numFmtId="0" fontId="32" fillId="0" borderId="0" xfId="5" applyFont="1" applyAlignment="1">
      <alignment horizontal="left" vertical="center"/>
    </xf>
    <xf numFmtId="4" fontId="27" fillId="0" borderId="0" xfId="5" applyNumberFormat="1" applyFont="1" applyAlignment="1">
      <alignment vertical="center"/>
    </xf>
    <xf numFmtId="168" fontId="27" fillId="0" borderId="0" xfId="5" applyNumberFormat="1" applyFont="1" applyAlignment="1">
      <alignment horizontal="right" vertical="center"/>
    </xf>
    <xf numFmtId="0" fontId="23" fillId="9" borderId="0" xfId="5" applyFill="1" applyAlignment="1">
      <alignment vertical="center"/>
    </xf>
    <xf numFmtId="0" fontId="33" fillId="9" borderId="43" xfId="5" applyFont="1" applyFill="1" applyBorder="1" applyAlignment="1">
      <alignment horizontal="left" vertical="center"/>
    </xf>
    <xf numFmtId="0" fontId="23" fillId="9" borderId="44" xfId="5" applyFill="1" applyBorder="1" applyAlignment="1">
      <alignment vertical="center"/>
    </xf>
    <xf numFmtId="0" fontId="33" fillId="9" borderId="44" xfId="5" applyFont="1" applyFill="1" applyBorder="1" applyAlignment="1">
      <alignment horizontal="right" vertical="center"/>
    </xf>
    <xf numFmtId="0" fontId="33" fillId="9" borderId="44" xfId="5" applyFont="1" applyFill="1" applyBorder="1" applyAlignment="1">
      <alignment horizontal="center" vertical="center"/>
    </xf>
    <xf numFmtId="4" fontId="33" fillId="9" borderId="44" xfId="5" applyNumberFormat="1" applyFont="1" applyFill="1" applyBorder="1" applyAlignment="1">
      <alignment vertical="center"/>
    </xf>
    <xf numFmtId="0" fontId="23" fillId="9" borderId="45" xfId="5" applyFill="1" applyBorder="1" applyAlignment="1">
      <alignment vertical="center"/>
    </xf>
    <xf numFmtId="0" fontId="34" fillId="0" borderId="46" xfId="5" applyFont="1" applyBorder="1" applyAlignment="1">
      <alignment horizontal="left" vertical="center"/>
    </xf>
    <xf numFmtId="0" fontId="23" fillId="0" borderId="46" xfId="5" applyBorder="1" applyAlignment="1">
      <alignment vertical="center"/>
    </xf>
    <xf numFmtId="0" fontId="27" fillId="0" borderId="47" xfId="5" applyFont="1" applyBorder="1" applyAlignment="1">
      <alignment horizontal="left" vertical="center"/>
    </xf>
    <xf numFmtId="0" fontId="23" fillId="0" borderId="47" xfId="5" applyBorder="1" applyAlignment="1">
      <alignment vertical="center"/>
    </xf>
    <xf numFmtId="0" fontId="27" fillId="0" borderId="47" xfId="5" applyFont="1" applyBorder="1" applyAlignment="1">
      <alignment horizontal="center" vertical="center"/>
    </xf>
    <xf numFmtId="0" fontId="27" fillId="0" borderId="47" xfId="5" applyFont="1" applyBorder="1" applyAlignment="1">
      <alignment horizontal="right" vertical="center"/>
    </xf>
    <xf numFmtId="0" fontId="23" fillId="0" borderId="48" xfId="5" applyBorder="1" applyAlignment="1">
      <alignment vertical="center"/>
    </xf>
    <xf numFmtId="0" fontId="23" fillId="0" borderId="49" xfId="5" applyBorder="1" applyAlignment="1">
      <alignment vertical="center"/>
    </xf>
    <xf numFmtId="0" fontId="23" fillId="0" borderId="39" xfId="5" applyBorder="1" applyAlignment="1">
      <alignment vertical="center"/>
    </xf>
    <xf numFmtId="0" fontId="23" fillId="0" borderId="40" xfId="5" applyBorder="1" applyAlignment="1">
      <alignment vertical="center"/>
    </xf>
    <xf numFmtId="0" fontId="29" fillId="0" borderId="0" xfId="5" applyFont="1" applyAlignment="1">
      <alignment horizontal="left" vertical="center" wrapText="1"/>
    </xf>
    <xf numFmtId="0" fontId="35" fillId="9" borderId="0" xfId="5" applyFont="1" applyFill="1" applyAlignment="1">
      <alignment horizontal="left" vertical="center"/>
    </xf>
    <xf numFmtId="0" fontId="35" fillId="9" borderId="0" xfId="5" applyFont="1" applyFill="1" applyAlignment="1">
      <alignment horizontal="right" vertical="center"/>
    </xf>
    <xf numFmtId="0" fontId="36" fillId="0" borderId="0" xfId="5" applyFont="1" applyAlignment="1">
      <alignment horizontal="left" vertical="center"/>
    </xf>
    <xf numFmtId="0" fontId="37" fillId="0" borderId="0" xfId="5" applyFont="1" applyAlignment="1">
      <alignment vertical="center"/>
    </xf>
    <xf numFmtId="0" fontId="37" fillId="0" borderId="41" xfId="5" applyFont="1" applyBorder="1" applyAlignment="1">
      <alignment vertical="center"/>
    </xf>
    <xf numFmtId="0" fontId="37" fillId="0" borderId="50" xfId="5" applyFont="1" applyBorder="1" applyAlignment="1">
      <alignment horizontal="left" vertical="center"/>
    </xf>
    <xf numFmtId="0" fontId="37" fillId="0" borderId="50" xfId="5" applyFont="1" applyBorder="1" applyAlignment="1">
      <alignment vertical="center"/>
    </xf>
    <xf numFmtId="4" fontId="37" fillId="0" borderId="50" xfId="5" applyNumberFormat="1" applyFont="1" applyBorder="1" applyAlignment="1">
      <alignment vertical="center"/>
    </xf>
    <xf numFmtId="0" fontId="23" fillId="0" borderId="0" xfId="5" applyAlignment="1">
      <alignment horizontal="center" vertical="center" wrapText="1"/>
    </xf>
    <xf numFmtId="0" fontId="23" fillId="0" borderId="41" xfId="5" applyBorder="1" applyAlignment="1">
      <alignment horizontal="center" vertical="center" wrapText="1"/>
    </xf>
    <xf numFmtId="0" fontId="35" fillId="9" borderId="51" xfId="5" applyFont="1" applyFill="1" applyBorder="1" applyAlignment="1">
      <alignment horizontal="center" vertical="center" wrapText="1"/>
    </xf>
    <xf numFmtId="0" fontId="35" fillId="9" borderId="52" xfId="5" applyFont="1" applyFill="1" applyBorder="1" applyAlignment="1">
      <alignment horizontal="center" vertical="center" wrapText="1"/>
    </xf>
    <xf numFmtId="0" fontId="35" fillId="9" borderId="53" xfId="5" applyFont="1" applyFill="1" applyBorder="1" applyAlignment="1">
      <alignment horizontal="center" vertical="center" wrapText="1"/>
    </xf>
    <xf numFmtId="0" fontId="35" fillId="9" borderId="0" xfId="5" applyFont="1" applyFill="1" applyAlignment="1">
      <alignment horizontal="center" vertical="center" wrapText="1"/>
    </xf>
    <xf numFmtId="0" fontId="38" fillId="0" borderId="51" xfId="5" applyFont="1" applyBorder="1" applyAlignment="1">
      <alignment horizontal="center" vertical="center" wrapText="1"/>
    </xf>
    <xf numFmtId="0" fontId="38" fillId="0" borderId="52" xfId="5" applyFont="1" applyBorder="1" applyAlignment="1">
      <alignment horizontal="center" vertical="center" wrapText="1"/>
    </xf>
    <xf numFmtId="0" fontId="38" fillId="0" borderId="53" xfId="5" applyFont="1" applyBorder="1" applyAlignment="1">
      <alignment horizontal="center" vertical="center" wrapText="1"/>
    </xf>
    <xf numFmtId="0" fontId="31" fillId="0" borderId="0" xfId="5" applyFont="1" applyAlignment="1">
      <alignment horizontal="left" vertical="center"/>
    </xf>
    <xf numFmtId="4" fontId="31" fillId="0" borderId="0" xfId="5" applyNumberFormat="1" applyFont="1"/>
    <xf numFmtId="0" fontId="23" fillId="0" borderId="54" xfId="5" applyBorder="1" applyAlignment="1">
      <alignment vertical="center"/>
    </xf>
    <xf numFmtId="169" fontId="39" fillId="0" borderId="42" xfId="5" applyNumberFormat="1" applyFont="1" applyBorder="1"/>
    <xf numFmtId="169" fontId="39" fillId="0" borderId="55" xfId="5" applyNumberFormat="1" applyFont="1" applyBorder="1"/>
    <xf numFmtId="4" fontId="40" fillId="0" borderId="0" xfId="5" applyNumberFormat="1" applyFont="1" applyAlignment="1">
      <alignment vertical="center"/>
    </xf>
    <xf numFmtId="0" fontId="41" fillId="0" borderId="0" xfId="5" applyFont="1"/>
    <xf numFmtId="0" fontId="41" fillId="0" borderId="41" xfId="5" applyFont="1" applyBorder="1"/>
    <xf numFmtId="0" fontId="41" fillId="0" borderId="0" xfId="5" applyFont="1" applyAlignment="1">
      <alignment horizontal="left"/>
    </xf>
    <xf numFmtId="0" fontId="37" fillId="0" borderId="0" xfId="5" applyFont="1" applyAlignment="1">
      <alignment horizontal="left"/>
    </xf>
    <xf numFmtId="4" fontId="37" fillId="0" borderId="0" xfId="5" applyNumberFormat="1" applyFont="1"/>
    <xf numFmtId="0" fontId="41" fillId="0" borderId="56" xfId="5" applyFont="1" applyBorder="1"/>
    <xf numFmtId="169" fontId="41" fillId="0" borderId="0" xfId="5" applyNumberFormat="1" applyFont="1"/>
    <xf numFmtId="169" fontId="41" fillId="0" borderId="57" xfId="5" applyNumberFormat="1" applyFont="1" applyBorder="1"/>
    <xf numFmtId="0" fontId="41" fillId="0" borderId="0" xfId="5" applyFont="1" applyAlignment="1">
      <alignment horizontal="center"/>
    </xf>
    <xf numFmtId="4" fontId="41" fillId="0" borderId="0" xfId="5" applyNumberFormat="1" applyFont="1" applyAlignment="1">
      <alignment vertical="center"/>
    </xf>
    <xf numFmtId="0" fontId="23" fillId="0" borderId="41" xfId="5" applyBorder="1" applyAlignment="1" applyProtection="1">
      <alignment vertical="center"/>
      <protection locked="0"/>
    </xf>
    <xf numFmtId="0" fontId="35" fillId="0" borderId="58" xfId="5" applyFont="1" applyBorder="1" applyAlignment="1" applyProtection="1">
      <alignment horizontal="center" vertical="center"/>
      <protection locked="0"/>
    </xf>
    <xf numFmtId="49" fontId="35" fillId="0" borderId="58" xfId="5" applyNumberFormat="1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left" vertical="center" wrapText="1"/>
      <protection locked="0"/>
    </xf>
    <xf numFmtId="0" fontId="35" fillId="0" borderId="58" xfId="5" applyFont="1" applyBorder="1" applyAlignment="1" applyProtection="1">
      <alignment horizontal="center" vertical="center" wrapText="1"/>
      <protection locked="0"/>
    </xf>
    <xf numFmtId="170" fontId="35" fillId="0" borderId="58" xfId="5" applyNumberFormat="1" applyFont="1" applyBorder="1" applyAlignment="1" applyProtection="1">
      <alignment vertical="center"/>
      <protection locked="0"/>
    </xf>
    <xf numFmtId="4" fontId="35" fillId="0" borderId="58" xfId="5" applyNumberFormat="1" applyFont="1" applyBorder="1" applyAlignment="1" applyProtection="1">
      <alignment vertical="center"/>
      <protection locked="0"/>
    </xf>
    <xf numFmtId="0" fontId="23" fillId="0" borderId="58" xfId="5" applyBorder="1" applyAlignment="1" applyProtection="1">
      <alignment vertical="center"/>
      <protection locked="0"/>
    </xf>
    <xf numFmtId="0" fontId="38" fillId="0" borderId="56" xfId="5" applyFont="1" applyBorder="1" applyAlignment="1">
      <alignment horizontal="left" vertical="center"/>
    </xf>
    <xf numFmtId="0" fontId="38" fillId="0" borderId="0" xfId="5" applyFont="1" applyAlignment="1">
      <alignment horizontal="center" vertical="center"/>
    </xf>
    <xf numFmtId="169" fontId="38" fillId="0" borderId="0" xfId="5" applyNumberFormat="1" applyFont="1" applyAlignment="1">
      <alignment vertical="center"/>
    </xf>
    <xf numFmtId="169" fontId="38" fillId="0" borderId="57" xfId="5" applyNumberFormat="1" applyFont="1" applyBorder="1" applyAlignment="1">
      <alignment vertical="center"/>
    </xf>
    <xf numFmtId="0" fontId="35" fillId="0" borderId="0" xfId="5" applyFont="1" applyAlignment="1">
      <alignment horizontal="left" vertical="center"/>
    </xf>
    <xf numFmtId="4" fontId="23" fillId="0" borderId="0" xfId="5" applyNumberFormat="1" applyAlignment="1">
      <alignment vertical="center"/>
    </xf>
    <xf numFmtId="0" fontId="38" fillId="0" borderId="59" xfId="5" applyFont="1" applyBorder="1" applyAlignment="1">
      <alignment horizontal="left" vertical="center"/>
    </xf>
    <xf numFmtId="0" fontId="38" fillId="0" borderId="50" xfId="5" applyFont="1" applyBorder="1" applyAlignment="1">
      <alignment horizontal="center" vertical="center"/>
    </xf>
    <xf numFmtId="169" fontId="38" fillId="0" borderId="50" xfId="5" applyNumberFormat="1" applyFont="1" applyBorder="1" applyAlignment="1">
      <alignment vertical="center"/>
    </xf>
    <xf numFmtId="169" fontId="38" fillId="0" borderId="60" xfId="5" applyNumberFormat="1" applyFont="1" applyBorder="1" applyAlignment="1">
      <alignment vertical="center"/>
    </xf>
    <xf numFmtId="165" fontId="3" fillId="2" borderId="1" xfId="0" applyNumberFormat="1" applyFont="1" applyFill="1" applyBorder="1" applyAlignment="1" applyProtection="1">
      <alignment vertical="center"/>
      <protection hidden="1"/>
    </xf>
    <xf numFmtId="166" fontId="10" fillId="0" borderId="7" xfId="3" applyNumberFormat="1" applyBorder="1" applyAlignment="1">
      <alignment horizontal="right" vertical="top" wrapText="1" indent="1"/>
    </xf>
    <xf numFmtId="171" fontId="0" fillId="0" borderId="0" xfId="0" applyNumberFormat="1"/>
    <xf numFmtId="166" fontId="10" fillId="0" borderId="16" xfId="3" applyNumberFormat="1" applyBorder="1" applyAlignment="1">
      <alignment horizontal="right" vertical="top" wrapText="1" indent="1"/>
    </xf>
    <xf numFmtId="165" fontId="50" fillId="2" borderId="1" xfId="0" applyNumberFormat="1" applyFont="1" applyFill="1" applyBorder="1" applyAlignment="1" applyProtection="1">
      <alignment vertical="center"/>
      <protection locked="0"/>
    </xf>
    <xf numFmtId="49" fontId="50" fillId="0" borderId="1" xfId="0" applyNumberFormat="1" applyFont="1" applyBorder="1" applyAlignment="1" applyProtection="1">
      <alignment vertical="center"/>
      <protection hidden="1"/>
    </xf>
    <xf numFmtId="171" fontId="0" fillId="5" borderId="0" xfId="6" applyNumberFormat="1" applyFont="1" applyFill="1"/>
    <xf numFmtId="170" fontId="51" fillId="0" borderId="58" xfId="5" applyNumberFormat="1" applyFont="1" applyBorder="1" applyAlignment="1" applyProtection="1">
      <alignment vertical="center"/>
      <protection locked="0"/>
    </xf>
    <xf numFmtId="170" fontId="52" fillId="0" borderId="58" xfId="5" applyNumberFormat="1" applyFont="1" applyBorder="1" applyAlignment="1" applyProtection="1">
      <alignment vertical="center"/>
      <protection locked="0"/>
    </xf>
    <xf numFmtId="0" fontId="53" fillId="0" borderId="41" xfId="5" applyFont="1" applyBorder="1" applyAlignment="1">
      <alignment vertical="center"/>
    </xf>
    <xf numFmtId="0" fontId="52" fillId="0" borderId="58" xfId="5" applyFont="1" applyBorder="1" applyAlignment="1" applyProtection="1">
      <alignment horizontal="left" vertical="center" wrapText="1"/>
      <protection locked="0"/>
    </xf>
    <xf numFmtId="171" fontId="2" fillId="3" borderId="35" xfId="6" applyNumberFormat="1" applyFont="1" applyFill="1" applyBorder="1" applyAlignment="1" applyProtection="1">
      <alignment vertical="center" wrapText="1"/>
      <protection hidden="1"/>
    </xf>
    <xf numFmtId="16" fontId="10" fillId="0" borderId="11" xfId="3" applyNumberFormat="1" applyBorder="1" applyAlignment="1">
      <alignment horizontal="left" vertical="top" wrapText="1" indent="2"/>
    </xf>
    <xf numFmtId="0" fontId="10" fillId="0" borderId="22" xfId="3" applyBorder="1" applyAlignment="1">
      <alignment horizontal="left" vertical="top" wrapText="1" indent="2"/>
    </xf>
    <xf numFmtId="16" fontId="10" fillId="0" borderId="11" xfId="3" applyNumberFormat="1" applyBorder="1" applyAlignment="1">
      <alignment horizontal="left" wrapText="1" indent="2"/>
    </xf>
    <xf numFmtId="16" fontId="10" fillId="0" borderId="22" xfId="3" applyNumberFormat="1" applyBorder="1" applyAlignment="1">
      <alignment horizontal="left" wrapText="1" indent="2"/>
    </xf>
    <xf numFmtId="0" fontId="19" fillId="0" borderId="0" xfId="4" applyFont="1" applyAlignment="1">
      <alignment horizontal="center" vertical="top"/>
    </xf>
    <xf numFmtId="0" fontId="19" fillId="0" borderId="15" xfId="4" applyFont="1" applyBorder="1" applyAlignment="1">
      <alignment horizontal="center" vertical="top"/>
    </xf>
    <xf numFmtId="0" fontId="18" fillId="6" borderId="13" xfId="3" applyFont="1" applyFill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11" fillId="0" borderId="16" xfId="3" applyFont="1" applyBorder="1" applyAlignment="1">
      <alignment vertical="center"/>
    </xf>
    <xf numFmtId="0" fontId="0" fillId="0" borderId="0" xfId="0"/>
    <xf numFmtId="0" fontId="0" fillId="0" borderId="15" xfId="0" applyBorder="1"/>
    <xf numFmtId="0" fontId="12" fillId="0" borderId="4" xfId="3" applyFont="1" applyBorder="1" applyAlignment="1">
      <alignment horizontal="left" vertical="top"/>
    </xf>
    <xf numFmtId="0" fontId="12" fillId="0" borderId="16" xfId="3" applyFont="1" applyBorder="1" applyAlignment="1">
      <alignment horizontal="left" vertical="top"/>
    </xf>
    <xf numFmtId="0" fontId="10" fillId="0" borderId="5" xfId="3" applyBorder="1" applyAlignment="1">
      <alignment horizontal="left" vertical="top" wrapText="1"/>
    </xf>
    <xf numFmtId="0" fontId="10" fillId="0" borderId="5" xfId="3" applyBorder="1" applyAlignment="1">
      <alignment horizontal="left" vertical="top"/>
    </xf>
    <xf numFmtId="0" fontId="10" fillId="0" borderId="6" xfId="3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8" fillId="0" borderId="0" xfId="4" applyAlignment="1">
      <alignment horizontal="center" vertical="top"/>
    </xf>
    <xf numFmtId="0" fontId="8" fillId="0" borderId="15" xfId="4" applyBorder="1" applyAlignment="1">
      <alignment horizontal="center" vertical="top"/>
    </xf>
    <xf numFmtId="0" fontId="10" fillId="0" borderId="8" xfId="3" applyBorder="1" applyAlignment="1">
      <alignment horizontal="left"/>
    </xf>
    <xf numFmtId="0" fontId="10" fillId="0" borderId="9" xfId="3" applyBorder="1" applyAlignment="1">
      <alignment horizontal="left"/>
    </xf>
    <xf numFmtId="0" fontId="20" fillId="0" borderId="16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7" fillId="6" borderId="4" xfId="0" applyFont="1" applyFill="1" applyBorder="1" applyAlignment="1">
      <alignment horizontal="left"/>
    </xf>
    <xf numFmtId="0" fontId="17" fillId="6" borderId="5" xfId="0" applyFont="1" applyFill="1" applyBorder="1" applyAlignment="1">
      <alignment horizontal="left"/>
    </xf>
    <xf numFmtId="0" fontId="17" fillId="6" borderId="16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17" fillId="6" borderId="7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7" fillId="5" borderId="16" xfId="3" applyFont="1" applyFill="1" applyBorder="1" applyAlignment="1">
      <alignment horizontal="center" wrapText="1"/>
    </xf>
    <xf numFmtId="0" fontId="17" fillId="5" borderId="0" xfId="3" applyFont="1" applyFill="1" applyAlignment="1">
      <alignment horizontal="center" wrapText="1"/>
    </xf>
    <xf numFmtId="0" fontId="17" fillId="5" borderId="15" xfId="3" applyFont="1" applyFill="1" applyBorder="1" applyAlignment="1">
      <alignment horizontal="center" wrapText="1"/>
    </xf>
    <xf numFmtId="0" fontId="17" fillId="5" borderId="7" xfId="3" applyFont="1" applyFill="1" applyBorder="1" applyAlignment="1">
      <alignment horizontal="center" wrapText="1"/>
    </xf>
    <xf numFmtId="0" fontId="17" fillId="5" borderId="8" xfId="3" applyFont="1" applyFill="1" applyBorder="1" applyAlignment="1">
      <alignment horizontal="center" wrapText="1"/>
    </xf>
    <xf numFmtId="0" fontId="17" fillId="5" borderId="9" xfId="3" applyFont="1" applyFill="1" applyBorder="1" applyAlignment="1">
      <alignment horizontal="center" wrapText="1"/>
    </xf>
    <xf numFmtId="0" fontId="17" fillId="4" borderId="17" xfId="3" applyFont="1" applyFill="1" applyBorder="1" applyAlignment="1">
      <alignment horizontal="left" wrapText="1"/>
    </xf>
    <xf numFmtId="0" fontId="17" fillId="4" borderId="18" xfId="3" applyFont="1" applyFill="1" applyBorder="1" applyAlignment="1">
      <alignment horizontal="left" wrapText="1"/>
    </xf>
    <xf numFmtId="0" fontId="17" fillId="4" borderId="19" xfId="3" applyFont="1" applyFill="1" applyBorder="1" applyAlignment="1">
      <alignment horizontal="left" wrapText="1"/>
    </xf>
    <xf numFmtId="16" fontId="10" fillId="0" borderId="20" xfId="3" applyNumberFormat="1" applyBorder="1" applyAlignment="1">
      <alignment horizontal="left" wrapText="1" indent="2"/>
    </xf>
    <xf numFmtId="16" fontId="10" fillId="0" borderId="21" xfId="3" applyNumberFormat="1" applyBorder="1" applyAlignment="1">
      <alignment horizontal="left" wrapText="1" indent="2"/>
    </xf>
    <xf numFmtId="0" fontId="11" fillId="0" borderId="4" xfId="3" applyFont="1" applyBorder="1" applyAlignment="1">
      <alignment horizontal="left"/>
    </xf>
    <xf numFmtId="0" fontId="11" fillId="0" borderId="5" xfId="3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3" applyFont="1" applyBorder="1" applyAlignment="1">
      <alignment horizontal="left" vertical="top"/>
    </xf>
    <xf numFmtId="0" fontId="12" fillId="0" borderId="11" xfId="3" applyFont="1" applyBorder="1" applyAlignment="1">
      <alignment horizontal="left" vertical="top"/>
    </xf>
    <xf numFmtId="0" fontId="14" fillId="0" borderId="8" xfId="3" applyFont="1" applyBorder="1" applyAlignment="1">
      <alignment horizontal="left" vertical="top"/>
    </xf>
    <xf numFmtId="0" fontId="14" fillId="0" borderId="12" xfId="3" applyFont="1" applyBorder="1" applyAlignment="1">
      <alignment horizontal="left" vertical="top"/>
    </xf>
    <xf numFmtId="0" fontId="14" fillId="0" borderId="5" xfId="3" applyFont="1" applyBorder="1" applyAlignment="1">
      <alignment horizontal="left" vertical="top"/>
    </xf>
    <xf numFmtId="0" fontId="16" fillId="0" borderId="14" xfId="3" applyFont="1" applyBorder="1" applyAlignment="1">
      <alignment horizontal="left" vertical="top" wrapText="1"/>
    </xf>
    <xf numFmtId="0" fontId="16" fillId="0" borderId="10" xfId="3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16" fillId="0" borderId="10" xfId="3" applyFont="1" applyBorder="1" applyAlignment="1">
      <alignment horizontal="left" vertical="top" wrapText="1"/>
    </xf>
    <xf numFmtId="0" fontId="16" fillId="0" borderId="13" xfId="3" applyFont="1" applyBorder="1" applyAlignment="1">
      <alignment horizontal="left" vertical="top" wrapText="1"/>
    </xf>
    <xf numFmtId="0" fontId="21" fillId="7" borderId="23" xfId="0" applyFont="1" applyFill="1" applyBorder="1" applyAlignment="1">
      <alignment horizontal="left" vertical="center"/>
    </xf>
    <xf numFmtId="0" fontId="21" fillId="7" borderId="24" xfId="0" applyFont="1" applyFill="1" applyBorder="1" applyAlignment="1">
      <alignment horizontal="left" vertical="center"/>
    </xf>
    <xf numFmtId="0" fontId="21" fillId="7" borderId="26" xfId="0" applyFont="1" applyFill="1" applyBorder="1" applyAlignment="1">
      <alignment horizontal="left" vertical="center"/>
    </xf>
    <xf numFmtId="0" fontId="22" fillId="7" borderId="25" xfId="0" applyFont="1" applyFill="1" applyBorder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22" fillId="7" borderId="27" xfId="0" applyFont="1" applyFill="1" applyBorder="1" applyAlignment="1">
      <alignment horizontal="left" vertical="center"/>
    </xf>
    <xf numFmtId="14" fontId="22" fillId="7" borderId="28" xfId="0" applyNumberFormat="1" applyFont="1" applyFill="1" applyBorder="1" applyAlignment="1">
      <alignment horizontal="left" vertical="center"/>
    </xf>
    <xf numFmtId="14" fontId="22" fillId="7" borderId="8" xfId="0" applyNumberFormat="1" applyFont="1" applyFill="1" applyBorder="1" applyAlignment="1">
      <alignment horizontal="left" vertical="center"/>
    </xf>
    <xf numFmtId="14" fontId="22" fillId="7" borderId="29" xfId="0" applyNumberFormat="1" applyFont="1" applyFill="1" applyBorder="1" applyAlignment="1">
      <alignment horizontal="left" vertical="center"/>
    </xf>
    <xf numFmtId="0" fontId="28" fillId="0" borderId="0" xfId="5" applyFont="1" applyAlignment="1">
      <alignment horizontal="left" vertical="center" wrapText="1"/>
    </xf>
    <xf numFmtId="0" fontId="23" fillId="0" borderId="0" xfId="5" applyAlignment="1">
      <alignment vertical="center"/>
    </xf>
    <xf numFmtId="0" fontId="27" fillId="0" borderId="0" xfId="5" applyFont="1" applyAlignment="1">
      <alignment horizontal="left" vertical="center" wrapText="1"/>
    </xf>
    <xf numFmtId="0" fontId="27" fillId="0" borderId="0" xfId="5" applyFont="1" applyAlignment="1">
      <alignment horizontal="left" vertical="center"/>
    </xf>
    <xf numFmtId="0" fontId="24" fillId="8" borderId="0" xfId="5" applyFont="1" applyFill="1" applyAlignment="1">
      <alignment horizontal="center" vertical="center"/>
    </xf>
    <xf numFmtId="0" fontId="23" fillId="0" borderId="0" xfId="5"/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left" vertical="center" wrapText="1"/>
    </xf>
  </cellXfs>
  <cellStyles count="26">
    <cellStyle name="Čárka" xfId="6" builtinId="3"/>
    <cellStyle name="Čárka 2" xfId="25" xr:uid="{5C428B8A-9E82-4765-A1A1-213D2BFA204A}"/>
    <cellStyle name="Čárka 3" xfId="7" xr:uid="{37253F20-BC5B-4CC9-8F42-8FFAEA0B0C52}"/>
    <cellStyle name="Excel Built-in Normal" xfId="9" xr:uid="{B5605A12-D8FC-4041-B405-93B7FD5CD7E0}"/>
    <cellStyle name="Hypertextový odkaz" xfId="2" builtinId="8"/>
    <cellStyle name="Hypertextový odkaz 2" xfId="10" xr:uid="{3978E26C-8D0D-405D-ACFD-05F7FED9D1B7}"/>
    <cellStyle name="Normal_Format Consumer List" xfId="11" xr:uid="{5FB56EE6-9AD9-4E2C-8DA4-1D44D605A311}"/>
    <cellStyle name="normálne_Hárok1" xfId="12" xr:uid="{E5306E0B-CE93-4822-A12F-D1172C72FE24}"/>
    <cellStyle name="Normální" xfId="0" builtinId="0"/>
    <cellStyle name="Normální 10" xfId="22" xr:uid="{C7A69DC0-E4A1-4C9A-BB84-DDF36D7BF109}"/>
    <cellStyle name="Normální 11" xfId="8" xr:uid="{99CF4A71-58EB-41B7-AA04-0EFE65AFB974}"/>
    <cellStyle name="normální 16" xfId="13" xr:uid="{351C747E-56C7-4FB9-BCF0-6080A349E4B5}"/>
    <cellStyle name="Normální 2" xfId="3" xr:uid="{00000000-0005-0000-0000-000002000000}"/>
    <cellStyle name="normální 2 2" xfId="14" xr:uid="{B594CFDB-C6EC-4AD4-8BDF-BBF03F7E88FC}"/>
    <cellStyle name="Normální 3" xfId="4" xr:uid="{00000000-0005-0000-0000-000003000000}"/>
    <cellStyle name="Normální 3 2" xfId="15" xr:uid="{4F0013C9-2A6A-4A9B-AEA4-0A10B1AA5FC7}"/>
    <cellStyle name="Normální 4" xfId="1" xr:uid="{00000000-0005-0000-0000-000004000000}"/>
    <cellStyle name="Normální 5" xfId="5" xr:uid="{00000000-0005-0000-0000-000005000000}"/>
    <cellStyle name="Normální 5 2" xfId="23" xr:uid="{6F510007-A727-4876-AD89-C064941CAA6D}"/>
    <cellStyle name="Normální 6" xfId="19" xr:uid="{D94C90FE-79C3-43B5-B646-30C813959A45}"/>
    <cellStyle name="Normální 7" xfId="20" xr:uid="{9781D864-8630-4B06-8DEF-C575BBE5635F}"/>
    <cellStyle name="Normální 8" xfId="24" xr:uid="{71FD3B1A-783C-4EB3-99AE-20DABA618ED0}"/>
    <cellStyle name="Normální 9" xfId="21" xr:uid="{0F081D02-2177-4003-97E2-90B06A838A4D}"/>
    <cellStyle name="Specifikace" xfId="16" xr:uid="{309C5CB7-081E-497D-9A1C-FF93C8E3959B}"/>
    <cellStyle name="Standard 7" xfId="17" xr:uid="{596B5E1A-AE3B-47F4-8771-FB3A1BE6A4A9}"/>
    <cellStyle name="Styl 1" xfId="18" xr:uid="{4F7434A7-C0AA-4474-BD3B-434EFD87C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5" name="Picture 4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85750" cy="28575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rnohorsky@ps-brno.cz" TargetMode="External"/><Relationship Id="rId1" Type="http://schemas.openxmlformats.org/officeDocument/2006/relationships/hyperlink" Target="mailto:cerveny@konderla.e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E40" sqref="E40"/>
    </sheetView>
  </sheetViews>
  <sheetFormatPr defaultColWidth="16.85546875" defaultRowHeight="15"/>
  <cols>
    <col min="1" max="1" width="16.7109375" customWidth="1"/>
    <col min="2" max="2" width="29.7109375" customWidth="1"/>
    <col min="3" max="3" width="16.7109375" customWidth="1"/>
    <col min="4" max="4" width="29.7109375" customWidth="1"/>
  </cols>
  <sheetData>
    <row r="1" spans="1:4" ht="54" customHeight="1">
      <c r="A1" s="218" t="s">
        <v>97</v>
      </c>
      <c r="B1" s="219"/>
      <c r="C1" s="219"/>
      <c r="D1" s="220"/>
    </row>
    <row r="2" spans="1:4" ht="7.5" customHeight="1">
      <c r="A2" s="221"/>
      <c r="B2" s="205"/>
      <c r="C2" s="205"/>
      <c r="D2" s="206"/>
    </row>
    <row r="3" spans="1:4" ht="15" customHeight="1">
      <c r="A3" s="222" t="s">
        <v>98</v>
      </c>
      <c r="B3" s="15" t="s">
        <v>128</v>
      </c>
      <c r="C3" s="224" t="s">
        <v>99</v>
      </c>
      <c r="D3" s="15" t="s">
        <v>254</v>
      </c>
    </row>
    <row r="4" spans="1:4" ht="15" customHeight="1">
      <c r="A4" s="223"/>
      <c r="B4" s="16" t="s">
        <v>127</v>
      </c>
      <c r="C4" s="225"/>
      <c r="D4" s="16" t="s">
        <v>255</v>
      </c>
    </row>
    <row r="5" spans="1:4" ht="15" customHeight="1">
      <c r="A5" s="182"/>
      <c r="B5" s="17" t="s">
        <v>129</v>
      </c>
      <c r="C5" s="226"/>
      <c r="D5" s="17" t="s">
        <v>256</v>
      </c>
    </row>
    <row r="6" spans="1:4" ht="15" customHeight="1">
      <c r="A6" s="227" t="s">
        <v>100</v>
      </c>
      <c r="B6" s="18" t="s">
        <v>125</v>
      </c>
      <c r="C6" s="227" t="s">
        <v>100</v>
      </c>
      <c r="D6" s="18"/>
    </row>
    <row r="7" spans="1:4" ht="15" customHeight="1">
      <c r="A7" s="228"/>
      <c r="B7" s="16">
        <v>737867716</v>
      </c>
      <c r="C7" s="231"/>
      <c r="D7" s="16"/>
    </row>
    <row r="8" spans="1:4" ht="15" customHeight="1">
      <c r="A8" s="229"/>
      <c r="B8" s="47" t="s">
        <v>126</v>
      </c>
      <c r="C8" s="232"/>
      <c r="D8" s="19"/>
    </row>
    <row r="9" spans="1:4" ht="15" customHeight="1">
      <c r="A9" s="229"/>
      <c r="B9" s="20"/>
      <c r="C9" s="227" t="s">
        <v>101</v>
      </c>
      <c r="D9" s="18" t="s">
        <v>257</v>
      </c>
    </row>
    <row r="10" spans="1:4" ht="15" customHeight="1">
      <c r="A10" s="229"/>
      <c r="B10" s="20"/>
      <c r="C10" s="231" t="s">
        <v>102</v>
      </c>
      <c r="D10" s="16">
        <v>737256124</v>
      </c>
    </row>
    <row r="11" spans="1:4" ht="15" customHeight="1">
      <c r="A11" s="230"/>
      <c r="B11" s="21"/>
      <c r="C11" s="232" t="s">
        <v>103</v>
      </c>
      <c r="D11" s="19" t="s">
        <v>258</v>
      </c>
    </row>
    <row r="12" spans="1:4" ht="15" customHeight="1">
      <c r="A12" s="22" t="s">
        <v>104</v>
      </c>
      <c r="B12" s="23"/>
      <c r="C12" s="22" t="s">
        <v>105</v>
      </c>
      <c r="D12" s="24">
        <v>45754</v>
      </c>
    </row>
    <row r="13" spans="1:4" ht="15" customHeight="1">
      <c r="A13" s="25"/>
      <c r="B13" s="26"/>
      <c r="C13" s="27"/>
      <c r="D13" s="28"/>
    </row>
    <row r="14" spans="1:4" ht="15" customHeight="1">
      <c r="A14" s="25"/>
      <c r="B14" s="26"/>
      <c r="C14" s="27"/>
      <c r="D14" s="28"/>
    </row>
    <row r="15" spans="1:4" ht="15.75">
      <c r="A15" s="199" t="s">
        <v>106</v>
      </c>
      <c r="B15" s="200"/>
      <c r="C15" s="29"/>
      <c r="D15" s="30"/>
    </row>
    <row r="16" spans="1:4" ht="5.25" customHeight="1">
      <c r="A16" s="201"/>
      <c r="B16" s="202"/>
      <c r="C16" s="202"/>
      <c r="D16" s="203"/>
    </row>
    <row r="17" spans="1:4" ht="15" customHeight="1">
      <c r="A17" s="204" t="s">
        <v>130</v>
      </c>
      <c r="B17" s="205"/>
      <c r="C17" s="205"/>
      <c r="D17" s="206"/>
    </row>
    <row r="18" spans="1:4" ht="15" customHeight="1">
      <c r="A18" s="207" t="s">
        <v>107</v>
      </c>
      <c r="B18" s="208"/>
      <c r="C18" s="208"/>
      <c r="D18" s="209"/>
    </row>
    <row r="19" spans="1:4" ht="15" customHeight="1">
      <c r="A19" s="207"/>
      <c r="B19" s="208"/>
      <c r="C19" s="208"/>
      <c r="D19" s="209"/>
    </row>
    <row r="20" spans="1:4" ht="15" customHeight="1">
      <c r="A20" s="210"/>
      <c r="B20" s="211"/>
      <c r="C20" s="211"/>
      <c r="D20" s="212"/>
    </row>
    <row r="21" spans="1:4" ht="24.75" customHeight="1" thickBot="1">
      <c r="A21" s="213" t="s">
        <v>108</v>
      </c>
      <c r="B21" s="214"/>
      <c r="C21" s="214"/>
      <c r="D21" s="215"/>
    </row>
    <row r="22" spans="1:4" ht="15" customHeight="1" thickTop="1">
      <c r="A22" s="216" t="s">
        <v>113</v>
      </c>
      <c r="B22" s="217"/>
      <c r="C22" s="31"/>
      <c r="D22" s="32">
        <f>Rekapitulace!C7</f>
        <v>53680806.490000002</v>
      </c>
    </row>
    <row r="23" spans="1:4" ht="15" customHeight="1">
      <c r="A23" s="171" t="s">
        <v>25</v>
      </c>
      <c r="B23" s="172"/>
      <c r="C23" s="31"/>
      <c r="D23" s="32">
        <f>Rekapitulace!C18</f>
        <v>64178987.389999993</v>
      </c>
    </row>
    <row r="24" spans="1:4" ht="15" customHeight="1">
      <c r="A24" s="169" t="s">
        <v>114</v>
      </c>
      <c r="B24" s="170"/>
      <c r="C24" s="31"/>
      <c r="D24" s="32">
        <f>Rekapitulace!C28</f>
        <v>10385100.670000002</v>
      </c>
    </row>
    <row r="25" spans="1:4" ht="15" customHeight="1">
      <c r="A25" s="169" t="s">
        <v>42</v>
      </c>
      <c r="B25" s="170"/>
      <c r="C25" s="31"/>
      <c r="D25" s="32">
        <f>Rekapitulace!C36</f>
        <v>41767744.769999996</v>
      </c>
    </row>
    <row r="26" spans="1:4" ht="15" customHeight="1">
      <c r="A26" s="169" t="s">
        <v>57</v>
      </c>
      <c r="B26" s="170"/>
      <c r="C26" s="31"/>
      <c r="D26" s="32">
        <f>Rekapitulace!C52</f>
        <v>27412255.52</v>
      </c>
    </row>
    <row r="27" spans="1:4" ht="15" customHeight="1">
      <c r="A27" s="169" t="s">
        <v>66</v>
      </c>
      <c r="B27" s="170"/>
      <c r="C27" s="31"/>
      <c r="D27" s="32">
        <f>Rekapitulace!C65</f>
        <v>27664222.100000005</v>
      </c>
    </row>
    <row r="28" spans="1:4" ht="15" customHeight="1">
      <c r="A28" s="169" t="s">
        <v>76</v>
      </c>
      <c r="B28" s="170"/>
      <c r="C28" s="32"/>
      <c r="D28" s="32">
        <f>Rekapitulace!C76</f>
        <v>6717135.6099999994</v>
      </c>
    </row>
    <row r="29" spans="1:4" ht="15" customHeight="1">
      <c r="A29" s="169" t="s">
        <v>115</v>
      </c>
      <c r="B29" s="170"/>
      <c r="C29" s="31"/>
      <c r="D29" s="32">
        <f>Rekapitulace!C82</f>
        <v>6556107.0999999996</v>
      </c>
    </row>
    <row r="30" spans="1:4" ht="15" customHeight="1">
      <c r="A30" s="169" t="s">
        <v>116</v>
      </c>
      <c r="B30" s="170"/>
      <c r="C30" s="31"/>
      <c r="D30" s="32">
        <f>Rekapitulace!C89</f>
        <v>15253300.6</v>
      </c>
    </row>
    <row r="31" spans="1:4" ht="15" customHeight="1">
      <c r="A31" s="169" t="s">
        <v>120</v>
      </c>
      <c r="B31" s="170"/>
      <c r="C31" s="31"/>
      <c r="D31" s="32">
        <f>Rekapitulace!C94</f>
        <v>86660415.783000007</v>
      </c>
    </row>
    <row r="32" spans="1:4" ht="15" customHeight="1">
      <c r="A32" s="169" t="s">
        <v>121</v>
      </c>
      <c r="B32" s="170"/>
      <c r="C32" s="31"/>
      <c r="D32" s="32">
        <f>Rekapitulace!C105</f>
        <v>75885186.425999999</v>
      </c>
    </row>
    <row r="33" spans="1:6" ht="15" customHeight="1">
      <c r="A33" s="169" t="s">
        <v>122</v>
      </c>
      <c r="B33" s="170"/>
      <c r="C33" s="31"/>
      <c r="D33" s="32">
        <f>Rekapitulace!C114</f>
        <v>55522073.254000001</v>
      </c>
    </row>
    <row r="34" spans="1:6" ht="15.6" customHeight="1">
      <c r="A34" s="169" t="s">
        <v>15</v>
      </c>
      <c r="B34" s="170"/>
      <c r="C34" s="31"/>
      <c r="D34" s="32">
        <f>Rekapitulace!C124</f>
        <v>10258992.300000001</v>
      </c>
    </row>
    <row r="35" spans="1:6" ht="15.6" customHeight="1">
      <c r="A35" s="65" t="s">
        <v>247</v>
      </c>
      <c r="B35" s="66"/>
      <c r="C35" s="31"/>
      <c r="D35" s="158">
        <f>Rekapitulace!C133</f>
        <v>88315097</v>
      </c>
      <c r="E35" s="160"/>
    </row>
    <row r="36" spans="1:6" ht="15.6" customHeight="1">
      <c r="A36" s="169" t="s">
        <v>123</v>
      </c>
      <c r="B36" s="170"/>
      <c r="C36" s="31"/>
      <c r="D36" s="32">
        <v>2431980</v>
      </c>
      <c r="E36" s="163"/>
    </row>
    <row r="37" spans="1:6" ht="15" customHeight="1">
      <c r="A37" s="169" t="s">
        <v>124</v>
      </c>
      <c r="B37" s="170"/>
      <c r="C37" s="31"/>
      <c r="D37" s="32">
        <v>7112590</v>
      </c>
    </row>
    <row r="38" spans="1:6">
      <c r="A38" s="175" t="s">
        <v>109</v>
      </c>
      <c r="B38" s="175"/>
      <c r="C38" s="175"/>
      <c r="D38" s="33">
        <f>SUM(D22:D37)</f>
        <v>579801995.01300001</v>
      </c>
    </row>
    <row r="39" spans="1:6" ht="15" customHeight="1">
      <c r="A39" s="176"/>
      <c r="B39" s="177"/>
      <c r="C39" s="177"/>
      <c r="D39" s="178"/>
      <c r="E39" s="159"/>
    </row>
    <row r="40" spans="1:6" ht="15" customHeight="1">
      <c r="A40" s="179"/>
      <c r="B40" s="180"/>
      <c r="C40" s="180"/>
      <c r="D40" s="181"/>
    </row>
    <row r="41" spans="1:6" ht="15" customHeight="1">
      <c r="A41" s="182" t="s">
        <v>110</v>
      </c>
      <c r="B41" s="184"/>
      <c r="C41" s="185"/>
      <c r="D41" s="186"/>
    </row>
    <row r="42" spans="1:6" ht="15" customHeight="1">
      <c r="A42" s="183"/>
      <c r="B42" s="187"/>
      <c r="C42" s="187"/>
      <c r="D42" s="188"/>
    </row>
    <row r="43" spans="1:6">
      <c r="A43" s="183"/>
      <c r="B43" s="187"/>
      <c r="C43" s="187"/>
      <c r="D43" s="188"/>
      <c r="F43" s="38"/>
    </row>
    <row r="44" spans="1:6">
      <c r="A44" s="183"/>
      <c r="B44" s="187"/>
      <c r="C44" s="187"/>
      <c r="D44" s="188"/>
    </row>
    <row r="45" spans="1:6">
      <c r="A45" s="183"/>
      <c r="B45" s="187"/>
      <c r="C45" s="187"/>
      <c r="D45" s="188"/>
    </row>
    <row r="46" spans="1:6">
      <c r="A46" s="183"/>
      <c r="B46" s="187"/>
      <c r="C46" s="187"/>
      <c r="D46" s="188"/>
    </row>
    <row r="47" spans="1:6">
      <c r="A47" s="183"/>
      <c r="B47" s="187"/>
      <c r="C47" s="187"/>
      <c r="D47" s="188"/>
    </row>
    <row r="48" spans="1:6">
      <c r="A48" s="183"/>
      <c r="B48" s="187"/>
      <c r="C48" s="187"/>
      <c r="D48" s="188"/>
    </row>
    <row r="49" spans="1:4">
      <c r="A49" s="35"/>
      <c r="B49" s="36"/>
      <c r="C49" s="36"/>
      <c r="D49" s="37"/>
    </row>
    <row r="50" spans="1:4" ht="17.25" customHeight="1">
      <c r="A50" s="39"/>
      <c r="B50" s="40"/>
      <c r="C50" s="173"/>
      <c r="D50" s="174"/>
    </row>
    <row r="51" spans="1:4" ht="17.25" customHeight="1">
      <c r="A51" s="39"/>
      <c r="B51" s="40"/>
      <c r="C51" s="189"/>
      <c r="D51" s="190"/>
    </row>
    <row r="52" spans="1:4" ht="17.25" customHeight="1">
      <c r="A52" s="39"/>
      <c r="B52" s="40"/>
      <c r="C52" s="189"/>
      <c r="D52" s="190"/>
    </row>
    <row r="53" spans="1:4">
      <c r="A53" s="41"/>
      <c r="B53" s="42"/>
      <c r="C53" s="42"/>
      <c r="D53" s="43"/>
    </row>
    <row r="54" spans="1:4" ht="15" customHeight="1">
      <c r="A54" s="44" t="s">
        <v>111</v>
      </c>
      <c r="B54" s="191" t="s">
        <v>112</v>
      </c>
      <c r="C54" s="191"/>
      <c r="D54" s="192"/>
    </row>
    <row r="55" spans="1:4" ht="7.5" customHeight="1">
      <c r="A55" s="34"/>
      <c r="B55" s="45"/>
      <c r="C55" s="45"/>
      <c r="D55" s="46"/>
    </row>
    <row r="56" spans="1:4">
      <c r="A56" s="193"/>
      <c r="B56" s="194"/>
      <c r="C56" s="194"/>
      <c r="D56" s="195"/>
    </row>
    <row r="57" spans="1:4">
      <c r="A57" s="196"/>
      <c r="B57" s="197"/>
      <c r="C57" s="197"/>
      <c r="D57" s="198"/>
    </row>
  </sheetData>
  <mergeCells count="36">
    <mergeCell ref="A1:D2"/>
    <mergeCell ref="A3:A5"/>
    <mergeCell ref="C3:C5"/>
    <mergeCell ref="A6:A11"/>
    <mergeCell ref="C6:C8"/>
    <mergeCell ref="C9:C11"/>
    <mergeCell ref="A25:B25"/>
    <mergeCell ref="A26:B26"/>
    <mergeCell ref="A27:B27"/>
    <mergeCell ref="A15:B15"/>
    <mergeCell ref="A16:D16"/>
    <mergeCell ref="A17:D17"/>
    <mergeCell ref="A18:D20"/>
    <mergeCell ref="A21:D21"/>
    <mergeCell ref="A22:B22"/>
    <mergeCell ref="C51:D51"/>
    <mergeCell ref="C52:D52"/>
    <mergeCell ref="B54:D54"/>
    <mergeCell ref="A56:D56"/>
    <mergeCell ref="A57:D57"/>
    <mergeCell ref="A32:B32"/>
    <mergeCell ref="A33:B33"/>
    <mergeCell ref="A23:B23"/>
    <mergeCell ref="A36:B36"/>
    <mergeCell ref="C50:D50"/>
    <mergeCell ref="A28:B28"/>
    <mergeCell ref="A34:B34"/>
    <mergeCell ref="A37:B37"/>
    <mergeCell ref="A38:C38"/>
    <mergeCell ref="A39:D40"/>
    <mergeCell ref="A41:A48"/>
    <mergeCell ref="B41:D48"/>
    <mergeCell ref="A29:B29"/>
    <mergeCell ref="A30:B30"/>
    <mergeCell ref="A31:B31"/>
    <mergeCell ref="A24:B24"/>
  </mergeCells>
  <hyperlinks>
    <hyperlink ref="B8" r:id="rId1" xr:uid="{00000000-0004-0000-0000-000000000000}"/>
    <hyperlink ref="D11" r:id="rId2" xr:uid="{85B1E6A1-DD3D-447E-ADAD-87E719BA6BDA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0"/>
  <sheetViews>
    <sheetView zoomScale="85" zoomScaleNormal="85" workbookViewId="0">
      <selection activeCell="E136" sqref="E136"/>
    </sheetView>
  </sheetViews>
  <sheetFormatPr defaultRowHeight="15"/>
  <cols>
    <col min="2" max="2" width="77.5703125" customWidth="1"/>
    <col min="3" max="3" width="19.7109375" customWidth="1"/>
    <col min="4" max="4" width="44.42578125" customWidth="1"/>
    <col min="5" max="5" width="10.5703125" bestFit="1" customWidth="1"/>
  </cols>
  <sheetData>
    <row r="1" spans="1:4">
      <c r="A1" s="233" t="str">
        <f>'Krycí list'!A17</f>
        <v>RC Zone Přerov</v>
      </c>
      <c r="B1" s="234"/>
      <c r="C1" s="234"/>
      <c r="D1" s="235"/>
    </row>
    <row r="2" spans="1:4">
      <c r="A2" s="236"/>
      <c r="B2" s="237"/>
      <c r="C2" s="237"/>
      <c r="D2" s="238"/>
    </row>
    <row r="3" spans="1:4">
      <c r="A3" s="239">
        <f>'Krycí list'!D12</f>
        <v>45754</v>
      </c>
      <c r="B3" s="240"/>
      <c r="C3" s="240"/>
      <c r="D3" s="241"/>
    </row>
    <row r="4" spans="1:4" ht="31.5" customHeight="1">
      <c r="A4" s="48" t="s">
        <v>0</v>
      </c>
      <c r="B4" s="9" t="s">
        <v>1</v>
      </c>
      <c r="C4" s="10" t="s">
        <v>2</v>
      </c>
      <c r="D4" s="49" t="s">
        <v>3</v>
      </c>
    </row>
    <row r="5" spans="1:4" ht="15.75">
      <c r="A5" s="50">
        <v>1</v>
      </c>
      <c r="B5" s="7" t="s">
        <v>4</v>
      </c>
      <c r="C5" s="8">
        <f>C7+C18+C28+C36+C52+C65+C76+C82+C89</f>
        <v>253615660.25</v>
      </c>
      <c r="D5" s="51"/>
    </row>
    <row r="6" spans="1:4">
      <c r="A6" s="52"/>
      <c r="B6" s="11"/>
      <c r="C6" s="11"/>
      <c r="D6" s="53"/>
    </row>
    <row r="7" spans="1:4" ht="15.75">
      <c r="A7" s="52" t="s">
        <v>5</v>
      </c>
      <c r="B7" s="13" t="s">
        <v>34</v>
      </c>
      <c r="C7" s="14">
        <f>SUM(C8:C16)</f>
        <v>53680806.490000002</v>
      </c>
      <c r="D7" s="54"/>
    </row>
    <row r="8" spans="1:4">
      <c r="A8" s="52"/>
      <c r="B8" s="1" t="s">
        <v>16</v>
      </c>
      <c r="C8" s="157">
        <v>8315200.4000000004</v>
      </c>
      <c r="D8" s="54"/>
    </row>
    <row r="9" spans="1:4">
      <c r="A9" s="52"/>
      <c r="B9" s="4" t="s">
        <v>17</v>
      </c>
      <c r="C9" s="157">
        <v>8859969.7899999991</v>
      </c>
      <c r="D9" s="54"/>
    </row>
    <row r="10" spans="1:4">
      <c r="A10" s="52"/>
      <c r="B10" s="4" t="s">
        <v>18</v>
      </c>
      <c r="C10" s="157">
        <v>15398328</v>
      </c>
      <c r="D10" s="54"/>
    </row>
    <row r="11" spans="1:4">
      <c r="A11" s="52"/>
      <c r="B11" s="4" t="s">
        <v>19</v>
      </c>
      <c r="C11" s="157">
        <v>675366</v>
      </c>
      <c r="D11" s="54"/>
    </row>
    <row r="12" spans="1:4">
      <c r="A12" s="52"/>
      <c r="B12" s="4" t="s">
        <v>20</v>
      </c>
      <c r="C12" s="157">
        <v>16158204</v>
      </c>
      <c r="D12" s="55"/>
    </row>
    <row r="13" spans="1:4">
      <c r="A13" s="52"/>
      <c r="B13" s="4" t="s">
        <v>21</v>
      </c>
      <c r="C13" s="157">
        <v>1002260.2</v>
      </c>
      <c r="D13" s="55"/>
    </row>
    <row r="14" spans="1:4">
      <c r="A14" s="52"/>
      <c r="B14" s="4" t="s">
        <v>22</v>
      </c>
      <c r="C14" s="157">
        <v>316596.09999999998</v>
      </c>
      <c r="D14" s="54"/>
    </row>
    <row r="15" spans="1:4">
      <c r="A15" s="52"/>
      <c r="B15" s="4" t="s">
        <v>23</v>
      </c>
      <c r="C15" s="157">
        <v>59730</v>
      </c>
      <c r="D15" s="54"/>
    </row>
    <row r="16" spans="1:4">
      <c r="A16" s="52"/>
      <c r="B16" s="4" t="s">
        <v>24</v>
      </c>
      <c r="C16" s="157">
        <v>2895152</v>
      </c>
      <c r="D16" s="54"/>
    </row>
    <row r="17" spans="1:4">
      <c r="A17" s="52"/>
      <c r="B17" s="11"/>
      <c r="C17" s="11"/>
      <c r="D17" s="53"/>
    </row>
    <row r="18" spans="1:4" ht="17.45" customHeight="1">
      <c r="A18" s="52" t="s">
        <v>6</v>
      </c>
      <c r="B18" s="4" t="s">
        <v>25</v>
      </c>
      <c r="C18" s="14">
        <f>SUM(C19:C26)</f>
        <v>64178987.389999993</v>
      </c>
      <c r="D18" s="55"/>
    </row>
    <row r="19" spans="1:4" ht="15.75">
      <c r="A19" s="52"/>
      <c r="B19" s="1" t="s">
        <v>26</v>
      </c>
      <c r="C19" s="157">
        <v>5403622.0700000003</v>
      </c>
      <c r="D19" s="54"/>
    </row>
    <row r="20" spans="1:4" ht="15.75">
      <c r="A20" s="52"/>
      <c r="B20" s="1" t="s">
        <v>27</v>
      </c>
      <c r="C20" s="157">
        <v>2373198.35</v>
      </c>
      <c r="D20" s="54"/>
    </row>
    <row r="21" spans="1:4" ht="15.75">
      <c r="A21" s="52"/>
      <c r="B21" s="1" t="s">
        <v>28</v>
      </c>
      <c r="C21" s="157">
        <v>6378837.1500000004</v>
      </c>
      <c r="D21" s="54"/>
    </row>
    <row r="22" spans="1:4" ht="15.75">
      <c r="A22" s="52"/>
      <c r="B22" s="1" t="s">
        <v>29</v>
      </c>
      <c r="C22" s="157">
        <v>8613104.7599999998</v>
      </c>
      <c r="D22" s="54"/>
    </row>
    <row r="23" spans="1:4" ht="15.75">
      <c r="A23" s="52"/>
      <c r="B23" s="1" t="s">
        <v>30</v>
      </c>
      <c r="C23" s="157">
        <v>12094720.720000001</v>
      </c>
      <c r="D23" s="55"/>
    </row>
    <row r="24" spans="1:4" ht="15.75">
      <c r="A24" s="52"/>
      <c r="B24" s="1" t="s">
        <v>31</v>
      </c>
      <c r="C24" s="157">
        <v>17308168.18</v>
      </c>
      <c r="D24" s="55"/>
    </row>
    <row r="25" spans="1:4" ht="15.75">
      <c r="A25" s="52"/>
      <c r="B25" s="1" t="s">
        <v>32</v>
      </c>
      <c r="C25" s="157">
        <v>10953774.789999999</v>
      </c>
      <c r="D25" s="54"/>
    </row>
    <row r="26" spans="1:4" ht="15.75">
      <c r="A26" s="52"/>
      <c r="B26" s="1" t="s">
        <v>33</v>
      </c>
      <c r="C26" s="157">
        <v>1053561.3700000001</v>
      </c>
      <c r="D26" s="54"/>
    </row>
    <row r="27" spans="1:4">
      <c r="A27" s="52"/>
      <c r="B27" s="11"/>
      <c r="C27" s="11"/>
      <c r="D27" s="53"/>
    </row>
    <row r="28" spans="1:4" ht="15.75">
      <c r="A28" s="52" t="s">
        <v>7</v>
      </c>
      <c r="B28" s="1" t="s">
        <v>35</v>
      </c>
      <c r="C28" s="14">
        <f>SUM(C29:C34)</f>
        <v>10385100.670000002</v>
      </c>
      <c r="D28" s="54"/>
    </row>
    <row r="29" spans="1:4" ht="15.75">
      <c r="A29" s="52"/>
      <c r="B29" s="1" t="s">
        <v>36</v>
      </c>
      <c r="C29" s="157">
        <v>80736.78</v>
      </c>
      <c r="D29" s="54"/>
    </row>
    <row r="30" spans="1:4" ht="15.75">
      <c r="A30" s="52"/>
      <c r="B30" s="1" t="s">
        <v>37</v>
      </c>
      <c r="C30" s="157">
        <v>4571564.9800000004</v>
      </c>
      <c r="D30" s="54"/>
    </row>
    <row r="31" spans="1:4" ht="15.75">
      <c r="A31" s="52"/>
      <c r="B31" s="1" t="s">
        <v>39</v>
      </c>
      <c r="C31" s="157">
        <v>2236369.41</v>
      </c>
      <c r="D31" s="54"/>
    </row>
    <row r="32" spans="1:4" ht="15.75">
      <c r="A32" s="52"/>
      <c r="B32" s="1" t="s">
        <v>38</v>
      </c>
      <c r="C32" s="157">
        <v>1458678.17</v>
      </c>
      <c r="D32" s="54"/>
    </row>
    <row r="33" spans="1:4" ht="15.75">
      <c r="A33" s="52"/>
      <c r="B33" s="1" t="s">
        <v>40</v>
      </c>
      <c r="C33" s="157">
        <v>552585.67000000004</v>
      </c>
      <c r="D33" s="54"/>
    </row>
    <row r="34" spans="1:4" ht="15.75">
      <c r="A34" s="52"/>
      <c r="B34" s="1" t="s">
        <v>41</v>
      </c>
      <c r="C34" s="157">
        <v>1485165.66</v>
      </c>
      <c r="D34" s="54"/>
    </row>
    <row r="35" spans="1:4">
      <c r="A35" s="52"/>
      <c r="B35" s="11"/>
      <c r="C35" s="11"/>
      <c r="D35" s="53"/>
    </row>
    <row r="36" spans="1:4" ht="15.75">
      <c r="A36" s="52" t="s">
        <v>8</v>
      </c>
      <c r="B36" s="1" t="s">
        <v>42</v>
      </c>
      <c r="C36" s="14">
        <f>SUM(C37:C50)</f>
        <v>41767744.769999996</v>
      </c>
      <c r="D36" s="54"/>
    </row>
    <row r="37" spans="1:4" ht="15.75">
      <c r="A37" s="52"/>
      <c r="B37" s="1" t="s">
        <v>43</v>
      </c>
      <c r="C37" s="157">
        <v>38921.64</v>
      </c>
      <c r="D37" s="54"/>
    </row>
    <row r="38" spans="1:4" ht="15.75">
      <c r="A38" s="52"/>
      <c r="B38" s="1" t="s">
        <v>44</v>
      </c>
      <c r="C38" s="157">
        <v>594717.65</v>
      </c>
      <c r="D38" s="54"/>
    </row>
    <row r="39" spans="1:4" ht="15.75">
      <c r="A39" s="52"/>
      <c r="B39" s="1" t="s">
        <v>45</v>
      </c>
      <c r="C39" s="157">
        <v>1856445.04</v>
      </c>
      <c r="D39" s="54"/>
    </row>
    <row r="40" spans="1:4" ht="15.75">
      <c r="A40" s="52"/>
      <c r="B40" s="1" t="s">
        <v>46</v>
      </c>
      <c r="C40" s="157">
        <v>6155405.0800000001</v>
      </c>
      <c r="D40" s="54"/>
    </row>
    <row r="41" spans="1:4" ht="15.75">
      <c r="A41" s="52"/>
      <c r="B41" s="1" t="s">
        <v>47</v>
      </c>
      <c r="C41" s="157">
        <v>2356278.8199999998</v>
      </c>
      <c r="D41" s="54"/>
    </row>
    <row r="42" spans="1:4" ht="15.75">
      <c r="A42" s="52"/>
      <c r="B42" s="1" t="s">
        <v>48</v>
      </c>
      <c r="C42" s="157">
        <v>2308368.4500000002</v>
      </c>
      <c r="D42" s="54"/>
    </row>
    <row r="43" spans="1:4" ht="15.75">
      <c r="A43" s="52"/>
      <c r="B43" s="1" t="s">
        <v>49</v>
      </c>
      <c r="C43" s="157">
        <v>5042245.7300000004</v>
      </c>
      <c r="D43" s="54"/>
    </row>
    <row r="44" spans="1:4" ht="15.75">
      <c r="A44" s="52"/>
      <c r="B44" s="1" t="s">
        <v>50</v>
      </c>
      <c r="C44" s="157">
        <v>2191531.2400000002</v>
      </c>
      <c r="D44" s="54"/>
    </row>
    <row r="45" spans="1:4" ht="15.75">
      <c r="A45" s="52"/>
      <c r="B45" s="1" t="s">
        <v>51</v>
      </c>
      <c r="C45" s="157">
        <v>7606231.3099999996</v>
      </c>
      <c r="D45" s="54"/>
    </row>
    <row r="46" spans="1:4" ht="15.75">
      <c r="A46" s="52"/>
      <c r="B46" s="1" t="s">
        <v>52</v>
      </c>
      <c r="C46" s="157">
        <v>87585.49</v>
      </c>
      <c r="D46" s="54"/>
    </row>
    <row r="47" spans="1:4" ht="15.75">
      <c r="A47" s="52"/>
      <c r="B47" s="1" t="s">
        <v>53</v>
      </c>
      <c r="C47" s="157">
        <v>4345237.53</v>
      </c>
      <c r="D47" s="54"/>
    </row>
    <row r="48" spans="1:4" ht="15.75">
      <c r="A48" s="52"/>
      <c r="B48" s="1" t="s">
        <v>54</v>
      </c>
      <c r="C48" s="157">
        <v>971239.54</v>
      </c>
      <c r="D48" s="54"/>
    </row>
    <row r="49" spans="1:4" ht="15.75">
      <c r="A49" s="52"/>
      <c r="B49" s="1" t="s">
        <v>55</v>
      </c>
      <c r="C49" s="157">
        <v>1287150.1100000001</v>
      </c>
      <c r="D49" s="54"/>
    </row>
    <row r="50" spans="1:4" ht="15.75">
      <c r="A50" s="52"/>
      <c r="B50" s="1" t="s">
        <v>56</v>
      </c>
      <c r="C50" s="157">
        <v>6926387.1399999997</v>
      </c>
      <c r="D50" s="54"/>
    </row>
    <row r="51" spans="1:4">
      <c r="A51" s="52"/>
      <c r="B51" s="11"/>
      <c r="C51" s="11"/>
      <c r="D51" s="53"/>
    </row>
    <row r="52" spans="1:4" ht="15.75">
      <c r="A52" s="52" t="s">
        <v>9</v>
      </c>
      <c r="B52" s="1" t="s">
        <v>57</v>
      </c>
      <c r="C52" s="14">
        <f>SUM(C53:C63)</f>
        <v>27412255.52</v>
      </c>
      <c r="D52" s="54"/>
    </row>
    <row r="53" spans="1:4" ht="15.75">
      <c r="A53" s="52"/>
      <c r="B53" s="1" t="s">
        <v>117</v>
      </c>
      <c r="C53" s="157">
        <v>3856620.42</v>
      </c>
      <c r="D53" s="54"/>
    </row>
    <row r="54" spans="1:4" ht="15.75">
      <c r="A54" s="52"/>
      <c r="B54" s="1" t="s">
        <v>58</v>
      </c>
      <c r="C54" s="157">
        <v>526393.71</v>
      </c>
      <c r="D54" s="54"/>
    </row>
    <row r="55" spans="1:4" ht="15.75">
      <c r="A55" s="52"/>
      <c r="B55" s="1" t="s">
        <v>118</v>
      </c>
      <c r="C55" s="157">
        <v>3835435.16</v>
      </c>
      <c r="D55" s="54"/>
    </row>
    <row r="56" spans="1:4" ht="15.75">
      <c r="A56" s="52"/>
      <c r="B56" s="1" t="s">
        <v>59</v>
      </c>
      <c r="C56" s="157">
        <v>2416081</v>
      </c>
      <c r="D56" s="54"/>
    </row>
    <row r="57" spans="1:4" ht="15.75">
      <c r="A57" s="52"/>
      <c r="B57" s="1" t="s">
        <v>60</v>
      </c>
      <c r="C57" s="157">
        <v>503026.88</v>
      </c>
      <c r="D57" s="54"/>
    </row>
    <row r="58" spans="1:4" ht="15.75">
      <c r="A58" s="52"/>
      <c r="B58" s="1" t="s">
        <v>61</v>
      </c>
      <c r="C58" s="157">
        <v>5136172.0999999996</v>
      </c>
      <c r="D58" s="54"/>
    </row>
    <row r="59" spans="1:4" ht="15.75">
      <c r="A59" s="52"/>
      <c r="B59" s="1" t="s">
        <v>119</v>
      </c>
      <c r="C59" s="157">
        <v>506061.93</v>
      </c>
      <c r="D59" s="54"/>
    </row>
    <row r="60" spans="1:4" ht="15.75">
      <c r="A60" s="52"/>
      <c r="B60" s="1" t="s">
        <v>62</v>
      </c>
      <c r="C60" s="157">
        <v>3513580.48</v>
      </c>
      <c r="D60" s="54"/>
    </row>
    <row r="61" spans="1:4" ht="15.75">
      <c r="A61" s="52"/>
      <c r="B61" s="1" t="s">
        <v>63</v>
      </c>
      <c r="C61" s="157">
        <v>4777651.83</v>
      </c>
      <c r="D61" s="54"/>
    </row>
    <row r="62" spans="1:4" ht="15.75">
      <c r="A62" s="52"/>
      <c r="B62" s="1" t="s">
        <v>64</v>
      </c>
      <c r="C62" s="157">
        <v>491979.21</v>
      </c>
      <c r="D62" s="54"/>
    </row>
    <row r="63" spans="1:4" ht="15.75">
      <c r="A63" s="52"/>
      <c r="B63" s="1" t="s">
        <v>65</v>
      </c>
      <c r="C63" s="157">
        <v>1849252.8</v>
      </c>
      <c r="D63" s="54"/>
    </row>
    <row r="64" spans="1:4">
      <c r="A64" s="52"/>
      <c r="B64" s="11"/>
      <c r="C64" s="11"/>
      <c r="D64" s="53"/>
    </row>
    <row r="65" spans="1:4" ht="15.75">
      <c r="A65" s="52" t="s">
        <v>10</v>
      </c>
      <c r="B65" s="1" t="s">
        <v>66</v>
      </c>
      <c r="C65" s="14">
        <f>SUM(C66:C74)</f>
        <v>27664222.100000005</v>
      </c>
      <c r="D65" s="54"/>
    </row>
    <row r="66" spans="1:4" ht="15.75">
      <c r="A66" s="52"/>
      <c r="B66" s="1" t="s">
        <v>67</v>
      </c>
      <c r="C66" s="157">
        <v>23116741.77</v>
      </c>
      <c r="D66" s="54"/>
    </row>
    <row r="67" spans="1:4" ht="15.75">
      <c r="A67" s="52"/>
      <c r="B67" s="1" t="s">
        <v>68</v>
      </c>
      <c r="C67" s="157">
        <v>730770.62</v>
      </c>
      <c r="D67" s="54"/>
    </row>
    <row r="68" spans="1:4" ht="15.75">
      <c r="A68" s="52"/>
      <c r="B68" s="1" t="s">
        <v>69</v>
      </c>
      <c r="C68" s="157">
        <v>652043.06999999995</v>
      </c>
      <c r="D68" s="54"/>
    </row>
    <row r="69" spans="1:4" ht="15.75">
      <c r="A69" s="52"/>
      <c r="B69" s="1" t="s">
        <v>70</v>
      </c>
      <c r="C69" s="157">
        <v>1208476.23</v>
      </c>
      <c r="D69" s="54"/>
    </row>
    <row r="70" spans="1:4" ht="15.75">
      <c r="A70" s="52"/>
      <c r="B70" s="1" t="s">
        <v>71</v>
      </c>
      <c r="C70" s="157">
        <v>101901.09</v>
      </c>
      <c r="D70" s="54"/>
    </row>
    <row r="71" spans="1:4" ht="15.75">
      <c r="A71" s="52"/>
      <c r="B71" s="1" t="s">
        <v>72</v>
      </c>
      <c r="C71" s="157">
        <v>1027985.19</v>
      </c>
      <c r="D71" s="54"/>
    </row>
    <row r="72" spans="1:4" ht="15.75">
      <c r="A72" s="52"/>
      <c r="B72" s="1" t="s">
        <v>73</v>
      </c>
      <c r="C72" s="157">
        <v>280366.76</v>
      </c>
      <c r="D72" s="54"/>
    </row>
    <row r="73" spans="1:4" ht="15.75">
      <c r="A73" s="52"/>
      <c r="B73" s="1" t="s">
        <v>74</v>
      </c>
      <c r="C73" s="157">
        <v>274249.15999999997</v>
      </c>
      <c r="D73" s="54"/>
    </row>
    <row r="74" spans="1:4" ht="15.75">
      <c r="A74" s="52"/>
      <c r="B74" s="4" t="s">
        <v>75</v>
      </c>
      <c r="C74" s="157">
        <v>271688.21000000002</v>
      </c>
      <c r="D74" s="54"/>
    </row>
    <row r="75" spans="1:4">
      <c r="A75" s="52"/>
      <c r="B75" s="11"/>
      <c r="C75" s="11"/>
      <c r="D75" s="53"/>
    </row>
    <row r="76" spans="1:4" ht="15.75">
      <c r="A76" s="52" t="s">
        <v>11</v>
      </c>
      <c r="B76" s="4" t="s">
        <v>76</v>
      </c>
      <c r="C76" s="14">
        <f>SUM(C77:C80)</f>
        <v>6717135.6099999994</v>
      </c>
      <c r="D76" s="54"/>
    </row>
    <row r="77" spans="1:4" ht="15.75">
      <c r="A77" s="52"/>
      <c r="B77" s="4" t="s">
        <v>77</v>
      </c>
      <c r="C77" s="157">
        <v>1250764.77</v>
      </c>
      <c r="D77" s="54"/>
    </row>
    <row r="78" spans="1:4" ht="15.75">
      <c r="A78" s="52"/>
      <c r="B78" s="4" t="s">
        <v>80</v>
      </c>
      <c r="C78" s="157">
        <v>2791894.9</v>
      </c>
      <c r="D78" s="54"/>
    </row>
    <row r="79" spans="1:4" ht="15.75">
      <c r="A79" s="52"/>
      <c r="B79" s="4" t="s">
        <v>79</v>
      </c>
      <c r="C79" s="157">
        <v>413045.3</v>
      </c>
      <c r="D79" s="54"/>
    </row>
    <row r="80" spans="1:4" ht="17.45" customHeight="1">
      <c r="A80" s="52"/>
      <c r="B80" s="4" t="s">
        <v>78</v>
      </c>
      <c r="C80" s="157">
        <v>2261430.64</v>
      </c>
      <c r="D80" s="54"/>
    </row>
    <row r="81" spans="1:6">
      <c r="A81" s="52"/>
      <c r="B81" s="11"/>
      <c r="C81" s="11"/>
      <c r="D81" s="53"/>
    </row>
    <row r="82" spans="1:6" ht="17.45" customHeight="1">
      <c r="A82" s="52" t="s">
        <v>12</v>
      </c>
      <c r="B82" s="4" t="s">
        <v>81</v>
      </c>
      <c r="C82" s="14">
        <f>SUM(C83:C87)</f>
        <v>6556107.0999999996</v>
      </c>
      <c r="D82" s="54"/>
    </row>
    <row r="83" spans="1:6" ht="17.45" customHeight="1">
      <c r="A83" s="52"/>
      <c r="B83" s="4" t="s">
        <v>82</v>
      </c>
      <c r="C83" s="157">
        <v>1241386</v>
      </c>
      <c r="D83" s="54"/>
    </row>
    <row r="84" spans="1:6" ht="17.45" customHeight="1">
      <c r="A84" s="52"/>
      <c r="B84" s="4" t="s">
        <v>83</v>
      </c>
      <c r="C84" s="157">
        <v>1333390</v>
      </c>
      <c r="D84" s="54"/>
    </row>
    <row r="85" spans="1:6" ht="17.45" customHeight="1">
      <c r="A85" s="52"/>
      <c r="B85" s="4" t="s">
        <v>84</v>
      </c>
      <c r="C85" s="157">
        <v>1896520</v>
      </c>
      <c r="D85" s="54"/>
    </row>
    <row r="86" spans="1:6">
      <c r="A86" s="52"/>
      <c r="B86" s="4" t="s">
        <v>85</v>
      </c>
      <c r="C86" s="157">
        <v>1686745.1</v>
      </c>
      <c r="D86" s="54"/>
    </row>
    <row r="87" spans="1:6">
      <c r="A87" s="52"/>
      <c r="B87" s="4" t="s">
        <v>24</v>
      </c>
      <c r="C87" s="157">
        <v>398066</v>
      </c>
      <c r="D87" s="54"/>
    </row>
    <row r="88" spans="1:6">
      <c r="A88" s="52"/>
      <c r="B88" s="11"/>
      <c r="C88" s="11"/>
      <c r="D88" s="53"/>
    </row>
    <row r="89" spans="1:6" ht="15.75">
      <c r="A89" s="52" t="s">
        <v>13</v>
      </c>
      <c r="B89" s="4" t="s">
        <v>87</v>
      </c>
      <c r="C89" s="14">
        <f>SUM(C90:C92)</f>
        <v>15253300.6</v>
      </c>
      <c r="D89" s="54"/>
    </row>
    <row r="90" spans="1:6">
      <c r="A90" s="52"/>
      <c r="B90" s="4" t="s">
        <v>86</v>
      </c>
      <c r="C90" s="157">
        <v>13300894</v>
      </c>
      <c r="D90" s="54"/>
    </row>
    <row r="91" spans="1:6">
      <c r="A91" s="52"/>
      <c r="B91" s="4" t="s">
        <v>85</v>
      </c>
      <c r="C91" s="157">
        <v>1358570.6</v>
      </c>
      <c r="D91" s="54"/>
    </row>
    <row r="92" spans="1:6">
      <c r="A92" s="52"/>
      <c r="B92" s="4" t="s">
        <v>24</v>
      </c>
      <c r="C92" s="157">
        <v>593836</v>
      </c>
      <c r="D92" s="54"/>
    </row>
    <row r="93" spans="1:6">
      <c r="A93" s="52"/>
      <c r="B93" s="11"/>
      <c r="C93" s="11"/>
      <c r="D93" s="53"/>
    </row>
    <row r="94" spans="1:6" ht="15.75">
      <c r="A94" s="56">
        <v>2</v>
      </c>
      <c r="B94" s="2" t="s">
        <v>120</v>
      </c>
      <c r="C94" s="3">
        <f>SUM(C95:C104)</f>
        <v>86660415.783000007</v>
      </c>
      <c r="D94" s="57"/>
      <c r="F94" s="12"/>
    </row>
    <row r="95" spans="1:6">
      <c r="A95" s="52"/>
      <c r="B95" s="4" t="s">
        <v>88</v>
      </c>
      <c r="C95" s="6">
        <v>8537389</v>
      </c>
      <c r="D95" s="58"/>
    </row>
    <row r="96" spans="1:6">
      <c r="A96" s="52"/>
      <c r="B96" s="4" t="s">
        <v>89</v>
      </c>
      <c r="C96" s="6">
        <v>235637</v>
      </c>
      <c r="D96" s="59"/>
    </row>
    <row r="97" spans="1:6">
      <c r="A97" s="52"/>
      <c r="B97" s="4" t="s">
        <v>90</v>
      </c>
      <c r="C97" s="6">
        <v>31625553.5</v>
      </c>
      <c r="D97" s="58"/>
    </row>
    <row r="98" spans="1:6">
      <c r="A98" s="52"/>
      <c r="B98" s="4" t="s">
        <v>14</v>
      </c>
      <c r="C98" s="6">
        <v>22534078.063999999</v>
      </c>
      <c r="D98" s="58"/>
    </row>
    <row r="99" spans="1:6">
      <c r="A99" s="52"/>
      <c r="B99" s="4" t="s">
        <v>91</v>
      </c>
      <c r="C99" s="6">
        <v>7343899.8480000002</v>
      </c>
      <c r="D99" s="59"/>
    </row>
    <row r="100" spans="1:6">
      <c r="A100" s="52"/>
      <c r="B100" s="4" t="s">
        <v>92</v>
      </c>
      <c r="C100" s="6">
        <v>4041700</v>
      </c>
      <c r="D100" s="59"/>
      <c r="F100" s="12"/>
    </row>
    <row r="101" spans="1:6">
      <c r="A101" s="52"/>
      <c r="B101" s="4" t="s">
        <v>93</v>
      </c>
      <c r="C101" s="6">
        <v>4894227.3710000003</v>
      </c>
      <c r="D101" s="59"/>
    </row>
    <row r="102" spans="1:6" ht="15.75">
      <c r="A102" s="52"/>
      <c r="B102" s="4" t="s">
        <v>95</v>
      </c>
      <c r="C102" s="6">
        <v>4945626</v>
      </c>
      <c r="D102" s="59"/>
    </row>
    <row r="103" spans="1:6" ht="15.75">
      <c r="A103" s="52"/>
      <c r="B103" s="4" t="s">
        <v>94</v>
      </c>
      <c r="C103" s="6">
        <v>672305</v>
      </c>
      <c r="D103" s="58"/>
    </row>
    <row r="104" spans="1:6">
      <c r="A104" s="60"/>
      <c r="B104" s="162" t="s">
        <v>251</v>
      </c>
      <c r="C104" s="161">
        <v>1830000</v>
      </c>
      <c r="D104" s="59" t="s">
        <v>259</v>
      </c>
    </row>
    <row r="105" spans="1:6" ht="15.75">
      <c r="A105" s="56">
        <v>3</v>
      </c>
      <c r="B105" s="2" t="s">
        <v>121</v>
      </c>
      <c r="C105" s="3">
        <f>SUM(C106:C113)</f>
        <v>75885186.425999999</v>
      </c>
      <c r="D105" s="57"/>
    </row>
    <row r="106" spans="1:6">
      <c r="A106" s="52"/>
      <c r="B106" s="4" t="s">
        <v>88</v>
      </c>
      <c r="C106" s="6">
        <v>8961758.5999999996</v>
      </c>
      <c r="D106" s="58"/>
    </row>
    <row r="107" spans="1:6">
      <c r="A107" s="52"/>
      <c r="B107" s="4" t="s">
        <v>89</v>
      </c>
      <c r="C107" s="6">
        <v>218592</v>
      </c>
      <c r="D107" s="59"/>
    </row>
    <row r="108" spans="1:6">
      <c r="A108" s="52"/>
      <c r="B108" s="4" t="s">
        <v>90</v>
      </c>
      <c r="C108" s="6">
        <v>39915844.25</v>
      </c>
      <c r="D108" s="58"/>
    </row>
    <row r="109" spans="1:6">
      <c r="A109" s="52"/>
      <c r="B109" s="4" t="s">
        <v>14</v>
      </c>
      <c r="C109" s="6">
        <v>17876404.576000001</v>
      </c>
      <c r="D109" s="58"/>
    </row>
    <row r="110" spans="1:6">
      <c r="A110" s="52"/>
      <c r="B110" s="4" t="s">
        <v>92</v>
      </c>
      <c r="C110" s="6">
        <v>318700</v>
      </c>
      <c r="D110" s="59"/>
    </row>
    <row r="111" spans="1:6" ht="15.75">
      <c r="A111" s="52"/>
      <c r="B111" s="4" t="s">
        <v>95</v>
      </c>
      <c r="C111" s="6">
        <v>5376519</v>
      </c>
      <c r="D111" s="59"/>
      <c r="F111" s="12"/>
    </row>
    <row r="112" spans="1:6" ht="15.75">
      <c r="A112" s="52"/>
      <c r="B112" s="4" t="s">
        <v>94</v>
      </c>
      <c r="C112" s="6">
        <v>707368</v>
      </c>
      <c r="D112" s="59"/>
    </row>
    <row r="113" spans="1:6">
      <c r="A113" s="60"/>
      <c r="B113" s="162" t="s">
        <v>251</v>
      </c>
      <c r="C113" s="161">
        <v>2510000</v>
      </c>
      <c r="D113" s="59" t="s">
        <v>259</v>
      </c>
    </row>
    <row r="114" spans="1:6" ht="15.75">
      <c r="A114" s="56">
        <v>4</v>
      </c>
      <c r="B114" s="2" t="s">
        <v>122</v>
      </c>
      <c r="C114" s="3">
        <f>SUM(C115:C123)</f>
        <v>55522073.254000001</v>
      </c>
      <c r="D114" s="57"/>
    </row>
    <row r="115" spans="1:6">
      <c r="A115" s="52"/>
      <c r="B115" s="4" t="s">
        <v>88</v>
      </c>
      <c r="C115" s="6">
        <v>6454652.4000000004</v>
      </c>
      <c r="D115" s="58"/>
    </row>
    <row r="116" spans="1:6">
      <c r="A116" s="52"/>
      <c r="B116" s="4" t="s">
        <v>89</v>
      </c>
      <c r="C116" s="6">
        <v>88803</v>
      </c>
      <c r="D116" s="59"/>
    </row>
    <row r="117" spans="1:6">
      <c r="A117" s="52"/>
      <c r="B117" s="4" t="s">
        <v>90</v>
      </c>
      <c r="C117" s="6">
        <v>25384450.25</v>
      </c>
      <c r="D117" s="58"/>
    </row>
    <row r="118" spans="1:6">
      <c r="A118" s="52"/>
      <c r="B118" s="4" t="s">
        <v>14</v>
      </c>
      <c r="C118" s="6">
        <v>14631558.604</v>
      </c>
      <c r="D118" s="58"/>
    </row>
    <row r="119" spans="1:6">
      <c r="A119" s="52"/>
      <c r="B119" s="4" t="s">
        <v>92</v>
      </c>
      <c r="C119" s="6">
        <v>318700</v>
      </c>
      <c r="D119" s="59"/>
    </row>
    <row r="120" spans="1:6" ht="15.75">
      <c r="A120" s="52"/>
      <c r="B120" s="4" t="s">
        <v>95</v>
      </c>
      <c r="C120" s="6">
        <v>4009617</v>
      </c>
      <c r="D120" s="59"/>
      <c r="F120" s="12"/>
    </row>
    <row r="121" spans="1:6" ht="15.75">
      <c r="A121" s="52"/>
      <c r="B121" s="4" t="s">
        <v>94</v>
      </c>
      <c r="C121" s="6">
        <v>616577</v>
      </c>
      <c r="D121" s="59"/>
    </row>
    <row r="122" spans="1:6">
      <c r="A122" s="52"/>
      <c r="B122" s="162" t="s">
        <v>251</v>
      </c>
      <c r="C122" s="161">
        <v>1330000</v>
      </c>
      <c r="D122" s="59" t="s">
        <v>259</v>
      </c>
    </row>
    <row r="123" spans="1:6" ht="30">
      <c r="A123" s="60"/>
      <c r="B123" s="162" t="s">
        <v>253</v>
      </c>
      <c r="C123" s="161">
        <v>2687715</v>
      </c>
      <c r="D123" s="59" t="s">
        <v>260</v>
      </c>
    </row>
    <row r="124" spans="1:6" ht="15.75">
      <c r="A124" s="56">
        <v>5</v>
      </c>
      <c r="B124" s="2" t="s">
        <v>15</v>
      </c>
      <c r="C124" s="3">
        <f>SUM(C125:C131)</f>
        <v>10258992.300000001</v>
      </c>
      <c r="D124" s="57"/>
    </row>
    <row r="125" spans="1:6">
      <c r="A125" s="52"/>
      <c r="B125" s="4" t="s">
        <v>88</v>
      </c>
      <c r="C125" s="6">
        <v>389006</v>
      </c>
      <c r="D125" s="58"/>
    </row>
    <row r="126" spans="1:6">
      <c r="A126" s="52"/>
      <c r="B126" s="4" t="s">
        <v>89</v>
      </c>
      <c r="C126" s="6">
        <v>1083117</v>
      </c>
      <c r="D126" s="59"/>
    </row>
    <row r="127" spans="1:6">
      <c r="A127" s="52"/>
      <c r="B127" s="4" t="s">
        <v>90</v>
      </c>
      <c r="C127" s="6">
        <v>683218.29999999993</v>
      </c>
      <c r="D127" s="58"/>
    </row>
    <row r="128" spans="1:6">
      <c r="A128" s="52"/>
      <c r="B128" s="4" t="s">
        <v>14</v>
      </c>
      <c r="C128" s="6">
        <v>589160</v>
      </c>
      <c r="D128" s="58"/>
    </row>
    <row r="129" spans="1:6" ht="15.75">
      <c r="A129" s="52"/>
      <c r="B129" s="4" t="s">
        <v>95</v>
      </c>
      <c r="C129" s="6">
        <v>319680</v>
      </c>
      <c r="D129" s="59"/>
      <c r="F129" s="12"/>
    </row>
    <row r="130" spans="1:6" ht="15.75">
      <c r="A130" s="52"/>
      <c r="B130" s="4" t="s">
        <v>94</v>
      </c>
      <c r="C130" s="6">
        <v>290811</v>
      </c>
      <c r="D130" s="59"/>
    </row>
    <row r="131" spans="1:6">
      <c r="A131" s="52"/>
      <c r="B131" s="4" t="s">
        <v>96</v>
      </c>
      <c r="C131" s="6">
        <v>6904000</v>
      </c>
      <c r="D131" s="59"/>
    </row>
    <row r="132" spans="1:6">
      <c r="A132" s="60"/>
      <c r="B132" s="4"/>
      <c r="C132" s="5"/>
      <c r="D132" s="55"/>
    </row>
    <row r="133" spans="1:6" ht="15.75">
      <c r="A133" s="56">
        <v>6</v>
      </c>
      <c r="B133" s="2" t="s">
        <v>247</v>
      </c>
      <c r="C133" s="3">
        <f>SUM(C134:C136)</f>
        <v>88315097</v>
      </c>
      <c r="D133" s="168"/>
    </row>
    <row r="134" spans="1:6">
      <c r="A134" s="52"/>
      <c r="B134" s="4" t="s">
        <v>120</v>
      </c>
      <c r="C134" s="6">
        <f>'Prefa konstrukce hal'!J120</f>
        <v>30600014</v>
      </c>
      <c r="D134" s="58"/>
    </row>
    <row r="135" spans="1:6">
      <c r="A135" s="52"/>
      <c r="B135" s="4" t="s">
        <v>120</v>
      </c>
      <c r="C135" s="6">
        <f>'Prefa konstrukce hal'!J132</f>
        <v>34190057</v>
      </c>
      <c r="D135" s="59"/>
    </row>
    <row r="136" spans="1:6">
      <c r="A136" s="52"/>
      <c r="B136" s="4" t="s">
        <v>120</v>
      </c>
      <c r="C136" s="6">
        <f>'Prefa konstrukce hal'!J140</f>
        <v>23525026</v>
      </c>
      <c r="D136" s="58"/>
    </row>
    <row r="137" spans="1:6" ht="15.75" thickBot="1">
      <c r="A137" s="61"/>
      <c r="B137" s="62"/>
      <c r="C137" s="63"/>
      <c r="D137" s="64"/>
    </row>
    <row r="138" spans="1:6">
      <c r="C138" s="12"/>
    </row>
    <row r="140" spans="1:6" ht="15.75">
      <c r="A140" s="2"/>
      <c r="B140" s="2" t="s">
        <v>252</v>
      </c>
      <c r="C140" s="3">
        <f>SUM(C133,C124,C114,C105,C94,C5)</f>
        <v>570257425.01300001</v>
      </c>
      <c r="D140" s="2"/>
    </row>
  </sheetData>
  <mergeCells count="3">
    <mergeCell ref="A1:D1"/>
    <mergeCell ref="A2:D2"/>
    <mergeCell ref="A3:D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BM148"/>
  <sheetViews>
    <sheetView showGridLines="0" topLeftCell="A92" workbookViewId="0">
      <selection activeCell="H130" sqref="H130"/>
    </sheetView>
  </sheetViews>
  <sheetFormatPr defaultColWidth="9" defaultRowHeight="11.25"/>
  <cols>
    <col min="1" max="1" width="6.28515625" style="67" customWidth="1"/>
    <col min="2" max="2" width="0.85546875" style="67" customWidth="1"/>
    <col min="3" max="3" width="3.140625" style="67" customWidth="1"/>
    <col min="4" max="4" width="3.28515625" style="67" customWidth="1"/>
    <col min="5" max="5" width="12.85546875" style="67" customWidth="1"/>
    <col min="6" max="6" width="38.140625" style="67" customWidth="1"/>
    <col min="7" max="7" width="5.5703125" style="67" customWidth="1"/>
    <col min="8" max="8" width="10.42578125" style="67" customWidth="1"/>
    <col min="9" max="9" width="11.85546875" style="67" customWidth="1"/>
    <col min="10" max="10" width="16.7109375" style="67" customWidth="1"/>
    <col min="11" max="11" width="16.7109375" style="67" hidden="1" customWidth="1"/>
    <col min="12" max="12" width="14.140625" style="67" customWidth="1"/>
    <col min="13" max="13" width="8.140625" style="67" hidden="1" customWidth="1"/>
    <col min="14" max="14" width="0" style="67" hidden="1" customWidth="1"/>
    <col min="15" max="20" width="10.5703125" style="67" hidden="1" customWidth="1"/>
    <col min="21" max="21" width="12.28515625" style="67" hidden="1" customWidth="1"/>
    <col min="22" max="22" width="9.28515625" style="67" customWidth="1"/>
    <col min="23" max="23" width="12.28515625" style="67" customWidth="1"/>
    <col min="24" max="24" width="9.28515625" style="67" customWidth="1"/>
    <col min="25" max="25" width="11.28515625" style="67" customWidth="1"/>
    <col min="26" max="26" width="8.28515625" style="67" customWidth="1"/>
    <col min="27" max="27" width="11.28515625" style="67" customWidth="1"/>
    <col min="28" max="28" width="12.28515625" style="67" customWidth="1"/>
    <col min="29" max="29" width="8.28515625" style="67" customWidth="1"/>
    <col min="30" max="30" width="11.28515625" style="67" customWidth="1"/>
    <col min="31" max="31" width="12.28515625" style="67" customWidth="1"/>
    <col min="32" max="16384" width="9" style="67"/>
  </cols>
  <sheetData>
    <row r="2" spans="2:46" ht="36.950000000000003" customHeight="1">
      <c r="L2" s="246" t="s">
        <v>131</v>
      </c>
      <c r="M2" s="247"/>
      <c r="N2" s="247"/>
      <c r="O2" s="247"/>
      <c r="P2" s="247"/>
      <c r="Q2" s="247"/>
      <c r="R2" s="247"/>
      <c r="S2" s="247"/>
      <c r="T2" s="247"/>
      <c r="U2" s="247"/>
      <c r="V2" s="247"/>
      <c r="AT2" s="68" t="s">
        <v>132</v>
      </c>
    </row>
    <row r="3" spans="2:46" ht="6.95" customHeight="1">
      <c r="B3" s="69"/>
      <c r="C3" s="70"/>
      <c r="D3" s="70"/>
      <c r="E3" s="70"/>
      <c r="F3" s="70"/>
      <c r="G3" s="70"/>
      <c r="H3" s="70"/>
      <c r="I3" s="70"/>
      <c r="J3" s="70"/>
      <c r="K3" s="70"/>
      <c r="L3" s="71"/>
      <c r="AT3" s="68" t="s">
        <v>133</v>
      </c>
    </row>
    <row r="4" spans="2:46" ht="24.95" customHeight="1">
      <c r="B4" s="71"/>
      <c r="D4" s="72" t="s">
        <v>134</v>
      </c>
      <c r="L4" s="71"/>
      <c r="M4" s="73" t="s">
        <v>135</v>
      </c>
      <c r="AT4" s="68" t="s">
        <v>136</v>
      </c>
    </row>
    <row r="5" spans="2:46" ht="6.95" customHeight="1">
      <c r="B5" s="71"/>
      <c r="L5" s="71"/>
    </row>
    <row r="6" spans="2:46" ht="12" customHeight="1">
      <c r="B6" s="71"/>
      <c r="D6" s="74" t="s">
        <v>137</v>
      </c>
      <c r="L6" s="71"/>
    </row>
    <row r="7" spans="2:46" ht="16.5" customHeight="1">
      <c r="B7" s="71"/>
      <c r="E7" s="244" t="s">
        <v>250</v>
      </c>
      <c r="F7" s="245"/>
      <c r="G7" s="245"/>
      <c r="H7" s="245"/>
      <c r="L7" s="71"/>
    </row>
    <row r="8" spans="2:46" s="75" customFormat="1" ht="12" customHeight="1">
      <c r="B8" s="76"/>
      <c r="D8" s="74" t="s">
        <v>138</v>
      </c>
      <c r="L8" s="76"/>
    </row>
    <row r="9" spans="2:46" s="75" customFormat="1" ht="16.5" customHeight="1">
      <c r="B9" s="76"/>
      <c r="E9" s="242" t="s">
        <v>139</v>
      </c>
      <c r="F9" s="243"/>
      <c r="G9" s="243"/>
      <c r="H9" s="243"/>
      <c r="L9" s="76"/>
    </row>
    <row r="10" spans="2:46" s="75" customFormat="1">
      <c r="B10" s="76"/>
      <c r="L10" s="76"/>
    </row>
    <row r="11" spans="2:46" s="75" customFormat="1" ht="12" customHeight="1">
      <c r="B11" s="76"/>
      <c r="D11" s="74" t="s">
        <v>140</v>
      </c>
      <c r="F11" s="77" t="s">
        <v>141</v>
      </c>
      <c r="I11" s="74" t="s">
        <v>142</v>
      </c>
      <c r="J11" s="77" t="s">
        <v>141</v>
      </c>
      <c r="L11" s="76"/>
    </row>
    <row r="12" spans="2:46" s="75" customFormat="1" ht="12" customHeight="1">
      <c r="B12" s="76"/>
      <c r="D12" s="74" t="s">
        <v>143</v>
      </c>
      <c r="F12" s="77" t="s">
        <v>107</v>
      </c>
      <c r="I12" s="74" t="s">
        <v>105</v>
      </c>
      <c r="J12" s="78"/>
      <c r="L12" s="76"/>
    </row>
    <row r="13" spans="2:46" s="75" customFormat="1" ht="10.9" customHeight="1">
      <c r="B13" s="76"/>
      <c r="L13" s="76"/>
    </row>
    <row r="14" spans="2:46" s="75" customFormat="1" ht="12" customHeight="1">
      <c r="B14" s="76"/>
      <c r="D14" s="74" t="s">
        <v>98</v>
      </c>
      <c r="I14" s="74" t="s">
        <v>144</v>
      </c>
      <c r="J14" s="77" t="s">
        <v>141</v>
      </c>
      <c r="L14" s="76"/>
    </row>
    <row r="15" spans="2:46" s="75" customFormat="1" ht="18" customHeight="1">
      <c r="B15" s="76"/>
      <c r="E15" s="77" t="s">
        <v>107</v>
      </c>
      <c r="I15" s="74" t="s">
        <v>145</v>
      </c>
      <c r="J15" s="77" t="s">
        <v>141</v>
      </c>
      <c r="L15" s="76"/>
    </row>
    <row r="16" spans="2:46" s="75" customFormat="1" ht="6.95" customHeight="1">
      <c r="B16" s="76"/>
      <c r="L16" s="76"/>
    </row>
    <row r="17" spans="2:12" s="75" customFormat="1" ht="12" customHeight="1">
      <c r="B17" s="76"/>
      <c r="D17" s="74" t="s">
        <v>99</v>
      </c>
      <c r="I17" s="74" t="s">
        <v>144</v>
      </c>
      <c r="J17" s="77" t="s">
        <v>141</v>
      </c>
      <c r="L17" s="76"/>
    </row>
    <row r="18" spans="2:12" s="75" customFormat="1" ht="18" customHeight="1">
      <c r="B18" s="76"/>
      <c r="E18" s="248" t="s">
        <v>107</v>
      </c>
      <c r="F18" s="248"/>
      <c r="G18" s="248"/>
      <c r="H18" s="248"/>
      <c r="I18" s="74" t="s">
        <v>145</v>
      </c>
      <c r="J18" s="77" t="s">
        <v>141</v>
      </c>
      <c r="L18" s="76"/>
    </row>
    <row r="19" spans="2:12" s="75" customFormat="1" ht="6.95" customHeight="1">
      <c r="B19" s="76"/>
      <c r="L19" s="76"/>
    </row>
    <row r="20" spans="2:12" s="75" customFormat="1" ht="12" customHeight="1">
      <c r="B20" s="76"/>
      <c r="D20" s="74" t="s">
        <v>146</v>
      </c>
      <c r="I20" s="74" t="s">
        <v>144</v>
      </c>
      <c r="J20" s="77" t="s">
        <v>141</v>
      </c>
      <c r="L20" s="76"/>
    </row>
    <row r="21" spans="2:12" s="75" customFormat="1" ht="18" customHeight="1">
      <c r="B21" s="76"/>
      <c r="E21" s="77" t="s">
        <v>107</v>
      </c>
      <c r="I21" s="74" t="s">
        <v>145</v>
      </c>
      <c r="J21" s="77" t="s">
        <v>141</v>
      </c>
      <c r="L21" s="76"/>
    </row>
    <row r="22" spans="2:12" s="75" customFormat="1" ht="6.95" customHeight="1">
      <c r="B22" s="76"/>
      <c r="L22" s="76"/>
    </row>
    <row r="23" spans="2:12" s="75" customFormat="1" ht="12" customHeight="1">
      <c r="B23" s="76"/>
      <c r="D23" s="74" t="s">
        <v>147</v>
      </c>
      <c r="I23" s="74" t="s">
        <v>144</v>
      </c>
      <c r="J23" s="77" t="s">
        <v>141</v>
      </c>
      <c r="L23" s="76"/>
    </row>
    <row r="24" spans="2:12" s="75" customFormat="1" ht="18" customHeight="1">
      <c r="B24" s="76"/>
      <c r="E24" s="77" t="s">
        <v>107</v>
      </c>
      <c r="I24" s="74" t="s">
        <v>145</v>
      </c>
      <c r="J24" s="77" t="s">
        <v>141</v>
      </c>
      <c r="L24" s="76"/>
    </row>
    <row r="25" spans="2:12" s="75" customFormat="1" ht="6.95" customHeight="1">
      <c r="B25" s="76"/>
      <c r="L25" s="76"/>
    </row>
    <row r="26" spans="2:12" s="75" customFormat="1" ht="12" customHeight="1">
      <c r="B26" s="76"/>
      <c r="D26" s="74" t="s">
        <v>148</v>
      </c>
      <c r="L26" s="76"/>
    </row>
    <row r="27" spans="2:12" s="79" customFormat="1" ht="16.5" customHeight="1">
      <c r="B27" s="80"/>
      <c r="E27" s="249" t="s">
        <v>141</v>
      </c>
      <c r="F27" s="249"/>
      <c r="G27" s="249"/>
      <c r="H27" s="249"/>
      <c r="L27" s="80"/>
    </row>
    <row r="28" spans="2:12" s="75" customFormat="1" ht="6.95" customHeight="1">
      <c r="B28" s="76"/>
      <c r="L28" s="76"/>
    </row>
    <row r="29" spans="2:12" s="75" customFormat="1" ht="6.95" customHeight="1">
      <c r="B29" s="76"/>
      <c r="D29" s="81"/>
      <c r="E29" s="81"/>
      <c r="F29" s="81"/>
      <c r="G29" s="81"/>
      <c r="H29" s="81"/>
      <c r="I29" s="81"/>
      <c r="J29" s="81"/>
      <c r="K29" s="81"/>
      <c r="L29" s="76"/>
    </row>
    <row r="30" spans="2:12" s="75" customFormat="1" ht="25.35" customHeight="1">
      <c r="B30" s="76"/>
      <c r="D30" s="82" t="s">
        <v>149</v>
      </c>
      <c r="J30" s="83">
        <f>ROUND(J119, 2)</f>
        <v>88315097</v>
      </c>
      <c r="L30" s="76"/>
    </row>
    <row r="31" spans="2:12" s="75" customFormat="1" ht="6.95" customHeight="1">
      <c r="B31" s="76"/>
      <c r="D31" s="81"/>
      <c r="E31" s="81"/>
      <c r="F31" s="81"/>
      <c r="G31" s="81"/>
      <c r="H31" s="81"/>
      <c r="I31" s="81"/>
      <c r="J31" s="81"/>
      <c r="K31" s="81"/>
      <c r="L31" s="76"/>
    </row>
    <row r="32" spans="2:12" s="75" customFormat="1" ht="14.45" customHeight="1">
      <c r="B32" s="76"/>
      <c r="F32" s="84" t="s">
        <v>150</v>
      </c>
      <c r="I32" s="84" t="s">
        <v>151</v>
      </c>
      <c r="J32" s="84" t="s">
        <v>152</v>
      </c>
      <c r="L32" s="76"/>
    </row>
    <row r="33" spans="2:12" s="75" customFormat="1" ht="14.45" customHeight="1">
      <c r="B33" s="76"/>
      <c r="D33" s="85" t="s">
        <v>153</v>
      </c>
      <c r="E33" s="74" t="s">
        <v>154</v>
      </c>
      <c r="F33" s="86">
        <f>ROUND((SUM(BE119:BE147)),  2)</f>
        <v>88315097</v>
      </c>
      <c r="I33" s="87">
        <v>0.21</v>
      </c>
      <c r="J33" s="86">
        <f>ROUND(((SUM(BE119:BE147))*I33),  2)</f>
        <v>18546170.370000001</v>
      </c>
      <c r="L33" s="76"/>
    </row>
    <row r="34" spans="2:12" s="75" customFormat="1" ht="14.45" customHeight="1">
      <c r="B34" s="76"/>
      <c r="E34" s="74" t="s">
        <v>155</v>
      </c>
      <c r="F34" s="86">
        <f>ROUND((SUM(BF119:BF147)),  2)</f>
        <v>0</v>
      </c>
      <c r="I34" s="87">
        <v>0.12</v>
      </c>
      <c r="J34" s="86">
        <f>ROUND(((SUM(BF119:BF147))*I34),  2)</f>
        <v>0</v>
      </c>
      <c r="L34" s="76"/>
    </row>
    <row r="35" spans="2:12" s="75" customFormat="1" ht="14.45" hidden="1" customHeight="1">
      <c r="B35" s="76"/>
      <c r="E35" s="74" t="s">
        <v>156</v>
      </c>
      <c r="F35" s="86">
        <f>ROUND((SUM(BG119:BG147)),  2)</f>
        <v>0</v>
      </c>
      <c r="I35" s="87">
        <v>0.21</v>
      </c>
      <c r="J35" s="86">
        <f>0</f>
        <v>0</v>
      </c>
      <c r="L35" s="76"/>
    </row>
    <row r="36" spans="2:12" s="75" customFormat="1" ht="14.45" hidden="1" customHeight="1">
      <c r="B36" s="76"/>
      <c r="E36" s="74" t="s">
        <v>157</v>
      </c>
      <c r="F36" s="86">
        <f>ROUND((SUM(BH119:BH147)),  2)</f>
        <v>0</v>
      </c>
      <c r="I36" s="87">
        <v>0.12</v>
      </c>
      <c r="J36" s="86">
        <f>0</f>
        <v>0</v>
      </c>
      <c r="L36" s="76"/>
    </row>
    <row r="37" spans="2:12" s="75" customFormat="1" ht="14.45" hidden="1" customHeight="1">
      <c r="B37" s="76"/>
      <c r="E37" s="74" t="s">
        <v>158</v>
      </c>
      <c r="F37" s="86">
        <f>ROUND((SUM(BI119:BI147)),  2)</f>
        <v>0</v>
      </c>
      <c r="I37" s="87">
        <v>0</v>
      </c>
      <c r="J37" s="86">
        <f>0</f>
        <v>0</v>
      </c>
      <c r="L37" s="76"/>
    </row>
    <row r="38" spans="2:12" s="75" customFormat="1" ht="6.95" customHeight="1">
      <c r="B38" s="76"/>
      <c r="L38" s="76"/>
    </row>
    <row r="39" spans="2:12" s="75" customFormat="1" ht="25.35" customHeight="1">
      <c r="B39" s="76"/>
      <c r="C39" s="88"/>
      <c r="D39" s="89" t="s">
        <v>159</v>
      </c>
      <c r="E39" s="90"/>
      <c r="F39" s="90"/>
      <c r="G39" s="91" t="s">
        <v>160</v>
      </c>
      <c r="H39" s="92" t="s">
        <v>161</v>
      </c>
      <c r="I39" s="90"/>
      <c r="J39" s="93">
        <f>SUM(J30:J37)</f>
        <v>106861267.37</v>
      </c>
      <c r="K39" s="94"/>
      <c r="L39" s="76"/>
    </row>
    <row r="40" spans="2:12" s="75" customFormat="1" ht="14.45" customHeight="1">
      <c r="B40" s="76"/>
      <c r="L40" s="76"/>
    </row>
    <row r="41" spans="2:12" ht="14.45" customHeight="1">
      <c r="B41" s="71"/>
      <c r="L41" s="71"/>
    </row>
    <row r="42" spans="2:12" ht="14.45" customHeight="1">
      <c r="B42" s="71"/>
      <c r="L42" s="71"/>
    </row>
    <row r="43" spans="2:12" ht="14.45" customHeight="1">
      <c r="B43" s="71"/>
      <c r="L43" s="71"/>
    </row>
    <row r="44" spans="2:12" ht="14.45" customHeight="1">
      <c r="B44" s="71"/>
      <c r="L44" s="71"/>
    </row>
    <row r="45" spans="2:12" ht="14.45" customHeight="1">
      <c r="B45" s="71"/>
      <c r="L45" s="71"/>
    </row>
    <row r="46" spans="2:12" ht="14.45" customHeight="1">
      <c r="B46" s="71"/>
      <c r="L46" s="71"/>
    </row>
    <row r="47" spans="2:12" ht="14.45" customHeight="1">
      <c r="B47" s="71"/>
      <c r="L47" s="71"/>
    </row>
    <row r="48" spans="2:12" ht="14.45" customHeight="1">
      <c r="B48" s="71"/>
      <c r="L48" s="71"/>
    </row>
    <row r="49" spans="2:12" ht="14.45" customHeight="1">
      <c r="B49" s="71"/>
      <c r="L49" s="71"/>
    </row>
    <row r="50" spans="2:12" s="75" customFormat="1" ht="14.45" customHeight="1">
      <c r="B50" s="76"/>
      <c r="D50" s="95" t="s">
        <v>162</v>
      </c>
      <c r="E50" s="96"/>
      <c r="F50" s="96"/>
      <c r="G50" s="95" t="s">
        <v>163</v>
      </c>
      <c r="H50" s="96"/>
      <c r="I50" s="96"/>
      <c r="J50" s="96"/>
      <c r="K50" s="96"/>
      <c r="L50" s="76"/>
    </row>
    <row r="51" spans="2:12">
      <c r="B51" s="71"/>
      <c r="L51" s="71"/>
    </row>
    <row r="52" spans="2:12">
      <c r="B52" s="71"/>
      <c r="L52" s="71"/>
    </row>
    <row r="53" spans="2:12">
      <c r="B53" s="71"/>
      <c r="L53" s="71"/>
    </row>
    <row r="54" spans="2:12">
      <c r="B54" s="71"/>
      <c r="L54" s="71"/>
    </row>
    <row r="55" spans="2:12">
      <c r="B55" s="71"/>
      <c r="L55" s="71"/>
    </row>
    <row r="56" spans="2:12">
      <c r="B56" s="71"/>
      <c r="L56" s="71"/>
    </row>
    <row r="57" spans="2:12">
      <c r="B57" s="71"/>
      <c r="L57" s="71"/>
    </row>
    <row r="58" spans="2:12">
      <c r="B58" s="71"/>
      <c r="L58" s="71"/>
    </row>
    <row r="59" spans="2:12">
      <c r="B59" s="71"/>
      <c r="L59" s="71"/>
    </row>
    <row r="60" spans="2:12">
      <c r="B60" s="71"/>
      <c r="L60" s="71"/>
    </row>
    <row r="61" spans="2:12" s="75" customFormat="1" ht="12.75">
      <c r="B61" s="76"/>
      <c r="D61" s="97" t="s">
        <v>164</v>
      </c>
      <c r="E61" s="98"/>
      <c r="F61" s="99" t="s">
        <v>165</v>
      </c>
      <c r="G61" s="97" t="s">
        <v>164</v>
      </c>
      <c r="H61" s="98"/>
      <c r="I61" s="98"/>
      <c r="J61" s="100" t="s">
        <v>165</v>
      </c>
      <c r="K61" s="98"/>
      <c r="L61" s="76"/>
    </row>
    <row r="62" spans="2:12">
      <c r="B62" s="71"/>
      <c r="L62" s="71"/>
    </row>
    <row r="63" spans="2:12">
      <c r="B63" s="71"/>
      <c r="L63" s="71"/>
    </row>
    <row r="64" spans="2:12">
      <c r="B64" s="71"/>
      <c r="L64" s="71"/>
    </row>
    <row r="65" spans="2:12" s="75" customFormat="1" ht="12.75">
      <c r="B65" s="76"/>
      <c r="D65" s="95" t="s">
        <v>166</v>
      </c>
      <c r="E65" s="96"/>
      <c r="F65" s="96"/>
      <c r="G65" s="95" t="s">
        <v>167</v>
      </c>
      <c r="H65" s="96"/>
      <c r="I65" s="96"/>
      <c r="J65" s="96"/>
      <c r="K65" s="96"/>
      <c r="L65" s="76"/>
    </row>
    <row r="66" spans="2:12">
      <c r="B66" s="71"/>
      <c r="L66" s="71"/>
    </row>
    <row r="67" spans="2:12">
      <c r="B67" s="71"/>
      <c r="L67" s="71"/>
    </row>
    <row r="68" spans="2:12">
      <c r="B68" s="71"/>
      <c r="L68" s="71"/>
    </row>
    <row r="69" spans="2:12">
      <c r="B69" s="71"/>
      <c r="L69" s="71"/>
    </row>
    <row r="70" spans="2:12">
      <c r="B70" s="71"/>
      <c r="L70" s="71"/>
    </row>
    <row r="71" spans="2:12">
      <c r="B71" s="71"/>
      <c r="L71" s="71"/>
    </row>
    <row r="72" spans="2:12">
      <c r="B72" s="71"/>
      <c r="L72" s="71"/>
    </row>
    <row r="73" spans="2:12">
      <c r="B73" s="71"/>
      <c r="L73" s="71"/>
    </row>
    <row r="74" spans="2:12">
      <c r="B74" s="71"/>
      <c r="L74" s="71"/>
    </row>
    <row r="75" spans="2:12">
      <c r="B75" s="71"/>
      <c r="L75" s="71"/>
    </row>
    <row r="76" spans="2:12" s="75" customFormat="1" ht="12.75">
      <c r="B76" s="76"/>
      <c r="D76" s="97" t="s">
        <v>164</v>
      </c>
      <c r="E76" s="98"/>
      <c r="F76" s="99" t="s">
        <v>165</v>
      </c>
      <c r="G76" s="97" t="s">
        <v>164</v>
      </c>
      <c r="H76" s="98"/>
      <c r="I76" s="98"/>
      <c r="J76" s="100" t="s">
        <v>165</v>
      </c>
      <c r="K76" s="98"/>
      <c r="L76" s="76"/>
    </row>
    <row r="77" spans="2:12" s="75" customFormat="1" ht="14.45" customHeight="1">
      <c r="B77" s="101"/>
      <c r="C77" s="102"/>
      <c r="D77" s="102"/>
      <c r="E77" s="102"/>
      <c r="F77" s="102"/>
      <c r="G77" s="102"/>
      <c r="H77" s="102"/>
      <c r="I77" s="102"/>
      <c r="J77" s="102"/>
      <c r="K77" s="102"/>
      <c r="L77" s="76"/>
    </row>
    <row r="81" spans="2:47" s="75" customFormat="1" ht="6.95" customHeight="1">
      <c r="B81" s="103"/>
      <c r="C81" s="104"/>
      <c r="D81" s="104"/>
      <c r="E81" s="104"/>
      <c r="F81" s="104"/>
      <c r="G81" s="104"/>
      <c r="H81" s="104"/>
      <c r="I81" s="104"/>
      <c r="J81" s="104"/>
      <c r="K81" s="104"/>
      <c r="L81" s="76"/>
    </row>
    <row r="82" spans="2:47" s="75" customFormat="1" ht="24.95" customHeight="1">
      <c r="B82" s="76"/>
      <c r="C82" s="72" t="s">
        <v>168</v>
      </c>
      <c r="L82" s="76"/>
    </row>
    <row r="83" spans="2:47" s="75" customFormat="1" ht="6.95" customHeight="1">
      <c r="B83" s="76"/>
      <c r="L83" s="76"/>
    </row>
    <row r="84" spans="2:47" s="75" customFormat="1" ht="12" customHeight="1">
      <c r="B84" s="76"/>
      <c r="C84" s="74" t="s">
        <v>137</v>
      </c>
      <c r="L84" s="76"/>
    </row>
    <row r="85" spans="2:47" s="75" customFormat="1" ht="16.5" customHeight="1">
      <c r="B85" s="76"/>
      <c r="E85" s="244" t="str">
        <f>E7</f>
        <v>RC Zone Přerov - Prefa konstrukce</v>
      </c>
      <c r="F85" s="245"/>
      <c r="G85" s="245"/>
      <c r="H85" s="245"/>
      <c r="L85" s="76"/>
    </row>
    <row r="86" spans="2:47" s="75" customFormat="1" ht="12" customHeight="1">
      <c r="B86" s="76"/>
      <c r="C86" s="74" t="s">
        <v>138</v>
      </c>
      <c r="L86" s="76"/>
    </row>
    <row r="87" spans="2:47" s="75" customFormat="1" ht="16.5" customHeight="1">
      <c r="B87" s="76"/>
      <c r="E87" s="242" t="str">
        <f>E9</f>
        <v>03 - Prefa konstrukce hala 01, 02, 03</v>
      </c>
      <c r="F87" s="243"/>
      <c r="G87" s="243"/>
      <c r="H87" s="243"/>
      <c r="L87" s="76"/>
    </row>
    <row r="88" spans="2:47" s="75" customFormat="1" ht="6.95" customHeight="1">
      <c r="B88" s="76"/>
      <c r="L88" s="76"/>
    </row>
    <row r="89" spans="2:47" s="75" customFormat="1" ht="12" customHeight="1">
      <c r="B89" s="76"/>
      <c r="C89" s="74" t="s">
        <v>143</v>
      </c>
      <c r="F89" s="77" t="str">
        <f>F12</f>
        <v xml:space="preserve"> </v>
      </c>
      <c r="I89" s="74" t="s">
        <v>105</v>
      </c>
      <c r="J89" s="78" t="str">
        <f>IF(J12="","",J12)</f>
        <v/>
      </c>
      <c r="L89" s="76"/>
    </row>
    <row r="90" spans="2:47" s="75" customFormat="1" ht="6.95" customHeight="1">
      <c r="B90" s="76"/>
      <c r="L90" s="76"/>
    </row>
    <row r="91" spans="2:47" s="75" customFormat="1" ht="15.2" customHeight="1">
      <c r="B91" s="76"/>
      <c r="C91" s="74" t="s">
        <v>98</v>
      </c>
      <c r="F91" s="77" t="str">
        <f>E15</f>
        <v xml:space="preserve"> </v>
      </c>
      <c r="I91" s="74" t="s">
        <v>146</v>
      </c>
      <c r="J91" s="105" t="str">
        <f>E21</f>
        <v xml:space="preserve"> </v>
      </c>
      <c r="L91" s="76"/>
    </row>
    <row r="92" spans="2:47" s="75" customFormat="1" ht="15.2" customHeight="1">
      <c r="B92" s="76"/>
      <c r="C92" s="74" t="s">
        <v>99</v>
      </c>
      <c r="F92" s="77" t="str">
        <f>IF(E18="","",E18)</f>
        <v xml:space="preserve"> </v>
      </c>
      <c r="I92" s="74" t="s">
        <v>147</v>
      </c>
      <c r="J92" s="105" t="str">
        <f>E24</f>
        <v xml:space="preserve"> </v>
      </c>
      <c r="L92" s="76"/>
    </row>
    <row r="93" spans="2:47" s="75" customFormat="1" ht="10.35" customHeight="1">
      <c r="B93" s="76"/>
      <c r="L93" s="76"/>
    </row>
    <row r="94" spans="2:47" s="75" customFormat="1" ht="29.25" customHeight="1">
      <c r="B94" s="76"/>
      <c r="C94" s="106" t="s">
        <v>169</v>
      </c>
      <c r="D94" s="88"/>
      <c r="E94" s="88"/>
      <c r="F94" s="88"/>
      <c r="G94" s="88"/>
      <c r="H94" s="88"/>
      <c r="I94" s="88"/>
      <c r="J94" s="107" t="s">
        <v>170</v>
      </c>
      <c r="K94" s="88"/>
      <c r="L94" s="76"/>
    </row>
    <row r="95" spans="2:47" s="75" customFormat="1" ht="10.35" customHeight="1">
      <c r="B95" s="76"/>
      <c r="L95" s="76"/>
    </row>
    <row r="96" spans="2:47" s="75" customFormat="1" ht="22.9" customHeight="1">
      <c r="B96" s="76"/>
      <c r="C96" s="108" t="s">
        <v>171</v>
      </c>
      <c r="J96" s="83">
        <f>J119</f>
        <v>88315097</v>
      </c>
      <c r="L96" s="76"/>
      <c r="AU96" s="68" t="s">
        <v>172</v>
      </c>
    </row>
    <row r="97" spans="2:12" s="109" customFormat="1" ht="24.95" customHeight="1">
      <c r="B97" s="110"/>
      <c r="D97" s="111" t="s">
        <v>173</v>
      </c>
      <c r="E97" s="112"/>
      <c r="F97" s="112"/>
      <c r="G97" s="112"/>
      <c r="H97" s="112"/>
      <c r="I97" s="112"/>
      <c r="J97" s="113">
        <f>J120</f>
        <v>30600014</v>
      </c>
      <c r="L97" s="110"/>
    </row>
    <row r="98" spans="2:12" s="109" customFormat="1" ht="24.95" customHeight="1">
      <c r="B98" s="110"/>
      <c r="D98" s="111" t="s">
        <v>174</v>
      </c>
      <c r="E98" s="112"/>
      <c r="F98" s="112"/>
      <c r="G98" s="112"/>
      <c r="H98" s="112"/>
      <c r="I98" s="112"/>
      <c r="J98" s="113">
        <f>J132</f>
        <v>34190057</v>
      </c>
      <c r="L98" s="110"/>
    </row>
    <row r="99" spans="2:12" s="109" customFormat="1" ht="24.95" customHeight="1">
      <c r="B99" s="110"/>
      <c r="D99" s="111" t="s">
        <v>249</v>
      </c>
      <c r="E99" s="112"/>
      <c r="F99" s="112"/>
      <c r="G99" s="112"/>
      <c r="H99" s="112"/>
      <c r="I99" s="112"/>
      <c r="J99" s="113">
        <f>J140</f>
        <v>23525026</v>
      </c>
      <c r="L99" s="110"/>
    </row>
    <row r="100" spans="2:12" s="75" customFormat="1" ht="21.75" customHeight="1">
      <c r="B100" s="76"/>
      <c r="L100" s="76"/>
    </row>
    <row r="101" spans="2:12" s="75" customFormat="1" ht="6.95" customHeight="1">
      <c r="B101" s="101"/>
      <c r="C101" s="102"/>
      <c r="D101" s="102"/>
      <c r="E101" s="102"/>
      <c r="F101" s="102"/>
      <c r="G101" s="102"/>
      <c r="H101" s="102"/>
      <c r="I101" s="102"/>
      <c r="J101" s="102"/>
      <c r="K101" s="102"/>
      <c r="L101" s="76"/>
    </row>
    <row r="105" spans="2:12" s="75" customFormat="1" ht="6.95" customHeight="1">
      <c r="B105" s="103"/>
      <c r="C105" s="104"/>
      <c r="D105" s="104"/>
      <c r="E105" s="104"/>
      <c r="F105" s="104"/>
      <c r="G105" s="104"/>
      <c r="H105" s="104"/>
      <c r="I105" s="104"/>
      <c r="J105" s="104"/>
      <c r="K105" s="104"/>
      <c r="L105" s="76"/>
    </row>
    <row r="106" spans="2:12" s="75" customFormat="1" ht="24.95" customHeight="1">
      <c r="B106" s="76"/>
      <c r="C106" s="72" t="s">
        <v>175</v>
      </c>
      <c r="L106" s="76"/>
    </row>
    <row r="107" spans="2:12" s="75" customFormat="1" ht="6.95" customHeight="1">
      <c r="B107" s="76"/>
      <c r="L107" s="76"/>
    </row>
    <row r="108" spans="2:12" s="75" customFormat="1" ht="12" customHeight="1">
      <c r="B108" s="76"/>
      <c r="C108" s="74" t="s">
        <v>137</v>
      </c>
      <c r="L108" s="76"/>
    </row>
    <row r="109" spans="2:12" s="75" customFormat="1" ht="16.5" customHeight="1">
      <c r="B109" s="76"/>
      <c r="E109" s="244" t="str">
        <f>E7</f>
        <v>RC Zone Přerov - Prefa konstrukce</v>
      </c>
      <c r="F109" s="245"/>
      <c r="G109" s="245"/>
      <c r="H109" s="245"/>
      <c r="L109" s="76"/>
    </row>
    <row r="110" spans="2:12" s="75" customFormat="1" ht="12" customHeight="1">
      <c r="B110" s="76"/>
      <c r="C110" s="74" t="s">
        <v>138</v>
      </c>
      <c r="L110" s="76"/>
    </row>
    <row r="111" spans="2:12" s="75" customFormat="1" ht="16.5" customHeight="1">
      <c r="B111" s="76"/>
      <c r="E111" s="242" t="str">
        <f>E9</f>
        <v>03 - Prefa konstrukce hala 01, 02, 03</v>
      </c>
      <c r="F111" s="243"/>
      <c r="G111" s="243"/>
      <c r="H111" s="243"/>
      <c r="L111" s="76"/>
    </row>
    <row r="112" spans="2:12" s="75" customFormat="1" ht="6.95" customHeight="1">
      <c r="B112" s="76"/>
      <c r="L112" s="76"/>
    </row>
    <row r="113" spans="2:65" s="75" customFormat="1" ht="12" customHeight="1">
      <c r="B113" s="76"/>
      <c r="C113" s="74" t="s">
        <v>143</v>
      </c>
      <c r="F113" s="77" t="str">
        <f>F12</f>
        <v xml:space="preserve"> </v>
      </c>
      <c r="I113" s="74" t="s">
        <v>105</v>
      </c>
      <c r="J113" s="78" t="str">
        <f>IF(J12="","",J12)</f>
        <v/>
      </c>
      <c r="L113" s="76"/>
    </row>
    <row r="114" spans="2:65" s="75" customFormat="1" ht="6.95" customHeight="1">
      <c r="B114" s="76"/>
      <c r="L114" s="76"/>
    </row>
    <row r="115" spans="2:65" s="75" customFormat="1" ht="15.2" customHeight="1">
      <c r="B115" s="76"/>
      <c r="C115" s="74" t="s">
        <v>98</v>
      </c>
      <c r="F115" s="77" t="str">
        <f>E15</f>
        <v xml:space="preserve"> </v>
      </c>
      <c r="I115" s="74" t="s">
        <v>146</v>
      </c>
      <c r="J115" s="105" t="str">
        <f>E21</f>
        <v xml:space="preserve"> </v>
      </c>
      <c r="L115" s="76"/>
    </row>
    <row r="116" spans="2:65" s="75" customFormat="1" ht="15.2" customHeight="1">
      <c r="B116" s="76"/>
      <c r="C116" s="74" t="s">
        <v>99</v>
      </c>
      <c r="F116" s="77" t="str">
        <f>IF(E18="","",E18)</f>
        <v xml:space="preserve"> </v>
      </c>
      <c r="I116" s="74" t="s">
        <v>147</v>
      </c>
      <c r="J116" s="105" t="str">
        <f>E24</f>
        <v xml:space="preserve"> </v>
      </c>
      <c r="L116" s="76"/>
    </row>
    <row r="117" spans="2:65" s="75" customFormat="1" ht="10.35" customHeight="1">
      <c r="B117" s="76"/>
      <c r="L117" s="76"/>
    </row>
    <row r="118" spans="2:65" s="114" customFormat="1" ht="29.25" customHeight="1">
      <c r="B118" s="115"/>
      <c r="C118" s="116" t="s">
        <v>176</v>
      </c>
      <c r="D118" s="117" t="s">
        <v>177</v>
      </c>
      <c r="E118" s="117" t="s">
        <v>178</v>
      </c>
      <c r="F118" s="117" t="s">
        <v>1</v>
      </c>
      <c r="G118" s="117" t="s">
        <v>179</v>
      </c>
      <c r="H118" s="117" t="s">
        <v>180</v>
      </c>
      <c r="I118" s="117" t="s">
        <v>181</v>
      </c>
      <c r="J118" s="118" t="s">
        <v>170</v>
      </c>
      <c r="K118" s="119" t="s">
        <v>182</v>
      </c>
      <c r="L118" s="115"/>
      <c r="M118" s="120" t="s">
        <v>141</v>
      </c>
      <c r="N118" s="121" t="s">
        <v>153</v>
      </c>
      <c r="O118" s="121" t="s">
        <v>183</v>
      </c>
      <c r="P118" s="121" t="s">
        <v>184</v>
      </c>
      <c r="Q118" s="121" t="s">
        <v>185</v>
      </c>
      <c r="R118" s="121" t="s">
        <v>186</v>
      </c>
      <c r="S118" s="121" t="s">
        <v>187</v>
      </c>
      <c r="T118" s="122" t="s">
        <v>188</v>
      </c>
    </row>
    <row r="119" spans="2:65" s="75" customFormat="1" ht="22.9" customHeight="1">
      <c r="B119" s="76"/>
      <c r="C119" s="123" t="s">
        <v>189</v>
      </c>
      <c r="J119" s="124">
        <f>BK119</f>
        <v>88315097</v>
      </c>
      <c r="L119" s="76"/>
      <c r="M119" s="125"/>
      <c r="N119" s="81"/>
      <c r="O119" s="81"/>
      <c r="P119" s="126">
        <f>P120+P132+P140</f>
        <v>0</v>
      </c>
      <c r="Q119" s="81"/>
      <c r="R119" s="126">
        <f>R120+R132+R140</f>
        <v>0</v>
      </c>
      <c r="S119" s="81"/>
      <c r="T119" s="127">
        <f>T120+T132+T140</f>
        <v>0</v>
      </c>
      <c r="AT119" s="68" t="s">
        <v>190</v>
      </c>
      <c r="AU119" s="68" t="s">
        <v>172</v>
      </c>
      <c r="BK119" s="128">
        <f>BK120+BK132+BK140</f>
        <v>88315097</v>
      </c>
    </row>
    <row r="120" spans="2:65" s="129" customFormat="1" ht="25.9" customHeight="1">
      <c r="B120" s="130"/>
      <c r="D120" s="131" t="s">
        <v>190</v>
      </c>
      <c r="E120" s="132" t="s">
        <v>191</v>
      </c>
      <c r="F120" s="132" t="s">
        <v>245</v>
      </c>
      <c r="J120" s="133">
        <f>BK120</f>
        <v>30600014</v>
      </c>
      <c r="L120" s="130"/>
      <c r="M120" s="134"/>
      <c r="P120" s="135">
        <f>SUM(P121:P131)</f>
        <v>0</v>
      </c>
      <c r="R120" s="135">
        <f>SUM(R121:R131)</f>
        <v>0</v>
      </c>
      <c r="T120" s="136">
        <f>SUM(T121:T131)</f>
        <v>0</v>
      </c>
      <c r="AR120" s="131" t="s">
        <v>192</v>
      </c>
      <c r="AT120" s="137" t="s">
        <v>190</v>
      </c>
      <c r="AU120" s="137" t="s">
        <v>193</v>
      </c>
      <c r="AY120" s="131" t="s">
        <v>194</v>
      </c>
      <c r="BK120" s="138">
        <f>SUM(BK121:BK131)</f>
        <v>30600014</v>
      </c>
    </row>
    <row r="121" spans="2:65" s="75" customFormat="1" ht="16.5" customHeight="1">
      <c r="B121" s="139"/>
      <c r="C121" s="140" t="s">
        <v>192</v>
      </c>
      <c r="D121" s="140" t="s">
        <v>195</v>
      </c>
      <c r="E121" s="141"/>
      <c r="F121" s="142" t="s">
        <v>196</v>
      </c>
      <c r="G121" s="143" t="s">
        <v>197</v>
      </c>
      <c r="H121" s="144">
        <v>140</v>
      </c>
      <c r="I121" s="145">
        <v>89500</v>
      </c>
      <c r="J121" s="145">
        <f t="shared" ref="J121:J131" si="0">ROUND(I121*H121,2)</f>
        <v>12530000</v>
      </c>
      <c r="K121" s="146"/>
      <c r="L121" s="76"/>
      <c r="M121" s="147" t="s">
        <v>141</v>
      </c>
      <c r="N121" s="148" t="s">
        <v>154</v>
      </c>
      <c r="O121" s="149">
        <v>0</v>
      </c>
      <c r="P121" s="149">
        <f t="shared" ref="P121:P131" si="1">O121*H121</f>
        <v>0</v>
      </c>
      <c r="Q121" s="149">
        <v>0</v>
      </c>
      <c r="R121" s="149">
        <f t="shared" ref="R121:R131" si="2">Q121*H121</f>
        <v>0</v>
      </c>
      <c r="S121" s="149">
        <v>0</v>
      </c>
      <c r="T121" s="150">
        <f t="shared" ref="T121:T131" si="3">S121*H121</f>
        <v>0</v>
      </c>
      <c r="AR121" s="151" t="s">
        <v>198</v>
      </c>
      <c r="AT121" s="151" t="s">
        <v>195</v>
      </c>
      <c r="AU121" s="151" t="s">
        <v>192</v>
      </c>
      <c r="AY121" s="68" t="s">
        <v>194</v>
      </c>
      <c r="BE121" s="152">
        <f t="shared" ref="BE121:BE131" si="4">IF(N121="základní",J121,0)</f>
        <v>12530000</v>
      </c>
      <c r="BF121" s="152">
        <f t="shared" ref="BF121:BF131" si="5">IF(N121="snížená",J121,0)</f>
        <v>0</v>
      </c>
      <c r="BG121" s="152">
        <f t="shared" ref="BG121:BG131" si="6">IF(N121="zákl. přenesená",J121,0)</f>
        <v>0</v>
      </c>
      <c r="BH121" s="152">
        <f t="shared" ref="BH121:BH131" si="7">IF(N121="sníž. přenesená",J121,0)</f>
        <v>0</v>
      </c>
      <c r="BI121" s="152">
        <f t="shared" ref="BI121:BI131" si="8">IF(N121="nulová",J121,0)</f>
        <v>0</v>
      </c>
      <c r="BJ121" s="68" t="s">
        <v>192</v>
      </c>
      <c r="BK121" s="152">
        <f t="shared" ref="BK121:BK131" si="9">ROUND(I121*H121,2)</f>
        <v>12530000</v>
      </c>
      <c r="BL121" s="68" t="s">
        <v>198</v>
      </c>
      <c r="BM121" s="151" t="s">
        <v>133</v>
      </c>
    </row>
    <row r="122" spans="2:65" s="75" customFormat="1" ht="16.5" customHeight="1">
      <c r="B122" s="139"/>
      <c r="C122" s="140" t="s">
        <v>133</v>
      </c>
      <c r="D122" s="140" t="s">
        <v>195</v>
      </c>
      <c r="E122" s="141"/>
      <c r="F122" s="142" t="s">
        <v>199</v>
      </c>
      <c r="G122" s="143" t="s">
        <v>197</v>
      </c>
      <c r="H122" s="144">
        <v>57</v>
      </c>
      <c r="I122" s="145">
        <v>120700</v>
      </c>
      <c r="J122" s="145">
        <f t="shared" si="0"/>
        <v>6879900</v>
      </c>
      <c r="K122" s="146"/>
      <c r="L122" s="76"/>
      <c r="M122" s="147" t="s">
        <v>141</v>
      </c>
      <c r="N122" s="148" t="s">
        <v>154</v>
      </c>
      <c r="O122" s="149">
        <v>0</v>
      </c>
      <c r="P122" s="149">
        <f t="shared" si="1"/>
        <v>0</v>
      </c>
      <c r="Q122" s="149">
        <v>0</v>
      </c>
      <c r="R122" s="149">
        <f t="shared" si="2"/>
        <v>0</v>
      </c>
      <c r="S122" s="149">
        <v>0</v>
      </c>
      <c r="T122" s="150">
        <f t="shared" si="3"/>
        <v>0</v>
      </c>
      <c r="AR122" s="151" t="s">
        <v>198</v>
      </c>
      <c r="AT122" s="151" t="s">
        <v>195</v>
      </c>
      <c r="AU122" s="151" t="s">
        <v>192</v>
      </c>
      <c r="AY122" s="68" t="s">
        <v>194</v>
      </c>
      <c r="BE122" s="152">
        <f t="shared" si="4"/>
        <v>6879900</v>
      </c>
      <c r="BF122" s="152">
        <f t="shared" si="5"/>
        <v>0</v>
      </c>
      <c r="BG122" s="152">
        <f t="shared" si="6"/>
        <v>0</v>
      </c>
      <c r="BH122" s="152">
        <f t="shared" si="7"/>
        <v>0</v>
      </c>
      <c r="BI122" s="152">
        <f t="shared" si="8"/>
        <v>0</v>
      </c>
      <c r="BJ122" s="68" t="s">
        <v>192</v>
      </c>
      <c r="BK122" s="152">
        <f t="shared" si="9"/>
        <v>6879900</v>
      </c>
      <c r="BL122" s="68" t="s">
        <v>198</v>
      </c>
      <c r="BM122" s="151" t="s">
        <v>198</v>
      </c>
    </row>
    <row r="123" spans="2:65" s="75" customFormat="1" ht="16.5" customHeight="1">
      <c r="B123" s="139"/>
      <c r="C123" s="140" t="s">
        <v>200</v>
      </c>
      <c r="D123" s="140" t="s">
        <v>195</v>
      </c>
      <c r="E123" s="141"/>
      <c r="F123" s="142" t="s">
        <v>201</v>
      </c>
      <c r="G123" s="143" t="s">
        <v>197</v>
      </c>
      <c r="H123" s="144">
        <v>202</v>
      </c>
      <c r="I123" s="145">
        <v>27307</v>
      </c>
      <c r="J123" s="145">
        <f t="shared" si="0"/>
        <v>5516014</v>
      </c>
      <c r="K123" s="146"/>
      <c r="L123" s="76"/>
      <c r="M123" s="147" t="s">
        <v>141</v>
      </c>
      <c r="N123" s="148" t="s">
        <v>154</v>
      </c>
      <c r="O123" s="149">
        <v>0</v>
      </c>
      <c r="P123" s="149">
        <f t="shared" si="1"/>
        <v>0</v>
      </c>
      <c r="Q123" s="149">
        <v>0</v>
      </c>
      <c r="R123" s="149">
        <f t="shared" si="2"/>
        <v>0</v>
      </c>
      <c r="S123" s="149">
        <v>0</v>
      </c>
      <c r="T123" s="150">
        <f t="shared" si="3"/>
        <v>0</v>
      </c>
      <c r="AR123" s="151" t="s">
        <v>198</v>
      </c>
      <c r="AT123" s="151" t="s">
        <v>195</v>
      </c>
      <c r="AU123" s="151" t="s">
        <v>192</v>
      </c>
      <c r="AY123" s="68" t="s">
        <v>194</v>
      </c>
      <c r="BE123" s="152">
        <f t="shared" si="4"/>
        <v>5516014</v>
      </c>
      <c r="BF123" s="152">
        <f t="shared" si="5"/>
        <v>0</v>
      </c>
      <c r="BG123" s="152">
        <f t="shared" si="6"/>
        <v>0</v>
      </c>
      <c r="BH123" s="152">
        <f t="shared" si="7"/>
        <v>0</v>
      </c>
      <c r="BI123" s="152">
        <f t="shared" si="8"/>
        <v>0</v>
      </c>
      <c r="BJ123" s="68" t="s">
        <v>192</v>
      </c>
      <c r="BK123" s="152">
        <f t="shared" si="9"/>
        <v>5516014</v>
      </c>
      <c r="BL123" s="68" t="s">
        <v>198</v>
      </c>
      <c r="BM123" s="151" t="s">
        <v>202</v>
      </c>
    </row>
    <row r="124" spans="2:65" s="75" customFormat="1" ht="16.5" customHeight="1">
      <c r="B124" s="139"/>
      <c r="C124" s="140" t="s">
        <v>198</v>
      </c>
      <c r="D124" s="140" t="s">
        <v>195</v>
      </c>
      <c r="E124" s="141"/>
      <c r="F124" s="142" t="s">
        <v>203</v>
      </c>
      <c r="G124" s="143" t="s">
        <v>197</v>
      </c>
      <c r="H124" s="165">
        <v>100</v>
      </c>
      <c r="I124" s="145">
        <v>19200</v>
      </c>
      <c r="J124" s="145">
        <f t="shared" si="0"/>
        <v>1920000</v>
      </c>
      <c r="K124" s="146"/>
      <c r="L124" s="76"/>
      <c r="M124" s="147" t="s">
        <v>141</v>
      </c>
      <c r="N124" s="148" t="s">
        <v>154</v>
      </c>
      <c r="O124" s="149">
        <v>0</v>
      </c>
      <c r="P124" s="149">
        <f t="shared" si="1"/>
        <v>0</v>
      </c>
      <c r="Q124" s="149">
        <v>0</v>
      </c>
      <c r="R124" s="149">
        <f t="shared" si="2"/>
        <v>0</v>
      </c>
      <c r="S124" s="149">
        <v>0</v>
      </c>
      <c r="T124" s="150">
        <f t="shared" si="3"/>
        <v>0</v>
      </c>
      <c r="AR124" s="151" t="s">
        <v>198</v>
      </c>
      <c r="AT124" s="151" t="s">
        <v>195</v>
      </c>
      <c r="AU124" s="151" t="s">
        <v>192</v>
      </c>
      <c r="AY124" s="68" t="s">
        <v>194</v>
      </c>
      <c r="BE124" s="152">
        <f t="shared" si="4"/>
        <v>1920000</v>
      </c>
      <c r="BF124" s="152">
        <f t="shared" si="5"/>
        <v>0</v>
      </c>
      <c r="BG124" s="152">
        <f t="shared" si="6"/>
        <v>0</v>
      </c>
      <c r="BH124" s="152">
        <f t="shared" si="7"/>
        <v>0</v>
      </c>
      <c r="BI124" s="152">
        <f t="shared" si="8"/>
        <v>0</v>
      </c>
      <c r="BJ124" s="68" t="s">
        <v>192</v>
      </c>
      <c r="BK124" s="152">
        <f t="shared" si="9"/>
        <v>1920000</v>
      </c>
      <c r="BL124" s="68" t="s">
        <v>198</v>
      </c>
      <c r="BM124" s="151" t="s">
        <v>204</v>
      </c>
    </row>
    <row r="125" spans="2:65" s="75" customFormat="1" ht="16.5" customHeight="1">
      <c r="B125" s="139"/>
      <c r="C125" s="140" t="s">
        <v>205</v>
      </c>
      <c r="D125" s="140" t="s">
        <v>195</v>
      </c>
      <c r="E125" s="141"/>
      <c r="F125" s="167" t="s">
        <v>262</v>
      </c>
      <c r="G125" s="143" t="s">
        <v>197</v>
      </c>
      <c r="H125" s="164">
        <v>87</v>
      </c>
      <c r="I125" s="145">
        <v>21100</v>
      </c>
      <c r="J125" s="145">
        <f t="shared" si="0"/>
        <v>1835700</v>
      </c>
      <c r="K125" s="146"/>
      <c r="L125" s="76"/>
      <c r="M125" s="147" t="s">
        <v>141</v>
      </c>
      <c r="N125" s="148" t="s">
        <v>154</v>
      </c>
      <c r="O125" s="149">
        <v>0</v>
      </c>
      <c r="P125" s="149">
        <f t="shared" si="1"/>
        <v>0</v>
      </c>
      <c r="Q125" s="149">
        <v>0</v>
      </c>
      <c r="R125" s="149">
        <f t="shared" si="2"/>
        <v>0</v>
      </c>
      <c r="S125" s="149">
        <v>0</v>
      </c>
      <c r="T125" s="150">
        <f t="shared" si="3"/>
        <v>0</v>
      </c>
      <c r="AR125" s="151" t="s">
        <v>198</v>
      </c>
      <c r="AT125" s="151" t="s">
        <v>195</v>
      </c>
      <c r="AU125" s="151" t="s">
        <v>192</v>
      </c>
      <c r="AY125" s="68" t="s">
        <v>194</v>
      </c>
      <c r="BE125" s="152">
        <f t="shared" si="4"/>
        <v>1835700</v>
      </c>
      <c r="BF125" s="152">
        <f t="shared" si="5"/>
        <v>0</v>
      </c>
      <c r="BG125" s="152">
        <f t="shared" si="6"/>
        <v>0</v>
      </c>
      <c r="BH125" s="152">
        <f t="shared" si="7"/>
        <v>0</v>
      </c>
      <c r="BI125" s="152">
        <f t="shared" si="8"/>
        <v>0</v>
      </c>
      <c r="BJ125" s="68" t="s">
        <v>192</v>
      </c>
      <c r="BK125" s="152">
        <f t="shared" si="9"/>
        <v>1835700</v>
      </c>
      <c r="BL125" s="68" t="s">
        <v>198</v>
      </c>
      <c r="BM125" s="151" t="s">
        <v>206</v>
      </c>
    </row>
    <row r="126" spans="2:65" s="75" customFormat="1" ht="16.5" customHeight="1">
      <c r="B126" s="139"/>
      <c r="C126" s="140" t="s">
        <v>202</v>
      </c>
      <c r="D126" s="140" t="s">
        <v>195</v>
      </c>
      <c r="E126" s="141"/>
      <c r="F126" s="142" t="s">
        <v>207</v>
      </c>
      <c r="G126" s="143" t="s">
        <v>197</v>
      </c>
      <c r="H126" s="164">
        <v>0</v>
      </c>
      <c r="I126" s="145"/>
      <c r="J126" s="145">
        <f t="shared" si="0"/>
        <v>0</v>
      </c>
      <c r="K126" s="146"/>
      <c r="L126" s="76"/>
      <c r="M126" s="147" t="s">
        <v>141</v>
      </c>
      <c r="N126" s="148" t="s">
        <v>154</v>
      </c>
      <c r="O126" s="149">
        <v>0</v>
      </c>
      <c r="P126" s="149">
        <f t="shared" si="1"/>
        <v>0</v>
      </c>
      <c r="Q126" s="149">
        <v>0</v>
      </c>
      <c r="R126" s="149">
        <f t="shared" si="2"/>
        <v>0</v>
      </c>
      <c r="S126" s="149">
        <v>0</v>
      </c>
      <c r="T126" s="150">
        <f t="shared" si="3"/>
        <v>0</v>
      </c>
      <c r="AR126" s="151" t="s">
        <v>198</v>
      </c>
      <c r="AT126" s="151" t="s">
        <v>195</v>
      </c>
      <c r="AU126" s="151" t="s">
        <v>192</v>
      </c>
      <c r="AY126" s="68" t="s">
        <v>194</v>
      </c>
      <c r="BE126" s="152">
        <f t="shared" si="4"/>
        <v>0</v>
      </c>
      <c r="BF126" s="152">
        <f t="shared" si="5"/>
        <v>0</v>
      </c>
      <c r="BG126" s="152">
        <f t="shared" si="6"/>
        <v>0</v>
      </c>
      <c r="BH126" s="152">
        <f t="shared" si="7"/>
        <v>0</v>
      </c>
      <c r="BI126" s="152">
        <f t="shared" si="8"/>
        <v>0</v>
      </c>
      <c r="BJ126" s="68" t="s">
        <v>192</v>
      </c>
      <c r="BK126" s="152">
        <f t="shared" si="9"/>
        <v>0</v>
      </c>
      <c r="BL126" s="68" t="s">
        <v>198</v>
      </c>
      <c r="BM126" s="151" t="s">
        <v>208</v>
      </c>
    </row>
    <row r="127" spans="2:65" s="75" customFormat="1" ht="16.5" customHeight="1">
      <c r="B127" s="139"/>
      <c r="C127" s="140" t="s">
        <v>209</v>
      </c>
      <c r="D127" s="140" t="s">
        <v>195</v>
      </c>
      <c r="E127" s="141"/>
      <c r="F127" s="142" t="s">
        <v>210</v>
      </c>
      <c r="G127" s="143" t="s">
        <v>197</v>
      </c>
      <c r="H127" s="144">
        <v>124</v>
      </c>
      <c r="I127" s="145">
        <v>7000</v>
      </c>
      <c r="J127" s="145">
        <f t="shared" si="0"/>
        <v>868000</v>
      </c>
      <c r="K127" s="146"/>
      <c r="L127" s="76"/>
      <c r="M127" s="147" t="s">
        <v>141</v>
      </c>
      <c r="N127" s="148" t="s">
        <v>154</v>
      </c>
      <c r="O127" s="149">
        <v>0</v>
      </c>
      <c r="P127" s="149">
        <f t="shared" si="1"/>
        <v>0</v>
      </c>
      <c r="Q127" s="149">
        <v>0</v>
      </c>
      <c r="R127" s="149">
        <f t="shared" si="2"/>
        <v>0</v>
      </c>
      <c r="S127" s="149">
        <v>0</v>
      </c>
      <c r="T127" s="150">
        <f t="shared" si="3"/>
        <v>0</v>
      </c>
      <c r="AR127" s="151" t="s">
        <v>198</v>
      </c>
      <c r="AT127" s="151" t="s">
        <v>195</v>
      </c>
      <c r="AU127" s="151" t="s">
        <v>192</v>
      </c>
      <c r="AY127" s="68" t="s">
        <v>194</v>
      </c>
      <c r="BE127" s="152">
        <f t="shared" si="4"/>
        <v>868000</v>
      </c>
      <c r="BF127" s="152">
        <f t="shared" si="5"/>
        <v>0</v>
      </c>
      <c r="BG127" s="152">
        <f t="shared" si="6"/>
        <v>0</v>
      </c>
      <c r="BH127" s="152">
        <f t="shared" si="7"/>
        <v>0</v>
      </c>
      <c r="BI127" s="152">
        <f t="shared" si="8"/>
        <v>0</v>
      </c>
      <c r="BJ127" s="68" t="s">
        <v>192</v>
      </c>
      <c r="BK127" s="152">
        <f t="shared" si="9"/>
        <v>868000</v>
      </c>
      <c r="BL127" s="68" t="s">
        <v>198</v>
      </c>
      <c r="BM127" s="151" t="s">
        <v>211</v>
      </c>
    </row>
    <row r="128" spans="2:65" s="75" customFormat="1" ht="16.5" customHeight="1">
      <c r="B128" s="139"/>
      <c r="C128" s="140" t="s">
        <v>204</v>
      </c>
      <c r="D128" s="140" t="s">
        <v>195</v>
      </c>
      <c r="E128" s="141"/>
      <c r="F128" s="142" t="s">
        <v>212</v>
      </c>
      <c r="G128" s="143" t="s">
        <v>197</v>
      </c>
      <c r="H128" s="164">
        <v>52</v>
      </c>
      <c r="I128" s="145">
        <v>20200</v>
      </c>
      <c r="J128" s="145">
        <f t="shared" si="0"/>
        <v>1050400</v>
      </c>
      <c r="K128" s="146"/>
      <c r="L128" s="76"/>
      <c r="M128" s="147" t="s">
        <v>141</v>
      </c>
      <c r="N128" s="148" t="s">
        <v>154</v>
      </c>
      <c r="O128" s="149">
        <v>0</v>
      </c>
      <c r="P128" s="149">
        <f t="shared" si="1"/>
        <v>0</v>
      </c>
      <c r="Q128" s="149">
        <v>0</v>
      </c>
      <c r="R128" s="149">
        <f t="shared" si="2"/>
        <v>0</v>
      </c>
      <c r="S128" s="149">
        <v>0</v>
      </c>
      <c r="T128" s="150">
        <f t="shared" si="3"/>
        <v>0</v>
      </c>
      <c r="AR128" s="151" t="s">
        <v>198</v>
      </c>
      <c r="AT128" s="151" t="s">
        <v>195</v>
      </c>
      <c r="AU128" s="151" t="s">
        <v>192</v>
      </c>
      <c r="AY128" s="68" t="s">
        <v>194</v>
      </c>
      <c r="BE128" s="152">
        <f t="shared" si="4"/>
        <v>1050400</v>
      </c>
      <c r="BF128" s="152">
        <f t="shared" si="5"/>
        <v>0</v>
      </c>
      <c r="BG128" s="152">
        <f t="shared" si="6"/>
        <v>0</v>
      </c>
      <c r="BH128" s="152">
        <f t="shared" si="7"/>
        <v>0</v>
      </c>
      <c r="BI128" s="152">
        <f t="shared" si="8"/>
        <v>0</v>
      </c>
      <c r="BJ128" s="68" t="s">
        <v>192</v>
      </c>
      <c r="BK128" s="152">
        <f t="shared" si="9"/>
        <v>1050400</v>
      </c>
      <c r="BL128" s="68" t="s">
        <v>198</v>
      </c>
      <c r="BM128" s="151" t="s">
        <v>213</v>
      </c>
    </row>
    <row r="129" spans="2:65" s="75" customFormat="1" ht="16.5" customHeight="1">
      <c r="B129" s="139"/>
      <c r="C129" s="140" t="s">
        <v>214</v>
      </c>
      <c r="D129" s="140" t="s">
        <v>195</v>
      </c>
      <c r="E129" s="141"/>
      <c r="F129" s="142" t="s">
        <v>215</v>
      </c>
      <c r="G129" s="143" t="s">
        <v>197</v>
      </c>
      <c r="H129" s="144">
        <v>13</v>
      </c>
      <c r="I129" s="145"/>
      <c r="J129" s="145">
        <f t="shared" si="0"/>
        <v>0</v>
      </c>
      <c r="K129" s="146"/>
      <c r="L129" s="166" t="s">
        <v>261</v>
      </c>
      <c r="M129" s="147" t="s">
        <v>141</v>
      </c>
      <c r="N129" s="148" t="s">
        <v>154</v>
      </c>
      <c r="O129" s="149">
        <v>0</v>
      </c>
      <c r="P129" s="149">
        <f t="shared" si="1"/>
        <v>0</v>
      </c>
      <c r="Q129" s="149">
        <v>0</v>
      </c>
      <c r="R129" s="149">
        <f t="shared" si="2"/>
        <v>0</v>
      </c>
      <c r="S129" s="149">
        <v>0</v>
      </c>
      <c r="T129" s="150">
        <f t="shared" si="3"/>
        <v>0</v>
      </c>
      <c r="AR129" s="151" t="s">
        <v>198</v>
      </c>
      <c r="AT129" s="151" t="s">
        <v>195</v>
      </c>
      <c r="AU129" s="151" t="s">
        <v>192</v>
      </c>
      <c r="AY129" s="68" t="s">
        <v>194</v>
      </c>
      <c r="BE129" s="152">
        <f t="shared" si="4"/>
        <v>0</v>
      </c>
      <c r="BF129" s="152">
        <f t="shared" si="5"/>
        <v>0</v>
      </c>
      <c r="BG129" s="152">
        <f t="shared" si="6"/>
        <v>0</v>
      </c>
      <c r="BH129" s="152">
        <f t="shared" si="7"/>
        <v>0</v>
      </c>
      <c r="BI129" s="152">
        <f t="shared" si="8"/>
        <v>0</v>
      </c>
      <c r="BJ129" s="68" t="s">
        <v>192</v>
      </c>
      <c r="BK129" s="152">
        <f t="shared" si="9"/>
        <v>0</v>
      </c>
      <c r="BL129" s="68" t="s">
        <v>198</v>
      </c>
      <c r="BM129" s="151" t="s">
        <v>216</v>
      </c>
    </row>
    <row r="130" spans="2:65" s="75" customFormat="1" ht="16.5" customHeight="1">
      <c r="B130" s="139"/>
      <c r="C130" s="140" t="s">
        <v>206</v>
      </c>
      <c r="D130" s="140" t="s">
        <v>195</v>
      </c>
      <c r="E130" s="141"/>
      <c r="F130" s="142" t="s">
        <v>217</v>
      </c>
      <c r="G130" s="143" t="s">
        <v>197</v>
      </c>
      <c r="H130" s="144">
        <v>21</v>
      </c>
      <c r="I130" s="145"/>
      <c r="J130" s="145">
        <f t="shared" si="0"/>
        <v>0</v>
      </c>
      <c r="K130" s="146"/>
      <c r="L130" s="166" t="s">
        <v>261</v>
      </c>
      <c r="M130" s="147" t="s">
        <v>141</v>
      </c>
      <c r="N130" s="148" t="s">
        <v>154</v>
      </c>
      <c r="O130" s="149">
        <v>0</v>
      </c>
      <c r="P130" s="149">
        <f t="shared" si="1"/>
        <v>0</v>
      </c>
      <c r="Q130" s="149">
        <v>0</v>
      </c>
      <c r="R130" s="149">
        <f t="shared" si="2"/>
        <v>0</v>
      </c>
      <c r="S130" s="149">
        <v>0</v>
      </c>
      <c r="T130" s="150">
        <f t="shared" si="3"/>
        <v>0</v>
      </c>
      <c r="AR130" s="151" t="s">
        <v>198</v>
      </c>
      <c r="AT130" s="151" t="s">
        <v>195</v>
      </c>
      <c r="AU130" s="151" t="s">
        <v>192</v>
      </c>
      <c r="AY130" s="68" t="s">
        <v>194</v>
      </c>
      <c r="BE130" s="152">
        <f t="shared" si="4"/>
        <v>0</v>
      </c>
      <c r="BF130" s="152">
        <f t="shared" si="5"/>
        <v>0</v>
      </c>
      <c r="BG130" s="152">
        <f t="shared" si="6"/>
        <v>0</v>
      </c>
      <c r="BH130" s="152">
        <f t="shared" si="7"/>
        <v>0</v>
      </c>
      <c r="BI130" s="152">
        <f t="shared" si="8"/>
        <v>0</v>
      </c>
      <c r="BJ130" s="68" t="s">
        <v>192</v>
      </c>
      <c r="BK130" s="152">
        <f t="shared" si="9"/>
        <v>0</v>
      </c>
      <c r="BL130" s="68" t="s">
        <v>198</v>
      </c>
      <c r="BM130" s="151" t="s">
        <v>218</v>
      </c>
    </row>
    <row r="131" spans="2:65" s="75" customFormat="1" ht="16.5" customHeight="1">
      <c r="B131" s="139"/>
      <c r="C131" s="140" t="s">
        <v>219</v>
      </c>
      <c r="D131" s="140" t="s">
        <v>195</v>
      </c>
      <c r="E131" s="141"/>
      <c r="F131" s="142" t="s">
        <v>220</v>
      </c>
      <c r="G131" s="143" t="s">
        <v>197</v>
      </c>
      <c r="H131" s="144">
        <v>3</v>
      </c>
      <c r="I131" s="145"/>
      <c r="J131" s="145">
        <f t="shared" si="0"/>
        <v>0</v>
      </c>
      <c r="K131" s="146"/>
      <c r="L131" s="76"/>
      <c r="M131" s="147" t="s">
        <v>141</v>
      </c>
      <c r="N131" s="148" t="s">
        <v>154</v>
      </c>
      <c r="O131" s="149">
        <v>0</v>
      </c>
      <c r="P131" s="149">
        <f t="shared" si="1"/>
        <v>0</v>
      </c>
      <c r="Q131" s="149">
        <v>0</v>
      </c>
      <c r="R131" s="149">
        <f t="shared" si="2"/>
        <v>0</v>
      </c>
      <c r="S131" s="149">
        <v>0</v>
      </c>
      <c r="T131" s="150">
        <f t="shared" si="3"/>
        <v>0</v>
      </c>
      <c r="AR131" s="151" t="s">
        <v>198</v>
      </c>
      <c r="AT131" s="151" t="s">
        <v>195</v>
      </c>
      <c r="AU131" s="151" t="s">
        <v>192</v>
      </c>
      <c r="AY131" s="68" t="s">
        <v>194</v>
      </c>
      <c r="BE131" s="152">
        <f t="shared" si="4"/>
        <v>0</v>
      </c>
      <c r="BF131" s="152">
        <f t="shared" si="5"/>
        <v>0</v>
      </c>
      <c r="BG131" s="152">
        <f t="shared" si="6"/>
        <v>0</v>
      </c>
      <c r="BH131" s="152">
        <f t="shared" si="7"/>
        <v>0</v>
      </c>
      <c r="BI131" s="152">
        <f t="shared" si="8"/>
        <v>0</v>
      </c>
      <c r="BJ131" s="68" t="s">
        <v>192</v>
      </c>
      <c r="BK131" s="152">
        <f t="shared" si="9"/>
        <v>0</v>
      </c>
      <c r="BL131" s="68" t="s">
        <v>198</v>
      </c>
      <c r="BM131" s="151" t="s">
        <v>221</v>
      </c>
    </row>
    <row r="132" spans="2:65" s="129" customFormat="1" ht="25.9" customHeight="1">
      <c r="B132" s="130"/>
      <c r="D132" s="131" t="s">
        <v>190</v>
      </c>
      <c r="E132" s="132" t="s">
        <v>222</v>
      </c>
      <c r="F132" s="132" t="s">
        <v>246</v>
      </c>
      <c r="J132" s="133">
        <f>BK132</f>
        <v>34190057</v>
      </c>
      <c r="L132" s="130"/>
      <c r="M132" s="134"/>
      <c r="P132" s="135">
        <f>SUM(P133:P139)</f>
        <v>0</v>
      </c>
      <c r="R132" s="135">
        <f>SUM(R133:R139)</f>
        <v>0</v>
      </c>
      <c r="T132" s="136">
        <f>SUM(T133:T139)</f>
        <v>0</v>
      </c>
      <c r="AR132" s="131" t="s">
        <v>192</v>
      </c>
      <c r="AT132" s="137" t="s">
        <v>190</v>
      </c>
      <c r="AU132" s="137" t="s">
        <v>193</v>
      </c>
      <c r="AY132" s="131" t="s">
        <v>194</v>
      </c>
      <c r="BK132" s="138">
        <f>SUM(BK133:BK139)</f>
        <v>34190057</v>
      </c>
    </row>
    <row r="133" spans="2:65" s="75" customFormat="1" ht="16.5" customHeight="1">
      <c r="B133" s="139"/>
      <c r="C133" s="140" t="s">
        <v>208</v>
      </c>
      <c r="D133" s="140" t="s">
        <v>195</v>
      </c>
      <c r="E133" s="141"/>
      <c r="F133" s="142" t="s">
        <v>196</v>
      </c>
      <c r="G133" s="143" t="s">
        <v>197</v>
      </c>
      <c r="H133" s="144">
        <v>148</v>
      </c>
      <c r="I133" s="145">
        <v>90971</v>
      </c>
      <c r="J133" s="145">
        <f t="shared" ref="J133:J139" si="10">ROUND(I133*H133,2)</f>
        <v>13463708</v>
      </c>
      <c r="K133" s="146"/>
      <c r="L133" s="76"/>
      <c r="M133" s="147" t="s">
        <v>141</v>
      </c>
      <c r="N133" s="148" t="s">
        <v>154</v>
      </c>
      <c r="O133" s="149">
        <v>0</v>
      </c>
      <c r="P133" s="149">
        <f t="shared" ref="P133:P139" si="11">O133*H133</f>
        <v>0</v>
      </c>
      <c r="Q133" s="149">
        <v>0</v>
      </c>
      <c r="R133" s="149">
        <f t="shared" ref="R133:R139" si="12">Q133*H133</f>
        <v>0</v>
      </c>
      <c r="S133" s="149">
        <v>0</v>
      </c>
      <c r="T133" s="150">
        <f t="shared" ref="T133:T139" si="13">S133*H133</f>
        <v>0</v>
      </c>
      <c r="AR133" s="151" t="s">
        <v>198</v>
      </c>
      <c r="AT133" s="151" t="s">
        <v>195</v>
      </c>
      <c r="AU133" s="151" t="s">
        <v>192</v>
      </c>
      <c r="AY133" s="68" t="s">
        <v>194</v>
      </c>
      <c r="BE133" s="152">
        <f t="shared" ref="BE133:BE139" si="14">IF(N133="základní",J133,0)</f>
        <v>13463708</v>
      </c>
      <c r="BF133" s="152">
        <f t="shared" ref="BF133:BF139" si="15">IF(N133="snížená",J133,0)</f>
        <v>0</v>
      </c>
      <c r="BG133" s="152">
        <f t="shared" ref="BG133:BG139" si="16">IF(N133="zákl. přenesená",J133,0)</f>
        <v>0</v>
      </c>
      <c r="BH133" s="152">
        <f t="shared" ref="BH133:BH139" si="17">IF(N133="sníž. přenesená",J133,0)</f>
        <v>0</v>
      </c>
      <c r="BI133" s="152">
        <f t="shared" ref="BI133:BI139" si="18">IF(N133="nulová",J133,0)</f>
        <v>0</v>
      </c>
      <c r="BJ133" s="68" t="s">
        <v>192</v>
      </c>
      <c r="BK133" s="152">
        <f t="shared" ref="BK133:BK139" si="19">ROUND(I133*H133,2)</f>
        <v>13463708</v>
      </c>
      <c r="BL133" s="68" t="s">
        <v>198</v>
      </c>
      <c r="BM133" s="151" t="s">
        <v>223</v>
      </c>
    </row>
    <row r="134" spans="2:65" s="75" customFormat="1" ht="16.5" customHeight="1">
      <c r="B134" s="139"/>
      <c r="C134" s="140" t="s">
        <v>224</v>
      </c>
      <c r="D134" s="140" t="s">
        <v>195</v>
      </c>
      <c r="E134" s="141"/>
      <c r="F134" s="142" t="s">
        <v>199</v>
      </c>
      <c r="G134" s="143" t="s">
        <v>197</v>
      </c>
      <c r="H134" s="144">
        <v>64</v>
      </c>
      <c r="I134" s="145">
        <v>135201</v>
      </c>
      <c r="J134" s="145">
        <f t="shared" si="10"/>
        <v>8652864</v>
      </c>
      <c r="K134" s="146"/>
      <c r="L134" s="76"/>
      <c r="M134" s="147" t="s">
        <v>141</v>
      </c>
      <c r="N134" s="148" t="s">
        <v>154</v>
      </c>
      <c r="O134" s="149">
        <v>0</v>
      </c>
      <c r="P134" s="149">
        <f t="shared" si="11"/>
        <v>0</v>
      </c>
      <c r="Q134" s="149">
        <v>0</v>
      </c>
      <c r="R134" s="149">
        <f t="shared" si="12"/>
        <v>0</v>
      </c>
      <c r="S134" s="149">
        <v>0</v>
      </c>
      <c r="T134" s="150">
        <f t="shared" si="13"/>
        <v>0</v>
      </c>
      <c r="AR134" s="151" t="s">
        <v>198</v>
      </c>
      <c r="AT134" s="151" t="s">
        <v>195</v>
      </c>
      <c r="AU134" s="151" t="s">
        <v>192</v>
      </c>
      <c r="AY134" s="68" t="s">
        <v>194</v>
      </c>
      <c r="BE134" s="152">
        <f t="shared" si="14"/>
        <v>8652864</v>
      </c>
      <c r="BF134" s="152">
        <f t="shared" si="15"/>
        <v>0</v>
      </c>
      <c r="BG134" s="152">
        <f t="shared" si="16"/>
        <v>0</v>
      </c>
      <c r="BH134" s="152">
        <f t="shared" si="17"/>
        <v>0</v>
      </c>
      <c r="BI134" s="152">
        <f t="shared" si="18"/>
        <v>0</v>
      </c>
      <c r="BJ134" s="68" t="s">
        <v>192</v>
      </c>
      <c r="BK134" s="152">
        <f t="shared" si="19"/>
        <v>8652864</v>
      </c>
      <c r="BL134" s="68" t="s">
        <v>198</v>
      </c>
      <c r="BM134" s="151" t="s">
        <v>225</v>
      </c>
    </row>
    <row r="135" spans="2:65" s="75" customFormat="1" ht="16.5" customHeight="1">
      <c r="B135" s="139"/>
      <c r="C135" s="140" t="s">
        <v>211</v>
      </c>
      <c r="D135" s="140" t="s">
        <v>195</v>
      </c>
      <c r="E135" s="141"/>
      <c r="F135" s="142" t="s">
        <v>201</v>
      </c>
      <c r="G135" s="143" t="s">
        <v>197</v>
      </c>
      <c r="H135" s="144">
        <v>255</v>
      </c>
      <c r="I135" s="145">
        <v>27247</v>
      </c>
      <c r="J135" s="145">
        <f t="shared" si="10"/>
        <v>6947985</v>
      </c>
      <c r="K135" s="146"/>
      <c r="L135" s="76"/>
      <c r="M135" s="147" t="s">
        <v>141</v>
      </c>
      <c r="N135" s="148" t="s">
        <v>154</v>
      </c>
      <c r="O135" s="149">
        <v>0</v>
      </c>
      <c r="P135" s="149">
        <f t="shared" si="11"/>
        <v>0</v>
      </c>
      <c r="Q135" s="149">
        <v>0</v>
      </c>
      <c r="R135" s="149">
        <f t="shared" si="12"/>
        <v>0</v>
      </c>
      <c r="S135" s="149">
        <v>0</v>
      </c>
      <c r="T135" s="150">
        <f t="shared" si="13"/>
        <v>0</v>
      </c>
      <c r="AR135" s="151" t="s">
        <v>198</v>
      </c>
      <c r="AT135" s="151" t="s">
        <v>195</v>
      </c>
      <c r="AU135" s="151" t="s">
        <v>192</v>
      </c>
      <c r="AY135" s="68" t="s">
        <v>194</v>
      </c>
      <c r="BE135" s="152">
        <f t="shared" si="14"/>
        <v>6947985</v>
      </c>
      <c r="BF135" s="152">
        <f t="shared" si="15"/>
        <v>0</v>
      </c>
      <c r="BG135" s="152">
        <f t="shared" si="16"/>
        <v>0</v>
      </c>
      <c r="BH135" s="152">
        <f t="shared" si="17"/>
        <v>0</v>
      </c>
      <c r="BI135" s="152">
        <f t="shared" si="18"/>
        <v>0</v>
      </c>
      <c r="BJ135" s="68" t="s">
        <v>192</v>
      </c>
      <c r="BK135" s="152">
        <f t="shared" si="19"/>
        <v>6947985</v>
      </c>
      <c r="BL135" s="68" t="s">
        <v>198</v>
      </c>
      <c r="BM135" s="151" t="s">
        <v>226</v>
      </c>
    </row>
    <row r="136" spans="2:65" s="75" customFormat="1" ht="16.5" customHeight="1">
      <c r="B136" s="139"/>
      <c r="C136" s="140" t="s">
        <v>227</v>
      </c>
      <c r="D136" s="140" t="s">
        <v>195</v>
      </c>
      <c r="E136" s="141"/>
      <c r="F136" s="142" t="s">
        <v>203</v>
      </c>
      <c r="G136" s="143" t="s">
        <v>197</v>
      </c>
      <c r="H136" s="144">
        <v>100</v>
      </c>
      <c r="I136" s="145">
        <v>18589</v>
      </c>
      <c r="J136" s="145">
        <f t="shared" si="10"/>
        <v>1858900</v>
      </c>
      <c r="K136" s="146"/>
      <c r="L136" s="76"/>
      <c r="M136" s="147" t="s">
        <v>141</v>
      </c>
      <c r="N136" s="148" t="s">
        <v>154</v>
      </c>
      <c r="O136" s="149">
        <v>0</v>
      </c>
      <c r="P136" s="149">
        <f t="shared" si="11"/>
        <v>0</v>
      </c>
      <c r="Q136" s="149">
        <v>0</v>
      </c>
      <c r="R136" s="149">
        <f t="shared" si="12"/>
        <v>0</v>
      </c>
      <c r="S136" s="149">
        <v>0</v>
      </c>
      <c r="T136" s="150">
        <f t="shared" si="13"/>
        <v>0</v>
      </c>
      <c r="AR136" s="151" t="s">
        <v>198</v>
      </c>
      <c r="AT136" s="151" t="s">
        <v>195</v>
      </c>
      <c r="AU136" s="151" t="s">
        <v>192</v>
      </c>
      <c r="AY136" s="68" t="s">
        <v>194</v>
      </c>
      <c r="BE136" s="152">
        <f t="shared" si="14"/>
        <v>1858900</v>
      </c>
      <c r="BF136" s="152">
        <f t="shared" si="15"/>
        <v>0</v>
      </c>
      <c r="BG136" s="152">
        <f t="shared" si="16"/>
        <v>0</v>
      </c>
      <c r="BH136" s="152">
        <f t="shared" si="17"/>
        <v>0</v>
      </c>
      <c r="BI136" s="152">
        <f t="shared" si="18"/>
        <v>0</v>
      </c>
      <c r="BJ136" s="68" t="s">
        <v>192</v>
      </c>
      <c r="BK136" s="152">
        <f t="shared" si="19"/>
        <v>1858900</v>
      </c>
      <c r="BL136" s="68" t="s">
        <v>198</v>
      </c>
      <c r="BM136" s="151" t="s">
        <v>228</v>
      </c>
    </row>
    <row r="137" spans="2:65" s="75" customFormat="1" ht="16.5" customHeight="1">
      <c r="B137" s="139"/>
      <c r="C137" s="140" t="s">
        <v>213</v>
      </c>
      <c r="D137" s="140" t="s">
        <v>195</v>
      </c>
      <c r="E137" s="141"/>
      <c r="F137" s="167" t="s">
        <v>262</v>
      </c>
      <c r="G137" s="143" t="s">
        <v>197</v>
      </c>
      <c r="H137" s="164">
        <v>100</v>
      </c>
      <c r="I137" s="145">
        <v>32666</v>
      </c>
      <c r="J137" s="145">
        <f t="shared" si="10"/>
        <v>3266600</v>
      </c>
      <c r="K137" s="146"/>
      <c r="L137" s="76"/>
      <c r="M137" s="147" t="s">
        <v>141</v>
      </c>
      <c r="N137" s="148" t="s">
        <v>154</v>
      </c>
      <c r="O137" s="149">
        <v>0</v>
      </c>
      <c r="P137" s="149">
        <f t="shared" si="11"/>
        <v>0</v>
      </c>
      <c r="Q137" s="149">
        <v>0</v>
      </c>
      <c r="R137" s="149">
        <f t="shared" si="12"/>
        <v>0</v>
      </c>
      <c r="S137" s="149">
        <v>0</v>
      </c>
      <c r="T137" s="150">
        <f t="shared" si="13"/>
        <v>0</v>
      </c>
      <c r="AR137" s="151" t="s">
        <v>198</v>
      </c>
      <c r="AT137" s="151" t="s">
        <v>195</v>
      </c>
      <c r="AU137" s="151" t="s">
        <v>192</v>
      </c>
      <c r="AY137" s="68" t="s">
        <v>194</v>
      </c>
      <c r="BE137" s="152">
        <f t="shared" si="14"/>
        <v>3266600</v>
      </c>
      <c r="BF137" s="152">
        <f t="shared" si="15"/>
        <v>0</v>
      </c>
      <c r="BG137" s="152">
        <f t="shared" si="16"/>
        <v>0</v>
      </c>
      <c r="BH137" s="152">
        <f t="shared" si="17"/>
        <v>0</v>
      </c>
      <c r="BI137" s="152">
        <f t="shared" si="18"/>
        <v>0</v>
      </c>
      <c r="BJ137" s="68" t="s">
        <v>192</v>
      </c>
      <c r="BK137" s="152">
        <f t="shared" si="19"/>
        <v>3266600</v>
      </c>
      <c r="BL137" s="68" t="s">
        <v>198</v>
      </c>
      <c r="BM137" s="151" t="s">
        <v>229</v>
      </c>
    </row>
    <row r="138" spans="2:65" s="75" customFormat="1" ht="16.5" customHeight="1">
      <c r="B138" s="139"/>
      <c r="C138" s="140" t="s">
        <v>230</v>
      </c>
      <c r="D138" s="140" t="s">
        <v>195</v>
      </c>
      <c r="E138" s="141"/>
      <c r="F138" s="142" t="s">
        <v>207</v>
      </c>
      <c r="G138" s="143" t="s">
        <v>197</v>
      </c>
      <c r="H138" s="164">
        <v>0</v>
      </c>
      <c r="I138" s="145"/>
      <c r="J138" s="145">
        <f t="shared" si="10"/>
        <v>0</v>
      </c>
      <c r="K138" s="146"/>
      <c r="L138" s="76"/>
      <c r="M138" s="147" t="s">
        <v>141</v>
      </c>
      <c r="N138" s="148" t="s">
        <v>154</v>
      </c>
      <c r="O138" s="149">
        <v>0</v>
      </c>
      <c r="P138" s="149">
        <f t="shared" si="11"/>
        <v>0</v>
      </c>
      <c r="Q138" s="149">
        <v>0</v>
      </c>
      <c r="R138" s="149">
        <f t="shared" si="12"/>
        <v>0</v>
      </c>
      <c r="S138" s="149">
        <v>0</v>
      </c>
      <c r="T138" s="150">
        <f t="shared" si="13"/>
        <v>0</v>
      </c>
      <c r="AR138" s="151" t="s">
        <v>198</v>
      </c>
      <c r="AT138" s="151" t="s">
        <v>195</v>
      </c>
      <c r="AU138" s="151" t="s">
        <v>192</v>
      </c>
      <c r="AY138" s="68" t="s">
        <v>194</v>
      </c>
      <c r="BE138" s="152">
        <f t="shared" si="14"/>
        <v>0</v>
      </c>
      <c r="BF138" s="152">
        <f t="shared" si="15"/>
        <v>0</v>
      </c>
      <c r="BG138" s="152">
        <f t="shared" si="16"/>
        <v>0</v>
      </c>
      <c r="BH138" s="152">
        <f t="shared" si="17"/>
        <v>0</v>
      </c>
      <c r="BI138" s="152">
        <f t="shared" si="18"/>
        <v>0</v>
      </c>
      <c r="BJ138" s="68" t="s">
        <v>192</v>
      </c>
      <c r="BK138" s="152">
        <f t="shared" si="19"/>
        <v>0</v>
      </c>
      <c r="BL138" s="68" t="s">
        <v>198</v>
      </c>
      <c r="BM138" s="151" t="s">
        <v>231</v>
      </c>
    </row>
    <row r="139" spans="2:65" s="75" customFormat="1" ht="16.5" customHeight="1">
      <c r="B139" s="139"/>
      <c r="C139" s="140" t="s">
        <v>216</v>
      </c>
      <c r="D139" s="140" t="s">
        <v>195</v>
      </c>
      <c r="E139" s="141"/>
      <c r="F139" s="142" t="s">
        <v>217</v>
      </c>
      <c r="G139" s="143" t="s">
        <v>197</v>
      </c>
      <c r="H139" s="144">
        <v>64</v>
      </c>
      <c r="I139" s="145"/>
      <c r="J139" s="145">
        <f t="shared" si="10"/>
        <v>0</v>
      </c>
      <c r="K139" s="146"/>
      <c r="L139" s="166" t="s">
        <v>261</v>
      </c>
      <c r="M139" s="147" t="s">
        <v>141</v>
      </c>
      <c r="N139" s="148" t="s">
        <v>154</v>
      </c>
      <c r="O139" s="149">
        <v>0</v>
      </c>
      <c r="P139" s="149">
        <f t="shared" si="11"/>
        <v>0</v>
      </c>
      <c r="Q139" s="149">
        <v>0</v>
      </c>
      <c r="R139" s="149">
        <f t="shared" si="12"/>
        <v>0</v>
      </c>
      <c r="S139" s="149">
        <v>0</v>
      </c>
      <c r="T139" s="150">
        <f t="shared" si="13"/>
        <v>0</v>
      </c>
      <c r="AR139" s="151" t="s">
        <v>198</v>
      </c>
      <c r="AT139" s="151" t="s">
        <v>195</v>
      </c>
      <c r="AU139" s="151" t="s">
        <v>192</v>
      </c>
      <c r="AY139" s="68" t="s">
        <v>194</v>
      </c>
      <c r="BE139" s="152">
        <f t="shared" si="14"/>
        <v>0</v>
      </c>
      <c r="BF139" s="152">
        <f t="shared" si="15"/>
        <v>0</v>
      </c>
      <c r="BG139" s="152">
        <f t="shared" si="16"/>
        <v>0</v>
      </c>
      <c r="BH139" s="152">
        <f t="shared" si="17"/>
        <v>0</v>
      </c>
      <c r="BI139" s="152">
        <f t="shared" si="18"/>
        <v>0</v>
      </c>
      <c r="BJ139" s="68" t="s">
        <v>192</v>
      </c>
      <c r="BK139" s="152">
        <f t="shared" si="19"/>
        <v>0</v>
      </c>
      <c r="BL139" s="68" t="s">
        <v>198</v>
      </c>
      <c r="BM139" s="151" t="s">
        <v>232</v>
      </c>
    </row>
    <row r="140" spans="2:65" s="129" customFormat="1" ht="25.9" customHeight="1">
      <c r="B140" s="130"/>
      <c r="D140" s="131" t="s">
        <v>190</v>
      </c>
      <c r="E140" s="132" t="s">
        <v>248</v>
      </c>
      <c r="F140" s="132" t="s">
        <v>244</v>
      </c>
      <c r="J140" s="133">
        <f>BK140</f>
        <v>23525026</v>
      </c>
      <c r="L140" s="130"/>
      <c r="M140" s="134"/>
      <c r="P140" s="135">
        <f>SUM(P141:P147)</f>
        <v>0</v>
      </c>
      <c r="R140" s="135">
        <f>SUM(R141:R147)</f>
        <v>0</v>
      </c>
      <c r="T140" s="136">
        <f>SUM(T141:T147)</f>
        <v>0</v>
      </c>
      <c r="AR140" s="131" t="s">
        <v>192</v>
      </c>
      <c r="AT140" s="137" t="s">
        <v>190</v>
      </c>
      <c r="AU140" s="137" t="s">
        <v>193</v>
      </c>
      <c r="AY140" s="131" t="s">
        <v>194</v>
      </c>
      <c r="BK140" s="138">
        <f>SUM(BK141:BK147)</f>
        <v>23525026</v>
      </c>
    </row>
    <row r="141" spans="2:65" s="75" customFormat="1" ht="16.5" customHeight="1">
      <c r="B141" s="139"/>
      <c r="C141" s="140" t="s">
        <v>233</v>
      </c>
      <c r="D141" s="140" t="s">
        <v>195</v>
      </c>
      <c r="E141" s="141"/>
      <c r="F141" s="142" t="s">
        <v>196</v>
      </c>
      <c r="G141" s="143" t="s">
        <v>197</v>
      </c>
      <c r="H141" s="144">
        <v>117</v>
      </c>
      <c r="I141" s="145">
        <v>89800</v>
      </c>
      <c r="J141" s="145">
        <f t="shared" ref="J141:J147" si="20">ROUND(I141*H141,2)</f>
        <v>10506600</v>
      </c>
      <c r="K141" s="146"/>
      <c r="L141" s="76"/>
      <c r="M141" s="147" t="s">
        <v>141</v>
      </c>
      <c r="N141" s="148" t="s">
        <v>154</v>
      </c>
      <c r="O141" s="149">
        <v>0</v>
      </c>
      <c r="P141" s="149">
        <f t="shared" ref="P141:P147" si="21">O141*H141</f>
        <v>0</v>
      </c>
      <c r="Q141" s="149">
        <v>0</v>
      </c>
      <c r="R141" s="149">
        <f t="shared" ref="R141:R147" si="22">Q141*H141</f>
        <v>0</v>
      </c>
      <c r="S141" s="149">
        <v>0</v>
      </c>
      <c r="T141" s="150">
        <f t="shared" ref="T141:T147" si="23">S141*H141</f>
        <v>0</v>
      </c>
      <c r="AR141" s="151" t="s">
        <v>198</v>
      </c>
      <c r="AT141" s="151" t="s">
        <v>195</v>
      </c>
      <c r="AU141" s="151" t="s">
        <v>192</v>
      </c>
      <c r="AY141" s="68" t="s">
        <v>194</v>
      </c>
      <c r="BE141" s="152">
        <f t="shared" ref="BE141:BE147" si="24">IF(N141="základní",J141,0)</f>
        <v>10506600</v>
      </c>
      <c r="BF141" s="152">
        <f t="shared" ref="BF141:BF147" si="25">IF(N141="snížená",J141,0)</f>
        <v>0</v>
      </c>
      <c r="BG141" s="152">
        <f t="shared" ref="BG141:BG147" si="26">IF(N141="zákl. přenesená",J141,0)</f>
        <v>0</v>
      </c>
      <c r="BH141" s="152">
        <f t="shared" ref="BH141:BH147" si="27">IF(N141="sníž. přenesená",J141,0)</f>
        <v>0</v>
      </c>
      <c r="BI141" s="152">
        <f t="shared" ref="BI141:BI147" si="28">IF(N141="nulová",J141,0)</f>
        <v>0</v>
      </c>
      <c r="BJ141" s="68" t="s">
        <v>192</v>
      </c>
      <c r="BK141" s="152">
        <f t="shared" ref="BK141:BK147" si="29">ROUND(I141*H141,2)</f>
        <v>10506600</v>
      </c>
      <c r="BL141" s="68" t="s">
        <v>198</v>
      </c>
      <c r="BM141" s="151" t="s">
        <v>234</v>
      </c>
    </row>
    <row r="142" spans="2:65" s="75" customFormat="1" ht="16.5" customHeight="1">
      <c r="B142" s="139"/>
      <c r="C142" s="140" t="s">
        <v>218</v>
      </c>
      <c r="D142" s="140" t="s">
        <v>195</v>
      </c>
      <c r="E142" s="141"/>
      <c r="F142" s="142" t="s">
        <v>199</v>
      </c>
      <c r="G142" s="143" t="s">
        <v>197</v>
      </c>
      <c r="H142" s="144">
        <v>46</v>
      </c>
      <c r="I142" s="145">
        <v>113921</v>
      </c>
      <c r="J142" s="145">
        <f t="shared" si="20"/>
        <v>5240366</v>
      </c>
      <c r="K142" s="146"/>
      <c r="L142" s="76"/>
      <c r="M142" s="147" t="s">
        <v>141</v>
      </c>
      <c r="N142" s="148" t="s">
        <v>154</v>
      </c>
      <c r="O142" s="149">
        <v>0</v>
      </c>
      <c r="P142" s="149">
        <f t="shared" si="21"/>
        <v>0</v>
      </c>
      <c r="Q142" s="149">
        <v>0</v>
      </c>
      <c r="R142" s="149">
        <f t="shared" si="22"/>
        <v>0</v>
      </c>
      <c r="S142" s="149">
        <v>0</v>
      </c>
      <c r="T142" s="150">
        <f t="shared" si="23"/>
        <v>0</v>
      </c>
      <c r="AR142" s="151" t="s">
        <v>198</v>
      </c>
      <c r="AT142" s="151" t="s">
        <v>195</v>
      </c>
      <c r="AU142" s="151" t="s">
        <v>192</v>
      </c>
      <c r="AY142" s="68" t="s">
        <v>194</v>
      </c>
      <c r="BE142" s="152">
        <f t="shared" si="24"/>
        <v>5240366</v>
      </c>
      <c r="BF142" s="152">
        <f t="shared" si="25"/>
        <v>0</v>
      </c>
      <c r="BG142" s="152">
        <f t="shared" si="26"/>
        <v>0</v>
      </c>
      <c r="BH142" s="152">
        <f t="shared" si="27"/>
        <v>0</v>
      </c>
      <c r="BI142" s="152">
        <f t="shared" si="28"/>
        <v>0</v>
      </c>
      <c r="BJ142" s="68" t="s">
        <v>192</v>
      </c>
      <c r="BK142" s="152">
        <f t="shared" si="29"/>
        <v>5240366</v>
      </c>
      <c r="BL142" s="68" t="s">
        <v>198</v>
      </c>
      <c r="BM142" s="151" t="s">
        <v>235</v>
      </c>
    </row>
    <row r="143" spans="2:65" s="75" customFormat="1" ht="16.5" customHeight="1">
      <c r="B143" s="139"/>
      <c r="C143" s="140" t="s">
        <v>236</v>
      </c>
      <c r="D143" s="140" t="s">
        <v>195</v>
      </c>
      <c r="E143" s="141"/>
      <c r="F143" s="142" t="s">
        <v>201</v>
      </c>
      <c r="G143" s="143" t="s">
        <v>197</v>
      </c>
      <c r="H143" s="144">
        <v>158</v>
      </c>
      <c r="I143" s="145">
        <v>27250</v>
      </c>
      <c r="J143" s="145">
        <f t="shared" si="20"/>
        <v>4305500</v>
      </c>
      <c r="K143" s="146"/>
      <c r="L143" s="76"/>
      <c r="M143" s="147" t="s">
        <v>141</v>
      </c>
      <c r="N143" s="148" t="s">
        <v>154</v>
      </c>
      <c r="O143" s="149">
        <v>0</v>
      </c>
      <c r="P143" s="149">
        <f t="shared" si="21"/>
        <v>0</v>
      </c>
      <c r="Q143" s="149">
        <v>0</v>
      </c>
      <c r="R143" s="149">
        <f t="shared" si="22"/>
        <v>0</v>
      </c>
      <c r="S143" s="149">
        <v>0</v>
      </c>
      <c r="T143" s="150">
        <f t="shared" si="23"/>
        <v>0</v>
      </c>
      <c r="AR143" s="151" t="s">
        <v>198</v>
      </c>
      <c r="AT143" s="151" t="s">
        <v>195</v>
      </c>
      <c r="AU143" s="151" t="s">
        <v>192</v>
      </c>
      <c r="AY143" s="68" t="s">
        <v>194</v>
      </c>
      <c r="BE143" s="152">
        <f t="shared" si="24"/>
        <v>4305500</v>
      </c>
      <c r="BF143" s="152">
        <f t="shared" si="25"/>
        <v>0</v>
      </c>
      <c r="BG143" s="152">
        <f t="shared" si="26"/>
        <v>0</v>
      </c>
      <c r="BH143" s="152">
        <f t="shared" si="27"/>
        <v>0</v>
      </c>
      <c r="BI143" s="152">
        <f t="shared" si="28"/>
        <v>0</v>
      </c>
      <c r="BJ143" s="68" t="s">
        <v>192</v>
      </c>
      <c r="BK143" s="152">
        <f t="shared" si="29"/>
        <v>4305500</v>
      </c>
      <c r="BL143" s="68" t="s">
        <v>198</v>
      </c>
      <c r="BM143" s="151" t="s">
        <v>237</v>
      </c>
    </row>
    <row r="144" spans="2:65" s="75" customFormat="1" ht="16.5" customHeight="1">
      <c r="B144" s="139"/>
      <c r="C144" s="140" t="s">
        <v>221</v>
      </c>
      <c r="D144" s="140" t="s">
        <v>195</v>
      </c>
      <c r="E144" s="141"/>
      <c r="F144" s="142" t="s">
        <v>203</v>
      </c>
      <c r="G144" s="143" t="s">
        <v>197</v>
      </c>
      <c r="H144" s="144">
        <v>84</v>
      </c>
      <c r="I144" s="145">
        <v>18407</v>
      </c>
      <c r="J144" s="145">
        <f t="shared" si="20"/>
        <v>1546188</v>
      </c>
      <c r="K144" s="146"/>
      <c r="L144" s="76"/>
      <c r="M144" s="147" t="s">
        <v>141</v>
      </c>
      <c r="N144" s="148" t="s">
        <v>154</v>
      </c>
      <c r="O144" s="149">
        <v>0</v>
      </c>
      <c r="P144" s="149">
        <f t="shared" si="21"/>
        <v>0</v>
      </c>
      <c r="Q144" s="149">
        <v>0</v>
      </c>
      <c r="R144" s="149">
        <f t="shared" si="22"/>
        <v>0</v>
      </c>
      <c r="S144" s="149">
        <v>0</v>
      </c>
      <c r="T144" s="150">
        <f t="shared" si="23"/>
        <v>0</v>
      </c>
      <c r="AR144" s="151" t="s">
        <v>198</v>
      </c>
      <c r="AT144" s="151" t="s">
        <v>195</v>
      </c>
      <c r="AU144" s="151" t="s">
        <v>192</v>
      </c>
      <c r="AY144" s="68" t="s">
        <v>194</v>
      </c>
      <c r="BE144" s="152">
        <f t="shared" si="24"/>
        <v>1546188</v>
      </c>
      <c r="BF144" s="152">
        <f t="shared" si="25"/>
        <v>0</v>
      </c>
      <c r="BG144" s="152">
        <f t="shared" si="26"/>
        <v>0</v>
      </c>
      <c r="BH144" s="152">
        <f t="shared" si="27"/>
        <v>0</v>
      </c>
      <c r="BI144" s="152">
        <f t="shared" si="28"/>
        <v>0</v>
      </c>
      <c r="BJ144" s="68" t="s">
        <v>192</v>
      </c>
      <c r="BK144" s="152">
        <f t="shared" si="29"/>
        <v>1546188</v>
      </c>
      <c r="BL144" s="68" t="s">
        <v>198</v>
      </c>
      <c r="BM144" s="151" t="s">
        <v>238</v>
      </c>
    </row>
    <row r="145" spans="2:65" s="75" customFormat="1" ht="16.5" customHeight="1">
      <c r="B145" s="139"/>
      <c r="C145" s="140" t="s">
        <v>239</v>
      </c>
      <c r="D145" s="140" t="s">
        <v>195</v>
      </c>
      <c r="E145" s="141"/>
      <c r="F145" s="167" t="s">
        <v>263</v>
      </c>
      <c r="G145" s="143" t="s">
        <v>197</v>
      </c>
      <c r="H145" s="164">
        <v>84</v>
      </c>
      <c r="I145" s="145">
        <v>22933</v>
      </c>
      <c r="J145" s="145">
        <f t="shared" si="20"/>
        <v>1926372</v>
      </c>
      <c r="K145" s="146"/>
      <c r="L145" s="76"/>
      <c r="M145" s="147" t="s">
        <v>141</v>
      </c>
      <c r="N145" s="148" t="s">
        <v>154</v>
      </c>
      <c r="O145" s="149">
        <v>0</v>
      </c>
      <c r="P145" s="149">
        <f t="shared" si="21"/>
        <v>0</v>
      </c>
      <c r="Q145" s="149">
        <v>0</v>
      </c>
      <c r="R145" s="149">
        <f t="shared" si="22"/>
        <v>0</v>
      </c>
      <c r="S145" s="149">
        <v>0</v>
      </c>
      <c r="T145" s="150">
        <f t="shared" si="23"/>
        <v>0</v>
      </c>
      <c r="AR145" s="151" t="s">
        <v>198</v>
      </c>
      <c r="AT145" s="151" t="s">
        <v>195</v>
      </c>
      <c r="AU145" s="151" t="s">
        <v>192</v>
      </c>
      <c r="AY145" s="68" t="s">
        <v>194</v>
      </c>
      <c r="BE145" s="152">
        <f t="shared" si="24"/>
        <v>1926372</v>
      </c>
      <c r="BF145" s="152">
        <f t="shared" si="25"/>
        <v>0</v>
      </c>
      <c r="BG145" s="152">
        <f t="shared" si="26"/>
        <v>0</v>
      </c>
      <c r="BH145" s="152">
        <f t="shared" si="27"/>
        <v>0</v>
      </c>
      <c r="BI145" s="152">
        <f t="shared" si="28"/>
        <v>0</v>
      </c>
      <c r="BJ145" s="68" t="s">
        <v>192</v>
      </c>
      <c r="BK145" s="152">
        <f t="shared" si="29"/>
        <v>1926372</v>
      </c>
      <c r="BL145" s="68" t="s">
        <v>198</v>
      </c>
      <c r="BM145" s="151" t="s">
        <v>240</v>
      </c>
    </row>
    <row r="146" spans="2:65" s="75" customFormat="1" ht="16.5" customHeight="1">
      <c r="B146" s="139"/>
      <c r="C146" s="140" t="s">
        <v>223</v>
      </c>
      <c r="D146" s="140" t="s">
        <v>195</v>
      </c>
      <c r="E146" s="141"/>
      <c r="F146" s="142" t="s">
        <v>207</v>
      </c>
      <c r="G146" s="143" t="s">
        <v>197</v>
      </c>
      <c r="H146" s="164">
        <v>0</v>
      </c>
      <c r="I146" s="145"/>
      <c r="J146" s="145">
        <f t="shared" si="20"/>
        <v>0</v>
      </c>
      <c r="K146" s="146"/>
      <c r="L146" s="76"/>
      <c r="M146" s="147" t="s">
        <v>141</v>
      </c>
      <c r="N146" s="148" t="s">
        <v>154</v>
      </c>
      <c r="O146" s="149">
        <v>0</v>
      </c>
      <c r="P146" s="149">
        <f t="shared" si="21"/>
        <v>0</v>
      </c>
      <c r="Q146" s="149">
        <v>0</v>
      </c>
      <c r="R146" s="149">
        <f t="shared" si="22"/>
        <v>0</v>
      </c>
      <c r="S146" s="149">
        <v>0</v>
      </c>
      <c r="T146" s="150">
        <f t="shared" si="23"/>
        <v>0</v>
      </c>
      <c r="AR146" s="151" t="s">
        <v>198</v>
      </c>
      <c r="AT146" s="151" t="s">
        <v>195</v>
      </c>
      <c r="AU146" s="151" t="s">
        <v>192</v>
      </c>
      <c r="AY146" s="68" t="s">
        <v>194</v>
      </c>
      <c r="BE146" s="152">
        <f t="shared" si="24"/>
        <v>0</v>
      </c>
      <c r="BF146" s="152">
        <f t="shared" si="25"/>
        <v>0</v>
      </c>
      <c r="BG146" s="152">
        <f t="shared" si="26"/>
        <v>0</v>
      </c>
      <c r="BH146" s="152">
        <f t="shared" si="27"/>
        <v>0</v>
      </c>
      <c r="BI146" s="152">
        <f t="shared" si="28"/>
        <v>0</v>
      </c>
      <c r="BJ146" s="68" t="s">
        <v>192</v>
      </c>
      <c r="BK146" s="152">
        <f t="shared" si="29"/>
        <v>0</v>
      </c>
      <c r="BL146" s="68" t="s">
        <v>198</v>
      </c>
      <c r="BM146" s="151" t="s">
        <v>241</v>
      </c>
    </row>
    <row r="147" spans="2:65" s="75" customFormat="1" ht="16.5" customHeight="1">
      <c r="B147" s="139"/>
      <c r="C147" s="140" t="s">
        <v>242</v>
      </c>
      <c r="D147" s="140" t="s">
        <v>195</v>
      </c>
      <c r="E147" s="141"/>
      <c r="F147" s="142" t="s">
        <v>217</v>
      </c>
      <c r="G147" s="143" t="s">
        <v>197</v>
      </c>
      <c r="H147" s="144">
        <v>26</v>
      </c>
      <c r="I147" s="145"/>
      <c r="J147" s="145">
        <f t="shared" si="20"/>
        <v>0</v>
      </c>
      <c r="K147" s="146"/>
      <c r="L147" s="166" t="s">
        <v>261</v>
      </c>
      <c r="M147" s="153" t="s">
        <v>141</v>
      </c>
      <c r="N147" s="154" t="s">
        <v>154</v>
      </c>
      <c r="O147" s="155">
        <v>0</v>
      </c>
      <c r="P147" s="155">
        <f t="shared" si="21"/>
        <v>0</v>
      </c>
      <c r="Q147" s="155">
        <v>0</v>
      </c>
      <c r="R147" s="155">
        <f t="shared" si="22"/>
        <v>0</v>
      </c>
      <c r="S147" s="155">
        <v>0</v>
      </c>
      <c r="T147" s="156">
        <f t="shared" si="23"/>
        <v>0</v>
      </c>
      <c r="AR147" s="151" t="s">
        <v>198</v>
      </c>
      <c r="AT147" s="151" t="s">
        <v>195</v>
      </c>
      <c r="AU147" s="151" t="s">
        <v>192</v>
      </c>
      <c r="AY147" s="68" t="s">
        <v>194</v>
      </c>
      <c r="BE147" s="152">
        <f t="shared" si="24"/>
        <v>0</v>
      </c>
      <c r="BF147" s="152">
        <f t="shared" si="25"/>
        <v>0</v>
      </c>
      <c r="BG147" s="152">
        <f t="shared" si="26"/>
        <v>0</v>
      </c>
      <c r="BH147" s="152">
        <f t="shared" si="27"/>
        <v>0</v>
      </c>
      <c r="BI147" s="152">
        <f t="shared" si="28"/>
        <v>0</v>
      </c>
      <c r="BJ147" s="68" t="s">
        <v>192</v>
      </c>
      <c r="BK147" s="152">
        <f t="shared" si="29"/>
        <v>0</v>
      </c>
      <c r="BL147" s="68" t="s">
        <v>198</v>
      </c>
      <c r="BM147" s="151" t="s">
        <v>243</v>
      </c>
    </row>
    <row r="148" spans="2:65" s="75" customFormat="1" ht="6.95" customHeight="1">
      <c r="B148" s="101"/>
      <c r="C148" s="102"/>
      <c r="D148" s="102"/>
      <c r="E148" s="102"/>
      <c r="F148" s="102"/>
      <c r="G148" s="102"/>
      <c r="H148" s="102"/>
      <c r="I148" s="102"/>
      <c r="J148" s="102"/>
      <c r="K148" s="102"/>
      <c r="L148" s="76"/>
    </row>
  </sheetData>
  <autoFilter ref="C118:K147" xr:uid="{00000000-0009-0000-0000-000002000000}"/>
  <mergeCells count="9">
    <mergeCell ref="E87:H87"/>
    <mergeCell ref="E109:H109"/>
    <mergeCell ref="E111:H111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0D9495495DB144DBB8B715596F15770" ma:contentTypeVersion="4" ma:contentTypeDescription="Vytvoří nový dokument" ma:contentTypeScope="" ma:versionID="a1a571d62125879b098d826917b21897">
  <xsd:schema xmlns:xsd="http://www.w3.org/2001/XMLSchema" xmlns:xs="http://www.w3.org/2001/XMLSchema" xmlns:p="http://schemas.microsoft.com/office/2006/metadata/properties" xmlns:ns2="12acbd92-e5ed-47fd-a381-b2c3dc6de7d5" targetNamespace="http://schemas.microsoft.com/office/2006/metadata/properties" ma:root="true" ma:fieldsID="9c4eadeb5c3bd93a235bd4c81b3b6417" ns2:_="">
    <xsd:import namespace="12acbd92-e5ed-47fd-a381-b2c3dc6de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cbd92-e5ed-47fd-a381-b2c3dc6de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3D21D0-B9CB-4211-9621-D52A23EC23B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12acbd92-e5ed-47fd-a381-b2c3dc6de7d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8788D6-1675-478C-9A51-F84708689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acbd92-e5ed-47fd-a381-b2c3dc6de7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0EF59-21AB-499D-95AD-83E01A0C6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2</vt:i4>
      </vt:variant>
    </vt:vector>
  </HeadingPairs>
  <TitlesOfParts>
    <vt:vector size="5" baseType="lpstr">
      <vt:lpstr>Krycí list</vt:lpstr>
      <vt:lpstr>Rekapitulace</vt:lpstr>
      <vt:lpstr>Prefa konstrukce hal</vt:lpstr>
      <vt:lpstr>'Prefa konstrukce hal'!Názvy_tisku</vt:lpstr>
      <vt:lpstr>'Prefa konstrukce hal'!Oblast_tisku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Černohorský Radek</cp:lastModifiedBy>
  <dcterms:created xsi:type="dcterms:W3CDTF">2025-03-25T11:39:56Z</dcterms:created>
  <dcterms:modified xsi:type="dcterms:W3CDTF">2025-04-07T10:20:17Z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0x010100A0D9495495DB144DBB8B715596F15770</vt:lpwstr>
  </property>
</Properties>
</file>