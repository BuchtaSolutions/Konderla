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LP staving - Beneš\Desktop\Pasohlávky\Odeslat\2\"/>
    </mc:Choice>
  </mc:AlternateContent>
  <xr:revisionPtr revIDLastSave="0" documentId="13_ncr:1_{3FDC23D2-0DA6-41DC-8169-E8C817DBFD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kapitulace stavby" sheetId="1" r:id="rId1"/>
    <sheet name="Bytový dům - Nájemní bydl..." sheetId="2" r:id="rId2"/>
    <sheet name="Pokyny pro vyplnění" sheetId="5" r:id="rId3"/>
  </sheets>
  <definedNames>
    <definedName name="_xlnm._FilterDatabase" localSheetId="1" hidden="1">'Bytový dům - Nájemní bydl...'!$C$100:$K$911</definedName>
    <definedName name="_xlnm.Print_Titles" localSheetId="1">'Bytový dům - Nájemní bydl...'!$100:$100</definedName>
    <definedName name="_xlnm.Print_Titles" localSheetId="0">'Rekapitulace stavby'!$49:$49</definedName>
    <definedName name="_xlnm.Print_Area" localSheetId="1">'Bytový dům - Nájemní bydl...'!$C$4:$J$36,'Bytový dům - Nájemní bydl...'!$C$42:$J$82,'Bytový dům - Nájemní bydl...'!$C$88:$L$911</definedName>
    <definedName name="_xlnm.Print_Area" localSheetId="2">'Pokyny pro vyplnění'!$B$2:$K$69,'Pokyny pro vyplnění'!$B$72:$K$116,'Pokyny pro vyplnění'!$B$119:$K$188,'Pokyny pro vyplnění'!$B$196:$K$216</definedName>
    <definedName name="_xlnm.Print_Area" localSheetId="0">'Rekapitulace stavby'!$D$4:$AO$33,'Rekapitulace stavby'!$C$39:$AQ$53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2" i="1" l="1"/>
  <c r="J30" i="2"/>
  <c r="F30" i="2"/>
  <c r="J795" i="2"/>
  <c r="J857" i="2"/>
  <c r="J879" i="2"/>
  <c r="J761" i="2"/>
  <c r="J735" i="2"/>
  <c r="J489" i="2"/>
  <c r="J167" i="2"/>
  <c r="J118" i="2"/>
  <c r="J271" i="2"/>
  <c r="J902" i="2"/>
  <c r="J903" i="2"/>
  <c r="J904" i="2"/>
  <c r="J572" i="2" l="1"/>
  <c r="J227" i="2"/>
  <c r="J784" i="2"/>
  <c r="J724" i="2"/>
  <c r="J725" i="2"/>
  <c r="J726" i="2"/>
  <c r="J727" i="2"/>
  <c r="J653" i="2"/>
  <c r="J655" i="2"/>
  <c r="J657" i="2"/>
  <c r="J661" i="2"/>
  <c r="J479" i="2"/>
  <c r="J481" i="2"/>
  <c r="J482" i="2"/>
  <c r="BI470" i="2"/>
  <c r="BH470" i="2"/>
  <c r="BG470" i="2"/>
  <c r="BF470" i="2"/>
  <c r="J453" i="2"/>
  <c r="J454" i="2"/>
  <c r="J416" i="2"/>
  <c r="J420" i="2"/>
  <c r="J291" i="2"/>
  <c r="J253" i="2"/>
  <c r="J266" i="2"/>
  <c r="J175" i="2" l="1"/>
  <c r="J138" i="2"/>
  <c r="J139" i="2"/>
  <c r="H270" i="2"/>
  <c r="H268" i="2"/>
  <c r="H177" i="2"/>
  <c r="H176" i="2" s="1"/>
  <c r="J176" i="2" s="1"/>
  <c r="H686" i="2"/>
  <c r="H679" i="2"/>
  <c r="H648" i="2"/>
  <c r="H647" i="2"/>
  <c r="H646" i="2"/>
  <c r="H527" i="2"/>
  <c r="H480" i="2"/>
  <c r="J480" i="2" s="1"/>
  <c r="H293" i="2"/>
  <c r="H292" i="2" s="1"/>
  <c r="J292" i="2" s="1"/>
  <c r="H418" i="2"/>
  <c r="J418" i="2" s="1"/>
  <c r="H417" i="2"/>
  <c r="J417" i="2" s="1"/>
  <c r="H424" i="2"/>
  <c r="H422" i="2" s="1"/>
  <c r="J422" i="2" s="1"/>
  <c r="H421" i="2"/>
  <c r="H260" i="2"/>
  <c r="J260" i="2" s="1"/>
  <c r="H259" i="2"/>
  <c r="J259" i="2" s="1"/>
  <c r="H248" i="2"/>
  <c r="H243" i="2"/>
  <c r="H239" i="2"/>
  <c r="H238" i="2"/>
  <c r="H230" i="2"/>
  <c r="H116" i="2"/>
  <c r="H115" i="2" s="1"/>
  <c r="J115" i="2" s="1"/>
  <c r="J177" i="2" l="1"/>
  <c r="H267" i="2"/>
  <c r="J267" i="2" s="1"/>
  <c r="J268" i="2"/>
  <c r="H269" i="2"/>
  <c r="J269" i="2" s="1"/>
  <c r="J270" i="2"/>
  <c r="H419" i="2"/>
  <c r="J419" i="2" s="1"/>
  <c r="J421" i="2"/>
  <c r="H478" i="2"/>
  <c r="T478" i="2" s="1"/>
  <c r="H415" i="2"/>
  <c r="H221" i="2"/>
  <c r="H874" i="2"/>
  <c r="H873" i="2" s="1"/>
  <c r="H872" i="2"/>
  <c r="H871" i="2"/>
  <c r="H870" i="2"/>
  <c r="H723" i="2"/>
  <c r="J723" i="2" s="1"/>
  <c r="H722" i="2"/>
  <c r="H899" i="2"/>
  <c r="H894" i="2"/>
  <c r="H897" i="2"/>
  <c r="H896" i="2"/>
  <c r="H892" i="2"/>
  <c r="H891" i="2"/>
  <c r="H890" i="2"/>
  <c r="H886" i="2"/>
  <c r="H884" i="2"/>
  <c r="H885" i="2"/>
  <c r="H883" i="2"/>
  <c r="H868" i="2"/>
  <c r="H867" i="2"/>
  <c r="H866" i="2"/>
  <c r="H865" i="2"/>
  <c r="H864" i="2"/>
  <c r="H860" i="2"/>
  <c r="H862" i="2"/>
  <c r="H863" i="2"/>
  <c r="H861" i="2"/>
  <c r="H853" i="2"/>
  <c r="P853" i="2" s="1"/>
  <c r="H852" i="2"/>
  <c r="H851" i="2" s="1"/>
  <c r="H850" i="2"/>
  <c r="H849" i="2" s="1"/>
  <c r="H848" i="2"/>
  <c r="H847" i="2" s="1"/>
  <c r="H846" i="2"/>
  <c r="H845" i="2"/>
  <c r="H837" i="2"/>
  <c r="H843" i="2"/>
  <c r="H842" i="2"/>
  <c r="H841" i="2"/>
  <c r="H840" i="2"/>
  <c r="H836" i="2"/>
  <c r="H831" i="2"/>
  <c r="H830" i="2" s="1"/>
  <c r="H829" i="2"/>
  <c r="H827" i="2" s="1"/>
  <c r="H826" i="2"/>
  <c r="H825" i="2" s="1"/>
  <c r="H823" i="2"/>
  <c r="H822" i="2" s="1"/>
  <c r="H821" i="2"/>
  <c r="H820" i="2"/>
  <c r="H819" i="2"/>
  <c r="H818" i="2"/>
  <c r="H817" i="2"/>
  <c r="H816" i="2"/>
  <c r="H811" i="2"/>
  <c r="H809" i="2" s="1"/>
  <c r="H810" i="2"/>
  <c r="H808" i="2"/>
  <c r="H807" i="2"/>
  <c r="H806" i="2"/>
  <c r="H804" i="2"/>
  <c r="H803" i="2"/>
  <c r="H802" i="2"/>
  <c r="H801" i="2"/>
  <c r="H800" i="2"/>
  <c r="H799" i="2"/>
  <c r="H798" i="2"/>
  <c r="H636" i="2"/>
  <c r="H634" i="2"/>
  <c r="H759" i="2"/>
  <c r="H758" i="2" s="1"/>
  <c r="J758" i="2" s="1"/>
  <c r="H757" i="2"/>
  <c r="H793" i="2"/>
  <c r="H791" i="2"/>
  <c r="H789" i="2"/>
  <c r="H787" i="2"/>
  <c r="H755" i="2"/>
  <c r="J755" i="2" s="1"/>
  <c r="H780" i="2"/>
  <c r="H779" i="2"/>
  <c r="H777" i="2"/>
  <c r="H775" i="2"/>
  <c r="H773" i="2"/>
  <c r="H770" i="2"/>
  <c r="H766" i="2"/>
  <c r="H768" i="2"/>
  <c r="J768" i="2" s="1"/>
  <c r="P762" i="2"/>
  <c r="H750" i="2"/>
  <c r="H748" i="2"/>
  <c r="H746" i="2"/>
  <c r="H744" i="2"/>
  <c r="H736" i="2"/>
  <c r="H740" i="2" s="1"/>
  <c r="H732" i="2"/>
  <c r="T732" i="2" s="1"/>
  <c r="H733" i="2"/>
  <c r="H731" i="2"/>
  <c r="H730" i="2" s="1"/>
  <c r="H720" i="2"/>
  <c r="H718" i="2"/>
  <c r="H716" i="2"/>
  <c r="H714" i="2"/>
  <c r="H712" i="2"/>
  <c r="H710" i="2"/>
  <c r="H705" i="2"/>
  <c r="H704" i="2" s="1"/>
  <c r="H699" i="2"/>
  <c r="H697" i="2" s="1"/>
  <c r="H696" i="2"/>
  <c r="H694" i="2"/>
  <c r="H692" i="2"/>
  <c r="H684" i="2"/>
  <c r="H683" i="2"/>
  <c r="BK680" i="2"/>
  <c r="H676" i="2"/>
  <c r="H677" i="2"/>
  <c r="H674" i="2"/>
  <c r="T673" i="2" s="1"/>
  <c r="H660" i="2"/>
  <c r="H667" i="2"/>
  <c r="H666" i="2"/>
  <c r="H664" i="2"/>
  <c r="H361" i="2"/>
  <c r="H359" i="2"/>
  <c r="H357" i="2"/>
  <c r="H355" i="2"/>
  <c r="H656" i="2"/>
  <c r="J656" i="2" s="1"/>
  <c r="H654" i="2"/>
  <c r="J654" i="2" s="1"/>
  <c r="H658" i="2"/>
  <c r="J658" i="2" s="1"/>
  <c r="H652" i="2"/>
  <c r="J652" i="2" s="1"/>
  <c r="H644" i="2"/>
  <c r="H643" i="2"/>
  <c r="H642" i="2"/>
  <c r="H632" i="2"/>
  <c r="H627" i="2"/>
  <c r="H626" i="2" s="1"/>
  <c r="J626" i="2" s="1"/>
  <c r="H625" i="2"/>
  <c r="H623" i="2"/>
  <c r="H621" i="2"/>
  <c r="H620" i="2" s="1"/>
  <c r="H619" i="2"/>
  <c r="H617" i="2" s="1"/>
  <c r="H618" i="2"/>
  <c r="H616" i="2"/>
  <c r="H615" i="2" s="1"/>
  <c r="H614" i="2"/>
  <c r="H613" i="2" s="1"/>
  <c r="H612" i="2"/>
  <c r="H611" i="2" s="1"/>
  <c r="H610" i="2"/>
  <c r="H609" i="2" s="1"/>
  <c r="H608" i="2"/>
  <c r="H607" i="2" s="1"/>
  <c r="H606" i="2"/>
  <c r="H605" i="2" s="1"/>
  <c r="H602" i="2"/>
  <c r="P602" i="2" s="1"/>
  <c r="H601" i="2"/>
  <c r="H600" i="2" s="1"/>
  <c r="H599" i="2"/>
  <c r="H597" i="2" s="1"/>
  <c r="H588" i="2"/>
  <c r="H587" i="2" s="1"/>
  <c r="H585" i="2"/>
  <c r="H584" i="2" s="1"/>
  <c r="H583" i="2"/>
  <c r="H582" i="2" s="1"/>
  <c r="H580" i="2"/>
  <c r="R580" i="2" s="1"/>
  <c r="H581" i="2"/>
  <c r="H577" i="2"/>
  <c r="H576" i="2"/>
  <c r="H570" i="2"/>
  <c r="BK570" i="2" s="1"/>
  <c r="H571" i="2"/>
  <c r="J571" i="2" s="1"/>
  <c r="H567" i="2"/>
  <c r="H566" i="2"/>
  <c r="H563" i="2"/>
  <c r="H561" i="2" s="1"/>
  <c r="H558" i="2"/>
  <c r="H557" i="2"/>
  <c r="H555" i="2"/>
  <c r="H553" i="2" s="1"/>
  <c r="H550" i="2"/>
  <c r="H549" i="2"/>
  <c r="H545" i="2"/>
  <c r="H544" i="2" s="1"/>
  <c r="H539" i="2"/>
  <c r="H538" i="2"/>
  <c r="H531" i="2"/>
  <c r="H530" i="2" s="1"/>
  <c r="J530" i="2" s="1"/>
  <c r="H529" i="2"/>
  <c r="H526" i="2"/>
  <c r="H525" i="2"/>
  <c r="H524" i="2" s="1"/>
  <c r="H516" i="2"/>
  <c r="H515" i="2"/>
  <c r="H514" i="2"/>
  <c r="H513" i="2"/>
  <c r="H503" i="2"/>
  <c r="H502" i="2"/>
  <c r="H496" i="2"/>
  <c r="H494" i="2" s="1"/>
  <c r="H493" i="2"/>
  <c r="H492" i="2" s="1"/>
  <c r="H491" i="2"/>
  <c r="H489" i="2" s="1"/>
  <c r="H465" i="2"/>
  <c r="H464" i="2"/>
  <c r="H462" i="2"/>
  <c r="H460" i="2"/>
  <c r="H458" i="2"/>
  <c r="H413" i="2"/>
  <c r="H411" i="2"/>
  <c r="H409" i="2"/>
  <c r="H407" i="2"/>
  <c r="H404" i="2"/>
  <c r="H403" i="2" s="1"/>
  <c r="H402" i="2"/>
  <c r="H398" i="2" s="1"/>
  <c r="H394" i="2"/>
  <c r="H385" i="2" s="1"/>
  <c r="H393" i="2"/>
  <c r="H391" i="2"/>
  <c r="H389" i="2"/>
  <c r="H387" i="2"/>
  <c r="H384" i="2"/>
  <c r="H375" i="2" s="1"/>
  <c r="H383" i="2"/>
  <c r="H381" i="2"/>
  <c r="H379" i="2"/>
  <c r="H377" i="2"/>
  <c r="H373" i="2"/>
  <c r="H371" i="2"/>
  <c r="H369" i="2"/>
  <c r="H367" i="2"/>
  <c r="H352" i="2"/>
  <c r="H349" i="2" s="1"/>
  <c r="H351" i="2"/>
  <c r="F351" i="2"/>
  <c r="H350" i="2"/>
  <c r="H347" i="2"/>
  <c r="H346" i="2" s="1"/>
  <c r="H335" i="2"/>
  <c r="H345" i="2"/>
  <c r="H344" i="2"/>
  <c r="H342" i="2"/>
  <c r="H341" i="2"/>
  <c r="H338" i="2"/>
  <c r="H339" i="2"/>
  <c r="H336" i="2"/>
  <c r="H334" i="2"/>
  <c r="H289" i="2"/>
  <c r="H287" i="2"/>
  <c r="H284" i="2"/>
  <c r="H285" i="2"/>
  <c r="H281" i="2"/>
  <c r="H282" i="2"/>
  <c r="H280" i="2"/>
  <c r="H278" i="2"/>
  <c r="H277" i="2"/>
  <c r="H276" i="2"/>
  <c r="H275" i="2"/>
  <c r="H265" i="2"/>
  <c r="H263" i="2"/>
  <c r="H257" i="2"/>
  <c r="H255" i="2"/>
  <c r="J255" i="2" s="1"/>
  <c r="H254" i="2"/>
  <c r="J254" i="2" s="1"/>
  <c r="H250" i="2"/>
  <c r="H249" i="2" s="1"/>
  <c r="H247" i="2"/>
  <c r="H246" i="2"/>
  <c r="H244" i="2" s="1"/>
  <c r="H242" i="2"/>
  <c r="H235" i="2"/>
  <c r="H233" i="2"/>
  <c r="H234" i="2"/>
  <c r="H229" i="2"/>
  <c r="H212" i="2"/>
  <c r="H200" i="2"/>
  <c r="H219" i="2"/>
  <c r="H220" i="2"/>
  <c r="H217" i="2"/>
  <c r="H216" i="2"/>
  <c r="H205" i="2"/>
  <c r="H207" i="2"/>
  <c r="H202" i="2"/>
  <c r="H199" i="2"/>
  <c r="H195" i="2"/>
  <c r="H194" i="2" s="1"/>
  <c r="H193" i="2"/>
  <c r="H192" i="2" s="1"/>
  <c r="H191" i="2"/>
  <c r="H189" i="2"/>
  <c r="H186" i="2"/>
  <c r="H184" i="2"/>
  <c r="H183" i="2"/>
  <c r="H181" i="2"/>
  <c r="H180" i="2"/>
  <c r="H174" i="2"/>
  <c r="T174" i="2" s="1"/>
  <c r="H172" i="2"/>
  <c r="P172" i="2" s="1"/>
  <c r="H170" i="2"/>
  <c r="R170" i="2" s="1"/>
  <c r="H168" i="2"/>
  <c r="P168" i="2" s="1"/>
  <c r="H166" i="2"/>
  <c r="H165" i="2"/>
  <c r="H163" i="2"/>
  <c r="H159" i="2"/>
  <c r="H160" i="2"/>
  <c r="H157" i="2"/>
  <c r="H156" i="2"/>
  <c r="H153" i="2"/>
  <c r="H152" i="2"/>
  <c r="H151" i="2"/>
  <c r="H150" i="2"/>
  <c r="H149" i="2"/>
  <c r="H147" i="2"/>
  <c r="H146" i="2"/>
  <c r="H145" i="2"/>
  <c r="H137" i="2"/>
  <c r="H134" i="2"/>
  <c r="H133" i="2" s="1"/>
  <c r="H136" i="2"/>
  <c r="H135" i="2" s="1"/>
  <c r="H131" i="2"/>
  <c r="H129" i="2"/>
  <c r="H128" i="2" s="1"/>
  <c r="H126" i="2"/>
  <c r="H122" i="2"/>
  <c r="H120" i="2" s="1"/>
  <c r="H119" i="2"/>
  <c r="H118" i="2" s="1"/>
  <c r="H109" i="2"/>
  <c r="H108" i="2" s="1"/>
  <c r="H104" i="2"/>
  <c r="T104" i="2" s="1"/>
  <c r="AY52" i="1"/>
  <c r="AX52" i="1"/>
  <c r="BI910" i="2"/>
  <c r="BH910" i="2"/>
  <c r="BG910" i="2"/>
  <c r="BF910" i="2"/>
  <c r="T910" i="2"/>
  <c r="T909" i="2" s="1"/>
  <c r="R910" i="2"/>
  <c r="R909" i="2" s="1"/>
  <c r="P910" i="2"/>
  <c r="P909" i="2" s="1"/>
  <c r="BK910" i="2"/>
  <c r="BK909" i="2" s="1"/>
  <c r="J909" i="2" s="1"/>
  <c r="J81" i="2" s="1"/>
  <c r="J910" i="2"/>
  <c r="BE910" i="2" s="1"/>
  <c r="BI907" i="2"/>
  <c r="BH907" i="2"/>
  <c r="BG907" i="2"/>
  <c r="BF907" i="2"/>
  <c r="T907" i="2"/>
  <c r="R907" i="2"/>
  <c r="P907" i="2"/>
  <c r="BK907" i="2"/>
  <c r="J907" i="2"/>
  <c r="BE907" i="2" s="1"/>
  <c r="BI906" i="2"/>
  <c r="BH906" i="2"/>
  <c r="BG906" i="2"/>
  <c r="BF906" i="2"/>
  <c r="T906" i="2"/>
  <c r="R906" i="2"/>
  <c r="P906" i="2"/>
  <c r="BK906" i="2"/>
  <c r="J906" i="2"/>
  <c r="BE906" i="2" s="1"/>
  <c r="BI904" i="2"/>
  <c r="BH904" i="2"/>
  <c r="BG904" i="2"/>
  <c r="BF904" i="2"/>
  <c r="T904" i="2"/>
  <c r="R904" i="2"/>
  <c r="P904" i="2"/>
  <c r="BK904" i="2"/>
  <c r="BE904" i="2"/>
  <c r="BI903" i="2"/>
  <c r="BH903" i="2"/>
  <c r="BG903" i="2"/>
  <c r="BF903" i="2"/>
  <c r="T903" i="2"/>
  <c r="R903" i="2"/>
  <c r="P903" i="2"/>
  <c r="BK903" i="2"/>
  <c r="BE903" i="2"/>
  <c r="BI902" i="2"/>
  <c r="BH902" i="2"/>
  <c r="BG902" i="2"/>
  <c r="BF902" i="2"/>
  <c r="T902" i="2"/>
  <c r="R902" i="2"/>
  <c r="P902" i="2"/>
  <c r="BK902" i="2"/>
  <c r="BE902" i="2"/>
  <c r="BI901" i="2"/>
  <c r="BH901" i="2"/>
  <c r="BG901" i="2"/>
  <c r="BF901" i="2"/>
  <c r="T901" i="2"/>
  <c r="R901" i="2"/>
  <c r="P901" i="2"/>
  <c r="BK901" i="2"/>
  <c r="J901" i="2"/>
  <c r="J900" i="2" s="1"/>
  <c r="BI881" i="2"/>
  <c r="BH881" i="2"/>
  <c r="BG881" i="2"/>
  <c r="BF881" i="2"/>
  <c r="BI880" i="2"/>
  <c r="BH880" i="2"/>
  <c r="BG880" i="2"/>
  <c r="BF880" i="2"/>
  <c r="BI878" i="2"/>
  <c r="BH878" i="2"/>
  <c r="BG878" i="2"/>
  <c r="BF878" i="2"/>
  <c r="T878" i="2"/>
  <c r="R878" i="2"/>
  <c r="P878" i="2"/>
  <c r="BK878" i="2"/>
  <c r="J878" i="2"/>
  <c r="BE878" i="2" s="1"/>
  <c r="BI877" i="2"/>
  <c r="BH877" i="2"/>
  <c r="BG877" i="2"/>
  <c r="BF877" i="2"/>
  <c r="BI876" i="2"/>
  <c r="BH876" i="2"/>
  <c r="BG876" i="2"/>
  <c r="BF876" i="2"/>
  <c r="T876" i="2"/>
  <c r="R876" i="2"/>
  <c r="P876" i="2"/>
  <c r="BK876" i="2"/>
  <c r="J876" i="2"/>
  <c r="BE876" i="2" s="1"/>
  <c r="BI875" i="2"/>
  <c r="BH875" i="2"/>
  <c r="BG875" i="2"/>
  <c r="BF875" i="2"/>
  <c r="BI873" i="2"/>
  <c r="BH873" i="2"/>
  <c r="BG873" i="2"/>
  <c r="BF873" i="2"/>
  <c r="BI858" i="2"/>
  <c r="BH858" i="2"/>
  <c r="BG858" i="2"/>
  <c r="BF858" i="2"/>
  <c r="BI856" i="2"/>
  <c r="BH856" i="2"/>
  <c r="BG856" i="2"/>
  <c r="BF856" i="2"/>
  <c r="T856" i="2"/>
  <c r="R856" i="2"/>
  <c r="P856" i="2"/>
  <c r="BK856" i="2"/>
  <c r="J856" i="2"/>
  <c r="BE856" i="2" s="1"/>
  <c r="BI855" i="2"/>
  <c r="BH855" i="2"/>
  <c r="BG855" i="2"/>
  <c r="BF855" i="2"/>
  <c r="BI853" i="2"/>
  <c r="BH853" i="2"/>
  <c r="BG853" i="2"/>
  <c r="BF853" i="2"/>
  <c r="BI851" i="2"/>
  <c r="BH851" i="2"/>
  <c r="BG851" i="2"/>
  <c r="BF851" i="2"/>
  <c r="BI849" i="2"/>
  <c r="BH849" i="2"/>
  <c r="BG849" i="2"/>
  <c r="BF849" i="2"/>
  <c r="BI847" i="2"/>
  <c r="BH847" i="2"/>
  <c r="BG847" i="2"/>
  <c r="BF847" i="2"/>
  <c r="BI838" i="2"/>
  <c r="BH838" i="2"/>
  <c r="BG838" i="2"/>
  <c r="BF838" i="2"/>
  <c r="BI835" i="2"/>
  <c r="BH835" i="2"/>
  <c r="BG835" i="2"/>
  <c r="BF835" i="2"/>
  <c r="BI833" i="2"/>
  <c r="BH833" i="2"/>
  <c r="BG833" i="2"/>
  <c r="BF833" i="2"/>
  <c r="T833" i="2"/>
  <c r="R833" i="2"/>
  <c r="P833" i="2"/>
  <c r="BK833" i="2"/>
  <c r="J833" i="2"/>
  <c r="BE833" i="2" s="1"/>
  <c r="BI832" i="2"/>
  <c r="BH832" i="2"/>
  <c r="BG832" i="2"/>
  <c r="BF832" i="2"/>
  <c r="T832" i="2"/>
  <c r="R832" i="2"/>
  <c r="P832" i="2"/>
  <c r="BK832" i="2"/>
  <c r="J832" i="2"/>
  <c r="BE832" i="2" s="1"/>
  <c r="BI830" i="2"/>
  <c r="BH830" i="2"/>
  <c r="BG830" i="2"/>
  <c r="BF830" i="2"/>
  <c r="BI827" i="2"/>
  <c r="BH827" i="2"/>
  <c r="BG827" i="2"/>
  <c r="BF827" i="2"/>
  <c r="BI825" i="2"/>
  <c r="BH825" i="2"/>
  <c r="BG825" i="2"/>
  <c r="BF825" i="2"/>
  <c r="BI824" i="2"/>
  <c r="BH824" i="2"/>
  <c r="BG824" i="2"/>
  <c r="BF824" i="2"/>
  <c r="BI822" i="2"/>
  <c r="BH822" i="2"/>
  <c r="BG822" i="2"/>
  <c r="BF822" i="2"/>
  <c r="BI812" i="2"/>
  <c r="BH812" i="2"/>
  <c r="BG812" i="2"/>
  <c r="BF812" i="2"/>
  <c r="BI809" i="2"/>
  <c r="BH809" i="2"/>
  <c r="BG809" i="2"/>
  <c r="BF809" i="2"/>
  <c r="BI796" i="2"/>
  <c r="BH796" i="2"/>
  <c r="BG796" i="2"/>
  <c r="BF796" i="2"/>
  <c r="BI794" i="2"/>
  <c r="BH794" i="2"/>
  <c r="BG794" i="2"/>
  <c r="BF794" i="2"/>
  <c r="T794" i="2"/>
  <c r="R794" i="2"/>
  <c r="P794" i="2"/>
  <c r="BK794" i="2"/>
  <c r="J794" i="2"/>
  <c r="BE794" i="2" s="1"/>
  <c r="BI783" i="2"/>
  <c r="BH783" i="2"/>
  <c r="BG783" i="2"/>
  <c r="BF783" i="2"/>
  <c r="T783" i="2"/>
  <c r="R783" i="2"/>
  <c r="P783" i="2"/>
  <c r="BK783" i="2"/>
  <c r="J783" i="2"/>
  <c r="BE783" i="2" s="1"/>
  <c r="BI782" i="2"/>
  <c r="BH782" i="2"/>
  <c r="BG782" i="2"/>
  <c r="BF782" i="2"/>
  <c r="T782" i="2"/>
  <c r="R782" i="2"/>
  <c r="P782" i="2"/>
  <c r="BK782" i="2"/>
  <c r="J782" i="2"/>
  <c r="BE782" i="2" s="1"/>
  <c r="BI781" i="2"/>
  <c r="BH781" i="2"/>
  <c r="BG781" i="2"/>
  <c r="BF781" i="2"/>
  <c r="BI771" i="2"/>
  <c r="BH771" i="2"/>
  <c r="BG771" i="2"/>
  <c r="BF771" i="2"/>
  <c r="BI764" i="2"/>
  <c r="BH764" i="2"/>
  <c r="BG764" i="2"/>
  <c r="BF764" i="2"/>
  <c r="BI762" i="2"/>
  <c r="BH762" i="2"/>
  <c r="BG762" i="2"/>
  <c r="BF762" i="2"/>
  <c r="BI760" i="2"/>
  <c r="BH760" i="2"/>
  <c r="BG760" i="2"/>
  <c r="BF760" i="2"/>
  <c r="T760" i="2"/>
  <c r="R760" i="2"/>
  <c r="P760" i="2"/>
  <c r="BK760" i="2"/>
  <c r="J760" i="2"/>
  <c r="BI742" i="2"/>
  <c r="BH742" i="2"/>
  <c r="BG742" i="2"/>
  <c r="BF742" i="2"/>
  <c r="BI741" i="2"/>
  <c r="BH741" i="2"/>
  <c r="BG741" i="2"/>
  <c r="BF741" i="2"/>
  <c r="T741" i="2"/>
  <c r="R741" i="2"/>
  <c r="P741" i="2"/>
  <c r="BK741" i="2"/>
  <c r="J741" i="2"/>
  <c r="BE741" i="2" s="1"/>
  <c r="BI740" i="2"/>
  <c r="BH740" i="2"/>
  <c r="BG740" i="2"/>
  <c r="BF740" i="2"/>
  <c r="BI739" i="2"/>
  <c r="BH739" i="2"/>
  <c r="BG739" i="2"/>
  <c r="BF739" i="2"/>
  <c r="T739" i="2"/>
  <c r="R739" i="2"/>
  <c r="P739" i="2"/>
  <c r="BK739" i="2"/>
  <c r="J739" i="2"/>
  <c r="BE739" i="2" s="1"/>
  <c r="BI736" i="2"/>
  <c r="BH736" i="2"/>
  <c r="BG736" i="2"/>
  <c r="BF736" i="2"/>
  <c r="BI734" i="2"/>
  <c r="BH734" i="2"/>
  <c r="BG734" i="2"/>
  <c r="BF734" i="2"/>
  <c r="T734" i="2"/>
  <c r="R734" i="2"/>
  <c r="P734" i="2"/>
  <c r="BK734" i="2"/>
  <c r="J734" i="2"/>
  <c r="BE734" i="2" s="1"/>
  <c r="BI732" i="2"/>
  <c r="BH732" i="2"/>
  <c r="BG732" i="2"/>
  <c r="BF732" i="2"/>
  <c r="BI730" i="2"/>
  <c r="BH730" i="2"/>
  <c r="BG730" i="2"/>
  <c r="BF730" i="2"/>
  <c r="BI728" i="2"/>
  <c r="BH728" i="2"/>
  <c r="BG728" i="2"/>
  <c r="BF728" i="2"/>
  <c r="T728" i="2"/>
  <c r="R728" i="2"/>
  <c r="P728" i="2"/>
  <c r="BK728" i="2"/>
  <c r="J728" i="2"/>
  <c r="BI717" i="2"/>
  <c r="BH717" i="2"/>
  <c r="BG717" i="2"/>
  <c r="BF717" i="2"/>
  <c r="BI708" i="2"/>
  <c r="BH708" i="2"/>
  <c r="BG708" i="2"/>
  <c r="BF708" i="2"/>
  <c r="BI706" i="2"/>
  <c r="BH706" i="2"/>
  <c r="BG706" i="2"/>
  <c r="BF706" i="2"/>
  <c r="T706" i="2"/>
  <c r="R706" i="2"/>
  <c r="P706" i="2"/>
  <c r="BK706" i="2"/>
  <c r="J706" i="2"/>
  <c r="BE706" i="2" s="1"/>
  <c r="BI704" i="2"/>
  <c r="BH704" i="2"/>
  <c r="BG704" i="2"/>
  <c r="BF704" i="2"/>
  <c r="BI702" i="2"/>
  <c r="BH702" i="2"/>
  <c r="BG702" i="2"/>
  <c r="BF702" i="2"/>
  <c r="T702" i="2"/>
  <c r="R702" i="2"/>
  <c r="P702" i="2"/>
  <c r="BK702" i="2"/>
  <c r="J702" i="2"/>
  <c r="BE702" i="2" s="1"/>
  <c r="BI701" i="2"/>
  <c r="BH701" i="2"/>
  <c r="BG701" i="2"/>
  <c r="BF701" i="2"/>
  <c r="BI700" i="2"/>
  <c r="BH700" i="2"/>
  <c r="BG700" i="2"/>
  <c r="BF700" i="2"/>
  <c r="BI697" i="2"/>
  <c r="BH697" i="2"/>
  <c r="BG697" i="2"/>
  <c r="BF697" i="2"/>
  <c r="BI690" i="2"/>
  <c r="BH690" i="2"/>
  <c r="BG690" i="2"/>
  <c r="BF690" i="2"/>
  <c r="BI688" i="2"/>
  <c r="BH688" i="2"/>
  <c r="BG688" i="2"/>
  <c r="BF688" i="2"/>
  <c r="T688" i="2"/>
  <c r="R688" i="2"/>
  <c r="P688" i="2"/>
  <c r="BK688" i="2"/>
  <c r="J688" i="2"/>
  <c r="BE688" i="2" s="1"/>
  <c r="BI687" i="2"/>
  <c r="BH687" i="2"/>
  <c r="BG687" i="2"/>
  <c r="BF687" i="2"/>
  <c r="BI685" i="2"/>
  <c r="BH685" i="2"/>
  <c r="BG685" i="2"/>
  <c r="BF685" i="2"/>
  <c r="BI682" i="2"/>
  <c r="BH682" i="2"/>
  <c r="BG682" i="2"/>
  <c r="BF682" i="2"/>
  <c r="BI680" i="2"/>
  <c r="BH680" i="2"/>
  <c r="BG680" i="2"/>
  <c r="BF680" i="2"/>
  <c r="BI678" i="2"/>
  <c r="BH678" i="2"/>
  <c r="BG678" i="2"/>
  <c r="BF678" i="2"/>
  <c r="BI675" i="2"/>
  <c r="BH675" i="2"/>
  <c r="BG675" i="2"/>
  <c r="BF675" i="2"/>
  <c r="BI673" i="2"/>
  <c r="BH673" i="2"/>
  <c r="BG673" i="2"/>
  <c r="BF673" i="2"/>
  <c r="BI670" i="2"/>
  <c r="BH670" i="2"/>
  <c r="BG670" i="2"/>
  <c r="BF670" i="2"/>
  <c r="T670" i="2"/>
  <c r="R670" i="2"/>
  <c r="P670" i="2"/>
  <c r="BK670" i="2"/>
  <c r="J670" i="2"/>
  <c r="BE670" i="2" s="1"/>
  <c r="BI668" i="2"/>
  <c r="BH668" i="2"/>
  <c r="BG668" i="2"/>
  <c r="BF668" i="2"/>
  <c r="T668" i="2"/>
  <c r="R668" i="2"/>
  <c r="P668" i="2"/>
  <c r="BK668" i="2"/>
  <c r="J668" i="2"/>
  <c r="BE668" i="2" s="1"/>
  <c r="BI665" i="2"/>
  <c r="BH665" i="2"/>
  <c r="BG665" i="2"/>
  <c r="BF665" i="2"/>
  <c r="BI663" i="2"/>
  <c r="BH663" i="2"/>
  <c r="BG663" i="2"/>
  <c r="BF663" i="2"/>
  <c r="BI650" i="2"/>
  <c r="BH650" i="2"/>
  <c r="BG650" i="2"/>
  <c r="BF650" i="2"/>
  <c r="BI645" i="2"/>
  <c r="BH645" i="2"/>
  <c r="BG645" i="2"/>
  <c r="BF645" i="2"/>
  <c r="BI641" i="2"/>
  <c r="BH641" i="2"/>
  <c r="BG641" i="2"/>
  <c r="BF641" i="2"/>
  <c r="BI639" i="2"/>
  <c r="BH639" i="2"/>
  <c r="BG639" i="2"/>
  <c r="BF639" i="2"/>
  <c r="BI637" i="2"/>
  <c r="BH637" i="2"/>
  <c r="BG637" i="2"/>
  <c r="BF637" i="2"/>
  <c r="T637" i="2"/>
  <c r="R637" i="2"/>
  <c r="P637" i="2"/>
  <c r="BK637" i="2"/>
  <c r="J637" i="2"/>
  <c r="BI631" i="2"/>
  <c r="BH631" i="2"/>
  <c r="BG631" i="2"/>
  <c r="BF631" i="2"/>
  <c r="BI628" i="2"/>
  <c r="BH628" i="2"/>
  <c r="BG628" i="2"/>
  <c r="BF628" i="2"/>
  <c r="BI622" i="2"/>
  <c r="BH622" i="2"/>
  <c r="BG622" i="2"/>
  <c r="BF622" i="2"/>
  <c r="BI620" i="2"/>
  <c r="BH620" i="2"/>
  <c r="BG620" i="2"/>
  <c r="BF620" i="2"/>
  <c r="BI617" i="2"/>
  <c r="BH617" i="2"/>
  <c r="BG617" i="2"/>
  <c r="BF617" i="2"/>
  <c r="BI615" i="2"/>
  <c r="BH615" i="2"/>
  <c r="BG615" i="2"/>
  <c r="BF615" i="2"/>
  <c r="BI613" i="2"/>
  <c r="BH613" i="2"/>
  <c r="BG613" i="2"/>
  <c r="BF613" i="2"/>
  <c r="BI611" i="2"/>
  <c r="BH611" i="2"/>
  <c r="BG611" i="2"/>
  <c r="BF611" i="2"/>
  <c r="BI609" i="2"/>
  <c r="BH609" i="2"/>
  <c r="BG609" i="2"/>
  <c r="BF609" i="2"/>
  <c r="BI607" i="2"/>
  <c r="BH607" i="2"/>
  <c r="BG607" i="2"/>
  <c r="BF607" i="2"/>
  <c r="BI605" i="2"/>
  <c r="BH605" i="2"/>
  <c r="BG605" i="2"/>
  <c r="BF605" i="2"/>
  <c r="BI602" i="2"/>
  <c r="BH602" i="2"/>
  <c r="BG602" i="2"/>
  <c r="BF602" i="2"/>
  <c r="BI600" i="2"/>
  <c r="BH600" i="2"/>
  <c r="BG600" i="2"/>
  <c r="BF600" i="2"/>
  <c r="BI597" i="2"/>
  <c r="BH597" i="2"/>
  <c r="BG597" i="2"/>
  <c r="BF597" i="2"/>
  <c r="BI595" i="2"/>
  <c r="BH595" i="2"/>
  <c r="BG595" i="2"/>
  <c r="BF595" i="2"/>
  <c r="T595" i="2"/>
  <c r="R595" i="2"/>
  <c r="P595" i="2"/>
  <c r="BK595" i="2"/>
  <c r="J595" i="2"/>
  <c r="BI593" i="2"/>
  <c r="BH593" i="2"/>
  <c r="BG593" i="2"/>
  <c r="BF593" i="2"/>
  <c r="T593" i="2"/>
  <c r="R593" i="2"/>
  <c r="P593" i="2"/>
  <c r="BK593" i="2"/>
  <c r="J593" i="2"/>
  <c r="BE593" i="2" s="1"/>
  <c r="BI592" i="2"/>
  <c r="BH592" i="2"/>
  <c r="BG592" i="2"/>
  <c r="BF592" i="2"/>
  <c r="T592" i="2"/>
  <c r="R592" i="2"/>
  <c r="P592" i="2"/>
  <c r="BK592" i="2"/>
  <c r="J592" i="2"/>
  <c r="BE592" i="2" s="1"/>
  <c r="BI590" i="2"/>
  <c r="BH590" i="2"/>
  <c r="BG590" i="2"/>
  <c r="BF590" i="2"/>
  <c r="T590" i="2"/>
  <c r="R590" i="2"/>
  <c r="P590" i="2"/>
  <c r="BK590" i="2"/>
  <c r="J590" i="2"/>
  <c r="BE590" i="2" s="1"/>
  <c r="BI589" i="2"/>
  <c r="BH589" i="2"/>
  <c r="BG589" i="2"/>
  <c r="BF589" i="2"/>
  <c r="T589" i="2"/>
  <c r="R589" i="2"/>
  <c r="P589" i="2"/>
  <c r="BK589" i="2"/>
  <c r="J589" i="2"/>
  <c r="BE589" i="2" s="1"/>
  <c r="BI587" i="2"/>
  <c r="BH587" i="2"/>
  <c r="BG587" i="2"/>
  <c r="BF587" i="2"/>
  <c r="BI586" i="2"/>
  <c r="BH586" i="2"/>
  <c r="BG586" i="2"/>
  <c r="BF586" i="2"/>
  <c r="T586" i="2"/>
  <c r="R586" i="2"/>
  <c r="P586" i="2"/>
  <c r="BK586" i="2"/>
  <c r="J586" i="2"/>
  <c r="BE586" i="2" s="1"/>
  <c r="BI584" i="2"/>
  <c r="BH584" i="2"/>
  <c r="BG584" i="2"/>
  <c r="BF584" i="2"/>
  <c r="BI582" i="2"/>
  <c r="BH582" i="2"/>
  <c r="BG582" i="2"/>
  <c r="BF582" i="2"/>
  <c r="BI580" i="2"/>
  <c r="BH580" i="2"/>
  <c r="BG580" i="2"/>
  <c r="BF580" i="2"/>
  <c r="BI575" i="2"/>
  <c r="BH575" i="2"/>
  <c r="BG575" i="2"/>
  <c r="BF575" i="2"/>
  <c r="BI573" i="2"/>
  <c r="BH573" i="2"/>
  <c r="BG573" i="2"/>
  <c r="BF573" i="2"/>
  <c r="BI570" i="2"/>
  <c r="BH570" i="2"/>
  <c r="BG570" i="2"/>
  <c r="BF570" i="2"/>
  <c r="BI564" i="2"/>
  <c r="BH564" i="2"/>
  <c r="BG564" i="2"/>
  <c r="BF564" i="2"/>
  <c r="BI561" i="2"/>
  <c r="BH561" i="2"/>
  <c r="BG561" i="2"/>
  <c r="BF561" i="2"/>
  <c r="BI556" i="2"/>
  <c r="BH556" i="2"/>
  <c r="BG556" i="2"/>
  <c r="BF556" i="2"/>
  <c r="BI553" i="2"/>
  <c r="BH553" i="2"/>
  <c r="BG553" i="2"/>
  <c r="BF553" i="2"/>
  <c r="BI548" i="2"/>
  <c r="BH548" i="2"/>
  <c r="BG548" i="2"/>
  <c r="BF548" i="2"/>
  <c r="BI546" i="2"/>
  <c r="BH546" i="2"/>
  <c r="BG546" i="2"/>
  <c r="BF546" i="2"/>
  <c r="T546" i="2"/>
  <c r="R546" i="2"/>
  <c r="P546" i="2"/>
  <c r="BK546" i="2"/>
  <c r="J546" i="2"/>
  <c r="BI544" i="2"/>
  <c r="BH544" i="2"/>
  <c r="BG544" i="2"/>
  <c r="BF544" i="2"/>
  <c r="BI532" i="2"/>
  <c r="BH532" i="2"/>
  <c r="BG532" i="2"/>
  <c r="BF532" i="2"/>
  <c r="BI528" i="2"/>
  <c r="BH528" i="2"/>
  <c r="BG528" i="2"/>
  <c r="BF528" i="2"/>
  <c r="BI526" i="2"/>
  <c r="BH526" i="2"/>
  <c r="BG526" i="2"/>
  <c r="BF526" i="2"/>
  <c r="BI524" i="2"/>
  <c r="BH524" i="2"/>
  <c r="BG524" i="2"/>
  <c r="BF524" i="2"/>
  <c r="BI522" i="2"/>
  <c r="BH522" i="2"/>
  <c r="BG522" i="2"/>
  <c r="BF522" i="2"/>
  <c r="T522" i="2"/>
  <c r="R522" i="2"/>
  <c r="P522" i="2"/>
  <c r="BK522" i="2"/>
  <c r="J522" i="2"/>
  <c r="BE522" i="2" s="1"/>
  <c r="BI519" i="2"/>
  <c r="BH519" i="2"/>
  <c r="BG519" i="2"/>
  <c r="BF519" i="2"/>
  <c r="T519" i="2"/>
  <c r="R519" i="2"/>
  <c r="P519" i="2"/>
  <c r="BK519" i="2"/>
  <c r="J519" i="2"/>
  <c r="BE519" i="2" s="1"/>
  <c r="BI506" i="2"/>
  <c r="BH506" i="2"/>
  <c r="BG506" i="2"/>
  <c r="BF506" i="2"/>
  <c r="BI497" i="2"/>
  <c r="BH497" i="2"/>
  <c r="BG497" i="2"/>
  <c r="BF497" i="2"/>
  <c r="BI494" i="2"/>
  <c r="BH494" i="2"/>
  <c r="BG494" i="2"/>
  <c r="BF494" i="2"/>
  <c r="BI492" i="2"/>
  <c r="BH492" i="2"/>
  <c r="BG492" i="2"/>
  <c r="BF492" i="2"/>
  <c r="BI489" i="2"/>
  <c r="BH489" i="2"/>
  <c r="BG489" i="2"/>
  <c r="BF489" i="2"/>
  <c r="BI487" i="2"/>
  <c r="BH487" i="2"/>
  <c r="BG487" i="2"/>
  <c r="BF487" i="2"/>
  <c r="T487" i="2"/>
  <c r="R487" i="2"/>
  <c r="P487" i="2"/>
  <c r="BK487" i="2"/>
  <c r="J487" i="2"/>
  <c r="BI484" i="2"/>
  <c r="BH484" i="2"/>
  <c r="BG484" i="2"/>
  <c r="BF484" i="2"/>
  <c r="T484" i="2"/>
  <c r="T483" i="2" s="1"/>
  <c r="R484" i="2"/>
  <c r="R483" i="2" s="1"/>
  <c r="P484" i="2"/>
  <c r="P483" i="2" s="1"/>
  <c r="BK484" i="2"/>
  <c r="BK483" i="2" s="1"/>
  <c r="J483" i="2" s="1"/>
  <c r="J64" i="2" s="1"/>
  <c r="J484" i="2"/>
  <c r="BE484" i="2" s="1"/>
  <c r="BI478" i="2"/>
  <c r="BH478" i="2"/>
  <c r="BG478" i="2"/>
  <c r="BF478" i="2"/>
  <c r="BI476" i="2"/>
  <c r="BH476" i="2"/>
  <c r="BG476" i="2"/>
  <c r="BF476" i="2"/>
  <c r="BI475" i="2"/>
  <c r="BH475" i="2"/>
  <c r="BG475" i="2"/>
  <c r="BF475" i="2"/>
  <c r="BI472" i="2"/>
  <c r="BH472" i="2"/>
  <c r="BG472" i="2"/>
  <c r="BF472" i="2"/>
  <c r="BI471" i="2"/>
  <c r="BH471" i="2"/>
  <c r="BG471" i="2"/>
  <c r="BF471" i="2"/>
  <c r="BI468" i="2"/>
  <c r="BH468" i="2"/>
  <c r="BG468" i="2"/>
  <c r="BF468" i="2"/>
  <c r="BI465" i="2"/>
  <c r="BH465" i="2"/>
  <c r="BG465" i="2"/>
  <c r="BF465" i="2"/>
  <c r="BI456" i="2"/>
  <c r="BH456" i="2"/>
  <c r="BG456" i="2"/>
  <c r="BF456" i="2"/>
  <c r="BI452" i="2"/>
  <c r="BH452" i="2"/>
  <c r="BG452" i="2"/>
  <c r="BF452" i="2"/>
  <c r="T452" i="2"/>
  <c r="R452" i="2"/>
  <c r="P452" i="2"/>
  <c r="BK452" i="2"/>
  <c r="J452" i="2"/>
  <c r="BE452" i="2" s="1"/>
  <c r="BI451" i="2"/>
  <c r="BH451" i="2"/>
  <c r="BG451" i="2"/>
  <c r="BF451" i="2"/>
  <c r="T451" i="2"/>
  <c r="R451" i="2"/>
  <c r="P451" i="2"/>
  <c r="BK451" i="2"/>
  <c r="J451" i="2"/>
  <c r="BE451" i="2" s="1"/>
  <c r="BI427" i="2"/>
  <c r="BH427" i="2"/>
  <c r="BG427" i="2"/>
  <c r="BF427" i="2"/>
  <c r="T427" i="2"/>
  <c r="R427" i="2"/>
  <c r="P427" i="2"/>
  <c r="BK427" i="2"/>
  <c r="J427" i="2"/>
  <c r="BE427" i="2" s="1"/>
  <c r="BI425" i="2"/>
  <c r="BH425" i="2"/>
  <c r="BG425" i="2"/>
  <c r="BF425" i="2"/>
  <c r="BI415" i="2"/>
  <c r="BH415" i="2"/>
  <c r="BG415" i="2"/>
  <c r="BF415" i="2"/>
  <c r="BI405" i="2"/>
  <c r="BH405" i="2"/>
  <c r="BG405" i="2"/>
  <c r="BF405" i="2"/>
  <c r="BI403" i="2"/>
  <c r="BH403" i="2"/>
  <c r="BG403" i="2"/>
  <c r="BF403" i="2"/>
  <c r="BI398" i="2"/>
  <c r="BH398" i="2"/>
  <c r="BG398" i="2"/>
  <c r="BF398" i="2"/>
  <c r="BI385" i="2"/>
  <c r="BH385" i="2"/>
  <c r="BG385" i="2"/>
  <c r="BF385" i="2"/>
  <c r="BI375" i="2"/>
  <c r="BH375" i="2"/>
  <c r="BG375" i="2"/>
  <c r="BF375" i="2"/>
  <c r="BI365" i="2"/>
  <c r="BH365" i="2"/>
  <c r="BG365" i="2"/>
  <c r="BF365" i="2"/>
  <c r="BI363" i="2"/>
  <c r="BH363" i="2"/>
  <c r="BG363" i="2"/>
  <c r="BF363" i="2"/>
  <c r="BI362" i="2"/>
  <c r="BH362" i="2"/>
  <c r="BG362" i="2"/>
  <c r="BF362" i="2"/>
  <c r="BI349" i="2"/>
  <c r="BH349" i="2"/>
  <c r="BG349" i="2"/>
  <c r="BF349" i="2"/>
  <c r="BI346" i="2"/>
  <c r="BH346" i="2"/>
  <c r="BG346" i="2"/>
  <c r="BF346" i="2"/>
  <c r="BI332" i="2"/>
  <c r="BH332" i="2"/>
  <c r="BG332" i="2"/>
  <c r="BF332" i="2"/>
  <c r="BI330" i="2"/>
  <c r="BH330" i="2"/>
  <c r="BG330" i="2"/>
  <c r="BF330" i="2"/>
  <c r="T330" i="2"/>
  <c r="R330" i="2"/>
  <c r="P330" i="2"/>
  <c r="BK330" i="2"/>
  <c r="J330" i="2"/>
  <c r="BE330" i="2" s="1"/>
  <c r="BI313" i="2"/>
  <c r="BH313" i="2"/>
  <c r="BG313" i="2"/>
  <c r="BF313" i="2"/>
  <c r="T313" i="2"/>
  <c r="R313" i="2"/>
  <c r="P313" i="2"/>
  <c r="BK313" i="2"/>
  <c r="J313" i="2"/>
  <c r="BE313" i="2" s="1"/>
  <c r="BI311" i="2"/>
  <c r="BH311" i="2"/>
  <c r="BG311" i="2"/>
  <c r="BF311" i="2"/>
  <c r="T311" i="2"/>
  <c r="R311" i="2"/>
  <c r="P311" i="2"/>
  <c r="BK311" i="2"/>
  <c r="J311" i="2"/>
  <c r="BE311" i="2" s="1"/>
  <c r="BI294" i="2"/>
  <c r="BH294" i="2"/>
  <c r="BG294" i="2"/>
  <c r="BF294" i="2"/>
  <c r="T294" i="2"/>
  <c r="R294" i="2"/>
  <c r="P294" i="2"/>
  <c r="BK294" i="2"/>
  <c r="J294" i="2"/>
  <c r="BE294" i="2" s="1"/>
  <c r="BI290" i="2"/>
  <c r="BH290" i="2"/>
  <c r="BG290" i="2"/>
  <c r="BF290" i="2"/>
  <c r="BI273" i="2"/>
  <c r="BH273" i="2"/>
  <c r="BG273" i="2"/>
  <c r="BF273" i="2"/>
  <c r="BI272" i="2"/>
  <c r="BH272" i="2"/>
  <c r="BG272" i="2"/>
  <c r="BF272" i="2"/>
  <c r="BI251" i="2"/>
  <c r="BH251" i="2"/>
  <c r="BG251" i="2"/>
  <c r="BF251" i="2"/>
  <c r="BI249" i="2"/>
  <c r="BH249" i="2"/>
  <c r="BG249" i="2"/>
  <c r="BF249" i="2"/>
  <c r="BI247" i="2"/>
  <c r="BH247" i="2"/>
  <c r="BG247" i="2"/>
  <c r="BF247" i="2"/>
  <c r="BI244" i="2"/>
  <c r="BH244" i="2"/>
  <c r="BG244" i="2"/>
  <c r="BF244" i="2"/>
  <c r="BI242" i="2"/>
  <c r="BH242" i="2"/>
  <c r="BG242" i="2"/>
  <c r="BF242" i="2"/>
  <c r="BI241" i="2"/>
  <c r="BH241" i="2"/>
  <c r="BG241" i="2"/>
  <c r="BF241" i="2"/>
  <c r="BI236" i="2"/>
  <c r="BH236" i="2"/>
  <c r="BG236" i="2"/>
  <c r="BF236" i="2"/>
  <c r="BI231" i="2"/>
  <c r="BH231" i="2"/>
  <c r="BG231" i="2"/>
  <c r="BF231" i="2"/>
  <c r="BI229" i="2"/>
  <c r="BH229" i="2"/>
  <c r="BG229" i="2"/>
  <c r="BF229" i="2"/>
  <c r="BI228" i="2"/>
  <c r="BH228" i="2"/>
  <c r="BG228" i="2"/>
  <c r="BF228" i="2"/>
  <c r="BI226" i="2"/>
  <c r="BH226" i="2"/>
  <c r="BG226" i="2"/>
  <c r="BF226" i="2"/>
  <c r="BI225" i="2"/>
  <c r="BH225" i="2"/>
  <c r="BG225" i="2"/>
  <c r="BF225" i="2"/>
  <c r="BI209" i="2"/>
  <c r="BH209" i="2"/>
  <c r="BG209" i="2"/>
  <c r="BF209" i="2"/>
  <c r="BI197" i="2"/>
  <c r="BH197" i="2"/>
  <c r="BG197" i="2"/>
  <c r="BF197" i="2"/>
  <c r="BI194" i="2"/>
  <c r="BH194" i="2"/>
  <c r="BG194" i="2"/>
  <c r="BF194" i="2"/>
  <c r="BI192" i="2"/>
  <c r="BH192" i="2"/>
  <c r="BG192" i="2"/>
  <c r="BF192" i="2"/>
  <c r="BI187" i="2"/>
  <c r="BH187" i="2"/>
  <c r="BG187" i="2"/>
  <c r="BF187" i="2"/>
  <c r="BI178" i="2"/>
  <c r="BH178" i="2"/>
  <c r="BG178" i="2"/>
  <c r="BF178" i="2"/>
  <c r="BI174" i="2"/>
  <c r="BH174" i="2"/>
  <c r="BG174" i="2"/>
  <c r="BF174" i="2"/>
  <c r="BI172" i="2"/>
  <c r="BH172" i="2"/>
  <c r="BG172" i="2"/>
  <c r="BF172" i="2"/>
  <c r="BI170" i="2"/>
  <c r="BH170" i="2"/>
  <c r="BG170" i="2"/>
  <c r="BF170" i="2"/>
  <c r="BI168" i="2"/>
  <c r="BH168" i="2"/>
  <c r="BG168" i="2"/>
  <c r="BF168" i="2"/>
  <c r="BI167" i="2"/>
  <c r="BH167" i="2"/>
  <c r="BG167" i="2"/>
  <c r="BF167" i="2"/>
  <c r="T167" i="2"/>
  <c r="R167" i="2"/>
  <c r="P167" i="2"/>
  <c r="BK167" i="2"/>
  <c r="BE167" i="2"/>
  <c r="BI142" i="2"/>
  <c r="BH142" i="2"/>
  <c r="BG142" i="2"/>
  <c r="BF142" i="2"/>
  <c r="BI137" i="2"/>
  <c r="BH137" i="2"/>
  <c r="BG137" i="2"/>
  <c r="BF137" i="2"/>
  <c r="BI135" i="2"/>
  <c r="BH135" i="2"/>
  <c r="BG135" i="2"/>
  <c r="BF135" i="2"/>
  <c r="BI133" i="2"/>
  <c r="BH133" i="2"/>
  <c r="BG133" i="2"/>
  <c r="BF133" i="2"/>
  <c r="BI132" i="2"/>
  <c r="BH132" i="2"/>
  <c r="BG132" i="2"/>
  <c r="BF132" i="2"/>
  <c r="BI130" i="2"/>
  <c r="BH130" i="2"/>
  <c r="BG130" i="2"/>
  <c r="BF130" i="2"/>
  <c r="BI128" i="2"/>
  <c r="BH128" i="2"/>
  <c r="BG128" i="2"/>
  <c r="BF128" i="2"/>
  <c r="BI126" i="2"/>
  <c r="BH126" i="2"/>
  <c r="BG126" i="2"/>
  <c r="BF126" i="2"/>
  <c r="BI125" i="2"/>
  <c r="BH125" i="2"/>
  <c r="BG125" i="2"/>
  <c r="BF125" i="2"/>
  <c r="T125" i="2"/>
  <c r="R125" i="2"/>
  <c r="P125" i="2"/>
  <c r="BK125" i="2"/>
  <c r="J125" i="2"/>
  <c r="BE125" i="2" s="1"/>
  <c r="BI123" i="2"/>
  <c r="BH123" i="2"/>
  <c r="BG123" i="2"/>
  <c r="BF123" i="2"/>
  <c r="T123" i="2"/>
  <c r="R123" i="2"/>
  <c r="P123" i="2"/>
  <c r="BK123" i="2"/>
  <c r="J123" i="2"/>
  <c r="BE123" i="2" s="1"/>
  <c r="BI120" i="2"/>
  <c r="BH120" i="2"/>
  <c r="BG120" i="2"/>
  <c r="BF120" i="2"/>
  <c r="BI118" i="2"/>
  <c r="BH118" i="2"/>
  <c r="BG118" i="2"/>
  <c r="BF118" i="2"/>
  <c r="BI113" i="2"/>
  <c r="BH113" i="2"/>
  <c r="BG113" i="2"/>
  <c r="BF113" i="2"/>
  <c r="BI111" i="2"/>
  <c r="BH111" i="2"/>
  <c r="BG111" i="2"/>
  <c r="BF111" i="2"/>
  <c r="BI110" i="2"/>
  <c r="BH110" i="2"/>
  <c r="BG110" i="2"/>
  <c r="BF110" i="2"/>
  <c r="BI108" i="2"/>
  <c r="BH108" i="2"/>
  <c r="BG108" i="2"/>
  <c r="BF108" i="2"/>
  <c r="BI107" i="2"/>
  <c r="BH107" i="2"/>
  <c r="BG107" i="2"/>
  <c r="BF107" i="2"/>
  <c r="BI104" i="2"/>
  <c r="BH104" i="2"/>
  <c r="BG104" i="2"/>
  <c r="BF104" i="2"/>
  <c r="J97" i="2"/>
  <c r="F97" i="2"/>
  <c r="F95" i="2"/>
  <c r="E93" i="2"/>
  <c r="J51" i="2"/>
  <c r="F51" i="2"/>
  <c r="F49" i="2"/>
  <c r="E47" i="2"/>
  <c r="J18" i="2"/>
  <c r="E18" i="2"/>
  <c r="F52" i="2" s="1"/>
  <c r="J17" i="2"/>
  <c r="J12" i="2"/>
  <c r="J49" i="2" s="1"/>
  <c r="E7" i="2"/>
  <c r="E91" i="2" s="1"/>
  <c r="AS51" i="1"/>
  <c r="L47" i="1"/>
  <c r="AM46" i="1"/>
  <c r="L46" i="1"/>
  <c r="AM44" i="1"/>
  <c r="L44" i="1"/>
  <c r="L42" i="1"/>
  <c r="L41" i="1"/>
  <c r="BE487" i="2" l="1"/>
  <c r="BE901" i="2"/>
  <c r="H769" i="2"/>
  <c r="J769" i="2" s="1"/>
  <c r="J770" i="2"/>
  <c r="H721" i="2"/>
  <c r="J721" i="2" s="1"/>
  <c r="J722" i="2"/>
  <c r="H719" i="2"/>
  <c r="J719" i="2" s="1"/>
  <c r="J720" i="2"/>
  <c r="H754" i="2"/>
  <c r="J754" i="2" s="1"/>
  <c r="H756" i="2"/>
  <c r="J757" i="2"/>
  <c r="H717" i="2"/>
  <c r="BK717" i="2" s="1"/>
  <c r="J718" i="2"/>
  <c r="BE760" i="2"/>
  <c r="BE728" i="2"/>
  <c r="H622" i="2"/>
  <c r="P622" i="2" s="1"/>
  <c r="J623" i="2"/>
  <c r="H624" i="2"/>
  <c r="J624" i="2" s="1"/>
  <c r="J625" i="2"/>
  <c r="H631" i="2"/>
  <c r="J631" i="2" s="1"/>
  <c r="BE631" i="2" s="1"/>
  <c r="J632" i="2"/>
  <c r="H635" i="2"/>
  <c r="J635" i="2" s="1"/>
  <c r="J636" i="2"/>
  <c r="H476" i="2"/>
  <c r="T476" i="2" s="1"/>
  <c r="H528" i="2"/>
  <c r="J528" i="2" s="1"/>
  <c r="BE528" i="2" s="1"/>
  <c r="J529" i="2"/>
  <c r="H659" i="2"/>
  <c r="J659" i="2" s="1"/>
  <c r="J660" i="2"/>
  <c r="H633" i="2"/>
  <c r="J633" i="2" s="1"/>
  <c r="J634" i="2"/>
  <c r="BE637" i="2"/>
  <c r="BE595" i="2"/>
  <c r="BE546" i="2"/>
  <c r="H262" i="2"/>
  <c r="J262" i="2" s="1"/>
  <c r="J263" i="2"/>
  <c r="H224" i="2"/>
  <c r="J224" i="2" s="1"/>
  <c r="J221" i="2"/>
  <c r="H256" i="2"/>
  <c r="J256" i="2" s="1"/>
  <c r="J257" i="2"/>
  <c r="BK470" i="2"/>
  <c r="P470" i="2"/>
  <c r="J470" i="2"/>
  <c r="BE470" i="2" s="1"/>
  <c r="R470" i="2"/>
  <c r="T470" i="2"/>
  <c r="H425" i="2"/>
  <c r="J264" i="2"/>
  <c r="J265" i="2"/>
  <c r="BK478" i="2"/>
  <c r="P478" i="2"/>
  <c r="R478" i="2"/>
  <c r="J478" i="2"/>
  <c r="BE478" i="2" s="1"/>
  <c r="H858" i="2"/>
  <c r="H875" i="2" s="1"/>
  <c r="R880" i="2"/>
  <c r="R853" i="2"/>
  <c r="R873" i="2"/>
  <c r="T873" i="2"/>
  <c r="J873" i="2"/>
  <c r="BE873" i="2" s="1"/>
  <c r="P873" i="2"/>
  <c r="BK873" i="2"/>
  <c r="P851" i="2"/>
  <c r="R851" i="2"/>
  <c r="J853" i="2"/>
  <c r="BE853" i="2" s="1"/>
  <c r="T853" i="2"/>
  <c r="H855" i="2"/>
  <c r="BK853" i="2"/>
  <c r="J851" i="2"/>
  <c r="T851" i="2"/>
  <c r="BK851" i="2"/>
  <c r="H838" i="2"/>
  <c r="P838" i="2" s="1"/>
  <c r="BK849" i="2"/>
  <c r="T849" i="2"/>
  <c r="J849" i="2"/>
  <c r="BE849" i="2" s="1"/>
  <c r="R849" i="2"/>
  <c r="P849" i="2"/>
  <c r="T847" i="2"/>
  <c r="J847" i="2"/>
  <c r="BE847" i="2" s="1"/>
  <c r="BK847" i="2"/>
  <c r="R847" i="2"/>
  <c r="P847" i="2"/>
  <c r="H835" i="2"/>
  <c r="BK835" i="2" s="1"/>
  <c r="BK827" i="2"/>
  <c r="R827" i="2"/>
  <c r="T827" i="2"/>
  <c r="J827" i="2"/>
  <c r="BE827" i="2" s="1"/>
  <c r="P827" i="2"/>
  <c r="T830" i="2"/>
  <c r="J830" i="2"/>
  <c r="BE830" i="2" s="1"/>
  <c r="P830" i="2"/>
  <c r="R830" i="2"/>
  <c r="BK830" i="2"/>
  <c r="R825" i="2"/>
  <c r="P825" i="2"/>
  <c r="T825" i="2"/>
  <c r="BK825" i="2"/>
  <c r="J825" i="2"/>
  <c r="BE825" i="2" s="1"/>
  <c r="H812" i="2"/>
  <c r="T812" i="2" s="1"/>
  <c r="P822" i="2"/>
  <c r="BK822" i="2"/>
  <c r="R822" i="2"/>
  <c r="T822" i="2"/>
  <c r="J822" i="2"/>
  <c r="BE822" i="2" s="1"/>
  <c r="T809" i="2"/>
  <c r="J809" i="2"/>
  <c r="BE809" i="2" s="1"/>
  <c r="R809" i="2"/>
  <c r="P809" i="2"/>
  <c r="BK809" i="2"/>
  <c r="H796" i="2"/>
  <c r="J796" i="2" s="1"/>
  <c r="H785" i="2"/>
  <c r="J785" i="2" s="1"/>
  <c r="T736" i="2"/>
  <c r="T771" i="2"/>
  <c r="J736" i="2"/>
  <c r="BK732" i="2"/>
  <c r="R732" i="2"/>
  <c r="P736" i="2"/>
  <c r="BK736" i="2"/>
  <c r="H742" i="2"/>
  <c r="T742" i="2" s="1"/>
  <c r="R736" i="2"/>
  <c r="H764" i="2"/>
  <c r="P764" i="2" s="1"/>
  <c r="J762" i="2"/>
  <c r="BE762" i="2" s="1"/>
  <c r="T762" i="2"/>
  <c r="BK762" i="2"/>
  <c r="R762" i="2"/>
  <c r="T740" i="2"/>
  <c r="J740" i="2"/>
  <c r="BE740" i="2" s="1"/>
  <c r="R740" i="2"/>
  <c r="P740" i="2"/>
  <c r="BK740" i="2"/>
  <c r="P732" i="2"/>
  <c r="J732" i="2"/>
  <c r="BE732" i="2" s="1"/>
  <c r="T730" i="2"/>
  <c r="T729" i="2" s="1"/>
  <c r="J730" i="2"/>
  <c r="P730" i="2"/>
  <c r="BK730" i="2"/>
  <c r="R730" i="2"/>
  <c r="T704" i="2"/>
  <c r="J704" i="2"/>
  <c r="R704" i="2"/>
  <c r="P704" i="2"/>
  <c r="BK704" i="2"/>
  <c r="P717" i="2"/>
  <c r="H708" i="2"/>
  <c r="R708" i="2" s="1"/>
  <c r="H690" i="2"/>
  <c r="H700" i="2" s="1"/>
  <c r="R697" i="2"/>
  <c r="J697" i="2"/>
  <c r="BE697" i="2" s="1"/>
  <c r="P697" i="2"/>
  <c r="BK697" i="2"/>
  <c r="T697" i="2"/>
  <c r="R685" i="2"/>
  <c r="P685" i="2"/>
  <c r="T685" i="2"/>
  <c r="J685" i="2"/>
  <c r="BE685" i="2" s="1"/>
  <c r="BK685" i="2"/>
  <c r="H687" i="2"/>
  <c r="J675" i="2"/>
  <c r="BE675" i="2" s="1"/>
  <c r="R680" i="2"/>
  <c r="J680" i="2"/>
  <c r="BE680" i="2" s="1"/>
  <c r="T680" i="2"/>
  <c r="P680" i="2"/>
  <c r="P678" i="2"/>
  <c r="BK678" i="2"/>
  <c r="T678" i="2"/>
  <c r="J678" i="2"/>
  <c r="BE678" i="2" s="1"/>
  <c r="R678" i="2"/>
  <c r="P673" i="2"/>
  <c r="BK673" i="2"/>
  <c r="R673" i="2"/>
  <c r="T602" i="2"/>
  <c r="J673" i="2"/>
  <c r="BE673" i="2" s="1"/>
  <c r="R665" i="2"/>
  <c r="J665" i="2"/>
  <c r="BE665" i="2" s="1"/>
  <c r="P665" i="2"/>
  <c r="T665" i="2"/>
  <c r="BK665" i="2"/>
  <c r="R663" i="2"/>
  <c r="T663" i="2"/>
  <c r="BK663" i="2"/>
  <c r="J663" i="2"/>
  <c r="BE663" i="2" s="1"/>
  <c r="H353" i="2"/>
  <c r="J353" i="2" s="1"/>
  <c r="P663" i="2"/>
  <c r="H650" i="2"/>
  <c r="R650" i="2" s="1"/>
  <c r="BK602" i="2"/>
  <c r="J602" i="2"/>
  <c r="BE602" i="2" s="1"/>
  <c r="R602" i="2"/>
  <c r="H532" i="2"/>
  <c r="T532" i="2" s="1"/>
  <c r="H641" i="2"/>
  <c r="T641" i="2" s="1"/>
  <c r="T631" i="2"/>
  <c r="F630" i="2"/>
  <c r="H630" i="2" s="1"/>
  <c r="H628" i="2" s="1"/>
  <c r="BK628" i="2" s="1"/>
  <c r="H645" i="2"/>
  <c r="R645" i="2" s="1"/>
  <c r="T580" i="2"/>
  <c r="H564" i="2"/>
  <c r="R564" i="2" s="1"/>
  <c r="BK615" i="2"/>
  <c r="P615" i="2"/>
  <c r="T617" i="2"/>
  <c r="J617" i="2"/>
  <c r="BE617" i="2" s="1"/>
  <c r="BK617" i="2"/>
  <c r="R617" i="2"/>
  <c r="P617" i="2"/>
  <c r="R607" i="2"/>
  <c r="P607" i="2"/>
  <c r="T607" i="2"/>
  <c r="J607" i="2"/>
  <c r="BE607" i="2" s="1"/>
  <c r="BK607" i="2"/>
  <c r="R620" i="2"/>
  <c r="BK620" i="2"/>
  <c r="J620" i="2"/>
  <c r="BE620" i="2" s="1"/>
  <c r="P620" i="2"/>
  <c r="T620" i="2"/>
  <c r="P613" i="2"/>
  <c r="T613" i="2"/>
  <c r="BK613" i="2"/>
  <c r="R613" i="2"/>
  <c r="J613" i="2"/>
  <c r="BE613" i="2" s="1"/>
  <c r="R615" i="2"/>
  <c r="J615" i="2"/>
  <c r="BE615" i="2" s="1"/>
  <c r="T615" i="2"/>
  <c r="T609" i="2"/>
  <c r="J609" i="2"/>
  <c r="BE609" i="2" s="1"/>
  <c r="P609" i="2"/>
  <c r="BK609" i="2"/>
  <c r="R609" i="2"/>
  <c r="P605" i="2"/>
  <c r="BK605" i="2"/>
  <c r="J605" i="2"/>
  <c r="BE605" i="2" s="1"/>
  <c r="T605" i="2"/>
  <c r="R605" i="2"/>
  <c r="R611" i="2"/>
  <c r="P611" i="2"/>
  <c r="J611" i="2"/>
  <c r="BE611" i="2" s="1"/>
  <c r="BK611" i="2"/>
  <c r="T611" i="2"/>
  <c r="H497" i="2"/>
  <c r="J497" i="2" s="1"/>
  <c r="BE497" i="2" s="1"/>
  <c r="P584" i="2"/>
  <c r="T584" i="2"/>
  <c r="R584" i="2"/>
  <c r="J584" i="2"/>
  <c r="BE584" i="2" s="1"/>
  <c r="BK600" i="2"/>
  <c r="T600" i="2"/>
  <c r="J600" i="2"/>
  <c r="BE600" i="2" s="1"/>
  <c r="R600" i="2"/>
  <c r="P600" i="2"/>
  <c r="J580" i="2"/>
  <c r="BE580" i="2" s="1"/>
  <c r="BK580" i="2"/>
  <c r="P544" i="2"/>
  <c r="R544" i="2"/>
  <c r="J544" i="2"/>
  <c r="BE544" i="2" s="1"/>
  <c r="T544" i="2"/>
  <c r="R597" i="2"/>
  <c r="P597" i="2"/>
  <c r="BK597" i="2"/>
  <c r="T597" i="2"/>
  <c r="J597" i="2"/>
  <c r="H548" i="2"/>
  <c r="T548" i="2" s="1"/>
  <c r="P570" i="2"/>
  <c r="P580" i="2"/>
  <c r="BK584" i="2"/>
  <c r="R570" i="2"/>
  <c r="H575" i="2"/>
  <c r="T575" i="2" s="1"/>
  <c r="BK553" i="2"/>
  <c r="T553" i="2"/>
  <c r="J553" i="2"/>
  <c r="BE553" i="2" s="1"/>
  <c r="R553" i="2"/>
  <c r="P553" i="2"/>
  <c r="R582" i="2"/>
  <c r="P582" i="2"/>
  <c r="BK582" i="2"/>
  <c r="T582" i="2"/>
  <c r="J582" i="2"/>
  <c r="BE582" i="2" s="1"/>
  <c r="J587" i="2"/>
  <c r="BE587" i="2" s="1"/>
  <c r="R587" i="2"/>
  <c r="P587" i="2"/>
  <c r="T587" i="2"/>
  <c r="BK587" i="2"/>
  <c r="BK544" i="2"/>
  <c r="J570" i="2"/>
  <c r="BE570" i="2" s="1"/>
  <c r="T570" i="2"/>
  <c r="H456" i="2"/>
  <c r="H468" i="2" s="1"/>
  <c r="H506" i="2"/>
  <c r="T506" i="2" s="1"/>
  <c r="T561" i="2"/>
  <c r="J561" i="2"/>
  <c r="BE561" i="2" s="1"/>
  <c r="R561" i="2"/>
  <c r="P561" i="2"/>
  <c r="BK561" i="2"/>
  <c r="H556" i="2"/>
  <c r="R556" i="2" s="1"/>
  <c r="R465" i="2"/>
  <c r="P465" i="2"/>
  <c r="T465" i="2"/>
  <c r="J465" i="2"/>
  <c r="BE465" i="2" s="1"/>
  <c r="H472" i="2"/>
  <c r="BK465" i="2"/>
  <c r="R524" i="2"/>
  <c r="P524" i="2"/>
  <c r="T524" i="2"/>
  <c r="J524" i="2"/>
  <c r="BE524" i="2" s="1"/>
  <c r="BK524" i="2"/>
  <c r="BK492" i="2"/>
  <c r="T492" i="2"/>
  <c r="J492" i="2"/>
  <c r="BE492" i="2" s="1"/>
  <c r="P492" i="2"/>
  <c r="R492" i="2"/>
  <c r="T494" i="2"/>
  <c r="J494" i="2"/>
  <c r="BE494" i="2" s="1"/>
  <c r="R494" i="2"/>
  <c r="BK494" i="2"/>
  <c r="P494" i="2"/>
  <c r="P526" i="2"/>
  <c r="BK526" i="2"/>
  <c r="R526" i="2"/>
  <c r="T526" i="2"/>
  <c r="J526" i="2"/>
  <c r="BE526" i="2" s="1"/>
  <c r="P489" i="2"/>
  <c r="BK489" i="2"/>
  <c r="R489" i="2"/>
  <c r="T489" i="2"/>
  <c r="BE489" i="2"/>
  <c r="H405" i="2"/>
  <c r="P405" i="2" s="1"/>
  <c r="BK385" i="2"/>
  <c r="P385" i="2"/>
  <c r="T403" i="2"/>
  <c r="J403" i="2"/>
  <c r="BE403" i="2" s="1"/>
  <c r="R403" i="2"/>
  <c r="P403" i="2"/>
  <c r="BK403" i="2"/>
  <c r="T398" i="2"/>
  <c r="J398" i="2"/>
  <c r="BE398" i="2" s="1"/>
  <c r="R398" i="2"/>
  <c r="BK398" i="2"/>
  <c r="P398" i="2"/>
  <c r="R385" i="2"/>
  <c r="J385" i="2"/>
  <c r="BE385" i="2" s="1"/>
  <c r="T385" i="2"/>
  <c r="H374" i="2"/>
  <c r="H365" i="2" s="1"/>
  <c r="H363" i="2" s="1"/>
  <c r="T375" i="2"/>
  <c r="J375" i="2"/>
  <c r="BE375" i="2" s="1"/>
  <c r="R375" i="2"/>
  <c r="P375" i="2"/>
  <c r="BK375" i="2"/>
  <c r="R349" i="2"/>
  <c r="J349" i="2"/>
  <c r="BE349" i="2" s="1"/>
  <c r="P349" i="2"/>
  <c r="T349" i="2"/>
  <c r="BK349" i="2"/>
  <c r="R346" i="2"/>
  <c r="J346" i="2"/>
  <c r="BE346" i="2" s="1"/>
  <c r="P346" i="2"/>
  <c r="BK346" i="2"/>
  <c r="T346" i="2"/>
  <c r="H332" i="2"/>
  <c r="H258" i="2"/>
  <c r="H252" i="2"/>
  <c r="J252" i="2" s="1"/>
  <c r="H251" i="2"/>
  <c r="R251" i="2" s="1"/>
  <c r="BK249" i="2"/>
  <c r="H236" i="2"/>
  <c r="T236" i="2" s="1"/>
  <c r="R168" i="2"/>
  <c r="BK244" i="2"/>
  <c r="P244" i="2"/>
  <c r="T244" i="2"/>
  <c r="J244" i="2"/>
  <c r="BE244" i="2" s="1"/>
  <c r="R244" i="2"/>
  <c r="J168" i="2"/>
  <c r="BE168" i="2" s="1"/>
  <c r="T168" i="2"/>
  <c r="P249" i="2"/>
  <c r="BK168" i="2"/>
  <c r="R249" i="2"/>
  <c r="J249" i="2"/>
  <c r="BE249" i="2" s="1"/>
  <c r="T249" i="2"/>
  <c r="BK247" i="2"/>
  <c r="T247" i="2"/>
  <c r="J247" i="2"/>
  <c r="BE247" i="2" s="1"/>
  <c r="R247" i="2"/>
  <c r="P247" i="2"/>
  <c r="H231" i="2"/>
  <c r="P231" i="2" s="1"/>
  <c r="R242" i="2"/>
  <c r="T242" i="2"/>
  <c r="P242" i="2"/>
  <c r="BK242" i="2"/>
  <c r="J242" i="2"/>
  <c r="BE242" i="2" s="1"/>
  <c r="P229" i="2"/>
  <c r="BK229" i="2"/>
  <c r="T229" i="2"/>
  <c r="J229" i="2"/>
  <c r="BE229" i="2" s="1"/>
  <c r="R229" i="2"/>
  <c r="H197" i="2"/>
  <c r="BK197" i="2" s="1"/>
  <c r="H209" i="2"/>
  <c r="H228" i="2" s="1"/>
  <c r="R172" i="2"/>
  <c r="T172" i="2"/>
  <c r="BK174" i="2"/>
  <c r="BK104" i="2"/>
  <c r="P174" i="2"/>
  <c r="H187" i="2"/>
  <c r="T187" i="2" s="1"/>
  <c r="R174" i="2"/>
  <c r="J170" i="2"/>
  <c r="BE170" i="2" s="1"/>
  <c r="R192" i="2"/>
  <c r="T192" i="2"/>
  <c r="J192" i="2"/>
  <c r="BE192" i="2" s="1"/>
  <c r="P194" i="2"/>
  <c r="BK194" i="2"/>
  <c r="T194" i="2"/>
  <c r="J194" i="2"/>
  <c r="BE194" i="2" s="1"/>
  <c r="R194" i="2"/>
  <c r="T170" i="2"/>
  <c r="BK192" i="2"/>
  <c r="H142" i="2"/>
  <c r="P142" i="2" s="1"/>
  <c r="P192" i="2"/>
  <c r="H178" i="2"/>
  <c r="J178" i="2" s="1"/>
  <c r="BE178" i="2" s="1"/>
  <c r="J174" i="2"/>
  <c r="BE174" i="2" s="1"/>
  <c r="J172" i="2"/>
  <c r="BE172" i="2" s="1"/>
  <c r="BK170" i="2"/>
  <c r="R104" i="2"/>
  <c r="P170" i="2"/>
  <c r="BK172" i="2"/>
  <c r="T118" i="2"/>
  <c r="BK118" i="2"/>
  <c r="F98" i="2"/>
  <c r="P905" i="2"/>
  <c r="H132" i="2"/>
  <c r="P132" i="2" s="1"/>
  <c r="R130" i="2"/>
  <c r="T130" i="2"/>
  <c r="J130" i="2"/>
  <c r="BE130" i="2" s="1"/>
  <c r="P130" i="2"/>
  <c r="BK130" i="2"/>
  <c r="T135" i="2"/>
  <c r="J135" i="2"/>
  <c r="BE135" i="2" s="1"/>
  <c r="R135" i="2"/>
  <c r="BK135" i="2"/>
  <c r="P135" i="2"/>
  <c r="T126" i="2"/>
  <c r="J126" i="2"/>
  <c r="BE126" i="2" s="1"/>
  <c r="BK126" i="2"/>
  <c r="R126" i="2"/>
  <c r="P126" i="2"/>
  <c r="T905" i="2"/>
  <c r="P118" i="2"/>
  <c r="R118" i="2"/>
  <c r="J95" i="2"/>
  <c r="R905" i="2"/>
  <c r="P128" i="2"/>
  <c r="BK128" i="2"/>
  <c r="R128" i="2"/>
  <c r="T128" i="2"/>
  <c r="J128" i="2"/>
  <c r="BE128" i="2" s="1"/>
  <c r="R120" i="2"/>
  <c r="P120" i="2"/>
  <c r="T120" i="2"/>
  <c r="J120" i="2"/>
  <c r="BE120" i="2" s="1"/>
  <c r="BK120" i="2"/>
  <c r="H112" i="2"/>
  <c r="H111" i="2" s="1"/>
  <c r="P104" i="2"/>
  <c r="H107" i="2"/>
  <c r="J104" i="2"/>
  <c r="P900" i="2"/>
  <c r="T137" i="2"/>
  <c r="J137" i="2"/>
  <c r="BE137" i="2" s="1"/>
  <c r="R137" i="2"/>
  <c r="P137" i="2"/>
  <c r="BK137" i="2"/>
  <c r="BK133" i="2"/>
  <c r="T133" i="2"/>
  <c r="J133" i="2"/>
  <c r="BE133" i="2" s="1"/>
  <c r="R133" i="2"/>
  <c r="P133" i="2"/>
  <c r="H110" i="2"/>
  <c r="BK108" i="2"/>
  <c r="T108" i="2"/>
  <c r="J108" i="2"/>
  <c r="BE108" i="2" s="1"/>
  <c r="R108" i="2"/>
  <c r="P108" i="2"/>
  <c r="J31" i="2"/>
  <c r="AW52" i="1" s="1"/>
  <c r="F33" i="2"/>
  <c r="BC52" i="1" s="1"/>
  <c r="BC51" i="1" s="1"/>
  <c r="F34" i="2"/>
  <c r="BD52" i="1" s="1"/>
  <c r="BD51" i="1" s="1"/>
  <c r="W30" i="1" s="1"/>
  <c r="E45" i="2"/>
  <c r="F31" i="2"/>
  <c r="BA52" i="1" s="1"/>
  <c r="F32" i="2"/>
  <c r="BB52" i="1" s="1"/>
  <c r="T900" i="2"/>
  <c r="R900" i="2"/>
  <c r="BK905" i="2"/>
  <c r="J905" i="2" s="1"/>
  <c r="J80" i="2" s="1"/>
  <c r="BK900" i="2"/>
  <c r="J79" i="2" s="1"/>
  <c r="BE704" i="2" l="1"/>
  <c r="T528" i="2"/>
  <c r="BE597" i="2"/>
  <c r="BE730" i="2"/>
  <c r="J729" i="2"/>
  <c r="BE736" i="2"/>
  <c r="P476" i="2"/>
  <c r="R717" i="2"/>
  <c r="R703" i="2" s="1"/>
  <c r="BK476" i="2"/>
  <c r="T622" i="2"/>
  <c r="P631" i="2"/>
  <c r="J717" i="2"/>
  <c r="BE717" i="2" s="1"/>
  <c r="R622" i="2"/>
  <c r="R631" i="2"/>
  <c r="T717" i="2"/>
  <c r="J476" i="2"/>
  <c r="BE476" i="2" s="1"/>
  <c r="R476" i="2"/>
  <c r="BK622" i="2"/>
  <c r="BK631" i="2"/>
  <c r="BE796" i="2"/>
  <c r="BE851" i="2"/>
  <c r="R528" i="2"/>
  <c r="BK528" i="2"/>
  <c r="J756" i="2"/>
  <c r="P528" i="2"/>
  <c r="J622" i="2"/>
  <c r="BE622" i="2" s="1"/>
  <c r="H701" i="2"/>
  <c r="R701" i="2" s="1"/>
  <c r="T700" i="2"/>
  <c r="J700" i="2"/>
  <c r="BE700" i="2" s="1"/>
  <c r="R700" i="2"/>
  <c r="P700" i="2"/>
  <c r="BK700" i="2"/>
  <c r="H261" i="2"/>
  <c r="J261" i="2" s="1"/>
  <c r="J258" i="2"/>
  <c r="BE118" i="2"/>
  <c r="BK532" i="2"/>
  <c r="BE104" i="2"/>
  <c r="J564" i="2"/>
  <c r="BE564" i="2" s="1"/>
  <c r="T880" i="2"/>
  <c r="P880" i="2"/>
  <c r="BK881" i="2"/>
  <c r="J880" i="2"/>
  <c r="BE880" i="2" s="1"/>
  <c r="BK880" i="2"/>
  <c r="P881" i="2"/>
  <c r="J881" i="2"/>
  <c r="BE881" i="2" s="1"/>
  <c r="T881" i="2"/>
  <c r="R881" i="2"/>
  <c r="R879" i="2" s="1"/>
  <c r="BK858" i="2"/>
  <c r="P858" i="2"/>
  <c r="H877" i="2"/>
  <c r="P875" i="2"/>
  <c r="T875" i="2"/>
  <c r="R875" i="2"/>
  <c r="BK875" i="2"/>
  <c r="J875" i="2"/>
  <c r="BE875" i="2" s="1"/>
  <c r="J858" i="2"/>
  <c r="T858" i="2"/>
  <c r="R858" i="2"/>
  <c r="J838" i="2"/>
  <c r="BE838" i="2" s="1"/>
  <c r="BK855" i="2"/>
  <c r="P855" i="2"/>
  <c r="T855" i="2"/>
  <c r="J855" i="2"/>
  <c r="BE855" i="2" s="1"/>
  <c r="R855" i="2"/>
  <c r="T838" i="2"/>
  <c r="R838" i="2"/>
  <c r="BK838" i="2"/>
  <c r="J835" i="2"/>
  <c r="BE835" i="2" s="1"/>
  <c r="P835" i="2"/>
  <c r="P834" i="2" s="1"/>
  <c r="R835" i="2"/>
  <c r="R812" i="2"/>
  <c r="T835" i="2"/>
  <c r="BK812" i="2"/>
  <c r="P812" i="2"/>
  <c r="J812" i="2"/>
  <c r="BE812" i="2" s="1"/>
  <c r="H824" i="2"/>
  <c r="P796" i="2"/>
  <c r="T796" i="2"/>
  <c r="R796" i="2"/>
  <c r="BK796" i="2"/>
  <c r="BK771" i="2"/>
  <c r="H781" i="2"/>
  <c r="BK781" i="2" s="1"/>
  <c r="P771" i="2"/>
  <c r="R742" i="2"/>
  <c r="R735" i="2" s="1"/>
  <c r="R771" i="2"/>
  <c r="J771" i="2"/>
  <c r="BE771" i="2" s="1"/>
  <c r="BK729" i="2"/>
  <c r="J72" i="2" s="1"/>
  <c r="P742" i="2"/>
  <c r="P735" i="2" s="1"/>
  <c r="BK690" i="2"/>
  <c r="R729" i="2"/>
  <c r="P729" i="2"/>
  <c r="R764" i="2"/>
  <c r="J764" i="2"/>
  <c r="BE764" i="2" s="1"/>
  <c r="BK742" i="2"/>
  <c r="BK735" i="2" s="1"/>
  <c r="BK764" i="2"/>
  <c r="T764" i="2"/>
  <c r="T735" i="2"/>
  <c r="J742" i="2"/>
  <c r="P690" i="2"/>
  <c r="J708" i="2"/>
  <c r="BE708" i="2" s="1"/>
  <c r="P708" i="2"/>
  <c r="P703" i="2" s="1"/>
  <c r="T708" i="2"/>
  <c r="BK708" i="2"/>
  <c r="BK703" i="2" s="1"/>
  <c r="J690" i="2"/>
  <c r="T690" i="2"/>
  <c r="T682" i="2"/>
  <c r="R682" i="2"/>
  <c r="BK675" i="2"/>
  <c r="BK682" i="2"/>
  <c r="R690" i="2"/>
  <c r="P532" i="2"/>
  <c r="R532" i="2"/>
  <c r="J532" i="2"/>
  <c r="BE532" i="2" s="1"/>
  <c r="P682" i="2"/>
  <c r="J682" i="2"/>
  <c r="BE682" i="2" s="1"/>
  <c r="P675" i="2"/>
  <c r="R675" i="2"/>
  <c r="P687" i="2"/>
  <c r="BK687" i="2"/>
  <c r="R687" i="2"/>
  <c r="T687" i="2"/>
  <c r="J687" i="2"/>
  <c r="BE687" i="2" s="1"/>
  <c r="T675" i="2"/>
  <c r="BK548" i="2"/>
  <c r="H573" i="2"/>
  <c r="J573" i="2" s="1"/>
  <c r="BE573" i="2" s="1"/>
  <c r="J650" i="2"/>
  <c r="BE650" i="2" s="1"/>
  <c r="T650" i="2"/>
  <c r="P650" i="2"/>
  <c r="BK650" i="2"/>
  <c r="BK645" i="2"/>
  <c r="P641" i="2"/>
  <c r="R641" i="2"/>
  <c r="J641" i="2"/>
  <c r="BE641" i="2" s="1"/>
  <c r="BK641" i="2"/>
  <c r="R628" i="2"/>
  <c r="T645" i="2"/>
  <c r="J628" i="2"/>
  <c r="BE628" i="2" s="1"/>
  <c r="T564" i="2"/>
  <c r="P564" i="2"/>
  <c r="R456" i="2"/>
  <c r="R548" i="2"/>
  <c r="BK564" i="2"/>
  <c r="J645" i="2"/>
  <c r="BE645" i="2" s="1"/>
  <c r="T628" i="2"/>
  <c r="P645" i="2"/>
  <c r="BK639" i="2"/>
  <c r="P628" i="2"/>
  <c r="P596" i="2" s="1"/>
  <c r="P548" i="2"/>
  <c r="J548" i="2"/>
  <c r="BK497" i="2"/>
  <c r="R497" i="2"/>
  <c r="T497" i="2"/>
  <c r="P497" i="2"/>
  <c r="R506" i="2"/>
  <c r="J556" i="2"/>
  <c r="BE556" i="2" s="1"/>
  <c r="J456" i="2"/>
  <c r="P575" i="2"/>
  <c r="P456" i="2"/>
  <c r="T456" i="2"/>
  <c r="R575" i="2"/>
  <c r="BK456" i="2"/>
  <c r="BK575" i="2"/>
  <c r="T556" i="2"/>
  <c r="BK556" i="2"/>
  <c r="J575" i="2"/>
  <c r="BE575" i="2" s="1"/>
  <c r="BK506" i="2"/>
  <c r="P556" i="2"/>
  <c r="J405" i="2"/>
  <c r="BE405" i="2" s="1"/>
  <c r="BK405" i="2"/>
  <c r="J506" i="2"/>
  <c r="BE506" i="2" s="1"/>
  <c r="P506" i="2"/>
  <c r="T251" i="2"/>
  <c r="J273" i="2"/>
  <c r="BE273" i="2" s="1"/>
  <c r="R405" i="2"/>
  <c r="P468" i="2"/>
  <c r="BK468" i="2"/>
  <c r="R468" i="2"/>
  <c r="T468" i="2"/>
  <c r="J468" i="2"/>
  <c r="BE468" i="2" s="1"/>
  <c r="H471" i="2"/>
  <c r="T472" i="2"/>
  <c r="J472" i="2"/>
  <c r="BE472" i="2" s="1"/>
  <c r="R472" i="2"/>
  <c r="BK472" i="2"/>
  <c r="P472" i="2"/>
  <c r="T365" i="2"/>
  <c r="T405" i="2"/>
  <c r="BK365" i="2"/>
  <c r="R365" i="2"/>
  <c r="P365" i="2"/>
  <c r="P363" i="2"/>
  <c r="BK363" i="2"/>
  <c r="R363" i="2"/>
  <c r="T363" i="2"/>
  <c r="J363" i="2"/>
  <c r="BE363" i="2" s="1"/>
  <c r="J365" i="2"/>
  <c r="BE365" i="2" s="1"/>
  <c r="BK332" i="2"/>
  <c r="H362" i="2"/>
  <c r="P332" i="2"/>
  <c r="T332" i="2"/>
  <c r="J332" i="2"/>
  <c r="BE332" i="2" s="1"/>
  <c r="R332" i="2"/>
  <c r="T273" i="2"/>
  <c r="P273" i="2"/>
  <c r="BK273" i="2"/>
  <c r="R273" i="2"/>
  <c r="H272" i="2"/>
  <c r="J272" i="2" s="1"/>
  <c r="T290" i="2"/>
  <c r="J290" i="2"/>
  <c r="BE290" i="2" s="1"/>
  <c r="P290" i="2"/>
  <c r="BK290" i="2"/>
  <c r="R290" i="2"/>
  <c r="P209" i="2"/>
  <c r="H225" i="2"/>
  <c r="BK225" i="2" s="1"/>
  <c r="J209" i="2"/>
  <c r="BE209" i="2" s="1"/>
  <c r="P251" i="2"/>
  <c r="BK251" i="2"/>
  <c r="BK209" i="2"/>
  <c r="P236" i="2"/>
  <c r="J251" i="2"/>
  <c r="BE251" i="2" s="1"/>
  <c r="BK236" i="2"/>
  <c r="H226" i="2"/>
  <c r="T226" i="2" s="1"/>
  <c r="R209" i="2"/>
  <c r="T209" i="2"/>
  <c r="R236" i="2"/>
  <c r="J236" i="2"/>
  <c r="BE236" i="2" s="1"/>
  <c r="H241" i="2"/>
  <c r="J241" i="2" s="1"/>
  <c r="BE241" i="2" s="1"/>
  <c r="T231" i="2"/>
  <c r="J231" i="2"/>
  <c r="BE231" i="2" s="1"/>
  <c r="BK231" i="2"/>
  <c r="R231" i="2"/>
  <c r="R228" i="2"/>
  <c r="P228" i="2"/>
  <c r="T228" i="2"/>
  <c r="BK228" i="2"/>
  <c r="J228" i="2"/>
  <c r="BE228" i="2" s="1"/>
  <c r="R187" i="2"/>
  <c r="BK187" i="2"/>
  <c r="T142" i="2"/>
  <c r="BK178" i="2"/>
  <c r="J187" i="2"/>
  <c r="BE187" i="2" s="1"/>
  <c r="R178" i="2"/>
  <c r="P187" i="2"/>
  <c r="T178" i="2"/>
  <c r="BK142" i="2"/>
  <c r="R197" i="2"/>
  <c r="P178" i="2"/>
  <c r="P141" i="2" s="1"/>
  <c r="J197" i="2"/>
  <c r="R142" i="2"/>
  <c r="T197" i="2"/>
  <c r="P197" i="2"/>
  <c r="J142" i="2"/>
  <c r="J132" i="2"/>
  <c r="BE132" i="2" s="1"/>
  <c r="P117" i="2"/>
  <c r="T132" i="2"/>
  <c r="T117" i="2" s="1"/>
  <c r="R132" i="2"/>
  <c r="R117" i="2" s="1"/>
  <c r="BK132" i="2"/>
  <c r="BK117" i="2" s="1"/>
  <c r="R111" i="2"/>
  <c r="P111" i="2"/>
  <c r="BK111" i="2"/>
  <c r="H114" i="2"/>
  <c r="T111" i="2"/>
  <c r="J111" i="2"/>
  <c r="BE111" i="2" s="1"/>
  <c r="T107" i="2"/>
  <c r="J107" i="2"/>
  <c r="BE107" i="2" s="1"/>
  <c r="R107" i="2"/>
  <c r="P107" i="2"/>
  <c r="BK107" i="2"/>
  <c r="R110" i="2"/>
  <c r="J110" i="2"/>
  <c r="BE110" i="2" s="1"/>
  <c r="T110" i="2"/>
  <c r="P110" i="2"/>
  <c r="BK110" i="2"/>
  <c r="AY51" i="1"/>
  <c r="W29" i="1"/>
  <c r="BB51" i="1"/>
  <c r="BA51" i="1"/>
  <c r="J117" i="2" l="1"/>
  <c r="J102" i="2" s="1"/>
  <c r="J703" i="2"/>
  <c r="J71" i="2" s="1"/>
  <c r="T703" i="2"/>
  <c r="T486" i="2"/>
  <c r="J486" i="2"/>
  <c r="J485" i="2" s="1"/>
  <c r="J547" i="2"/>
  <c r="J596" i="2"/>
  <c r="J68" i="2" s="1"/>
  <c r="BE142" i="2"/>
  <c r="J141" i="2"/>
  <c r="BE690" i="2"/>
  <c r="J59" i="2"/>
  <c r="T596" i="2"/>
  <c r="R596" i="2"/>
  <c r="BK596" i="2"/>
  <c r="T701" i="2"/>
  <c r="T689" i="2" s="1"/>
  <c r="J701" i="2"/>
  <c r="BE701" i="2" s="1"/>
  <c r="P701" i="2"/>
  <c r="P689" i="2" s="1"/>
  <c r="BE858" i="2"/>
  <c r="BK701" i="2"/>
  <c r="BK689" i="2" s="1"/>
  <c r="J834" i="2"/>
  <c r="BE742" i="2"/>
  <c r="J73" i="2"/>
  <c r="BE456" i="2"/>
  <c r="BE548" i="2"/>
  <c r="BE272" i="2"/>
  <c r="H113" i="2"/>
  <c r="J113" i="2" s="1"/>
  <c r="J114" i="2"/>
  <c r="BE197" i="2"/>
  <c r="T879" i="2"/>
  <c r="P879" i="2"/>
  <c r="BK879" i="2"/>
  <c r="J78" i="2" s="1"/>
  <c r="BK834" i="2"/>
  <c r="R834" i="2"/>
  <c r="T877" i="2"/>
  <c r="T857" i="2" s="1"/>
  <c r="J877" i="2"/>
  <c r="BE877" i="2" s="1"/>
  <c r="BK877" i="2"/>
  <c r="BK857" i="2" s="1"/>
  <c r="R877" i="2"/>
  <c r="R857" i="2" s="1"/>
  <c r="P877" i="2"/>
  <c r="P857" i="2" s="1"/>
  <c r="T834" i="2"/>
  <c r="BK824" i="2"/>
  <c r="BK795" i="2" s="1"/>
  <c r="P824" i="2"/>
  <c r="P795" i="2" s="1"/>
  <c r="T824" i="2"/>
  <c r="T795" i="2" s="1"/>
  <c r="J824" i="2"/>
  <c r="BE824" i="2" s="1"/>
  <c r="R824" i="2"/>
  <c r="R795" i="2" s="1"/>
  <c r="P781" i="2"/>
  <c r="P761" i="2" s="1"/>
  <c r="J781" i="2"/>
  <c r="BE781" i="2" s="1"/>
  <c r="T781" i="2"/>
  <c r="T761" i="2" s="1"/>
  <c r="R781" i="2"/>
  <c r="R761" i="2" s="1"/>
  <c r="BK761" i="2"/>
  <c r="BK573" i="2"/>
  <c r="BK547" i="2" s="1"/>
  <c r="R689" i="2"/>
  <c r="R573" i="2"/>
  <c r="R547" i="2" s="1"/>
  <c r="T573" i="2"/>
  <c r="T547" i="2" s="1"/>
  <c r="P573" i="2"/>
  <c r="P547" i="2" s="1"/>
  <c r="BK638" i="2"/>
  <c r="P486" i="2"/>
  <c r="J639" i="2"/>
  <c r="J638" i="2" s="1"/>
  <c r="T639" i="2"/>
  <c r="T638" i="2" s="1"/>
  <c r="R639" i="2"/>
  <c r="R638" i="2" s="1"/>
  <c r="BK486" i="2"/>
  <c r="P639" i="2"/>
  <c r="P638" i="2" s="1"/>
  <c r="R486" i="2"/>
  <c r="BK471" i="2"/>
  <c r="H475" i="2"/>
  <c r="T471" i="2"/>
  <c r="J471" i="2"/>
  <c r="BE471" i="2" s="1"/>
  <c r="P471" i="2"/>
  <c r="R471" i="2"/>
  <c r="T272" i="2"/>
  <c r="BK272" i="2"/>
  <c r="P226" i="2"/>
  <c r="R272" i="2"/>
  <c r="P272" i="2"/>
  <c r="R225" i="2"/>
  <c r="P362" i="2"/>
  <c r="T362" i="2"/>
  <c r="R362" i="2"/>
  <c r="BK362" i="2"/>
  <c r="J362" i="2"/>
  <c r="BE362" i="2" s="1"/>
  <c r="T241" i="2"/>
  <c r="J225" i="2"/>
  <c r="BE225" i="2" s="1"/>
  <c r="R226" i="2"/>
  <c r="BK226" i="2"/>
  <c r="T225" i="2"/>
  <c r="P225" i="2"/>
  <c r="J226" i="2"/>
  <c r="BE226" i="2" s="1"/>
  <c r="R241" i="2"/>
  <c r="P241" i="2"/>
  <c r="BK241" i="2"/>
  <c r="BK141" i="2"/>
  <c r="R141" i="2"/>
  <c r="T141" i="2"/>
  <c r="W28" i="1"/>
  <c r="AX51" i="1"/>
  <c r="AW51" i="1"/>
  <c r="AK27" i="1" s="1"/>
  <c r="W27" i="1"/>
  <c r="J101" i="2" l="1"/>
  <c r="J196" i="2"/>
  <c r="J60" i="2"/>
  <c r="J57" i="2" s="1"/>
  <c r="J76" i="2"/>
  <c r="J103" i="2"/>
  <c r="J58" i="2" s="1"/>
  <c r="J689" i="2"/>
  <c r="J70" i="2" s="1"/>
  <c r="P113" i="2"/>
  <c r="P103" i="2" s="1"/>
  <c r="J74" i="2"/>
  <c r="J75" i="2"/>
  <c r="J77" i="2"/>
  <c r="BE639" i="2"/>
  <c r="J69" i="2"/>
  <c r="J66" i="2"/>
  <c r="T113" i="2"/>
  <c r="T103" i="2" s="1"/>
  <c r="BK113" i="2"/>
  <c r="BK103" i="2" s="1"/>
  <c r="R113" i="2"/>
  <c r="R103" i="2" s="1"/>
  <c r="BE113" i="2"/>
  <c r="T485" i="2"/>
  <c r="BK485" i="2"/>
  <c r="R485" i="2"/>
  <c r="P485" i="2"/>
  <c r="J67" i="2"/>
  <c r="R475" i="2"/>
  <c r="R455" i="2" s="1"/>
  <c r="P475" i="2"/>
  <c r="P455" i="2" s="1"/>
  <c r="T475" i="2"/>
  <c r="T455" i="2" s="1"/>
  <c r="J475" i="2"/>
  <c r="BE475" i="2" s="1"/>
  <c r="BK475" i="2"/>
  <c r="BK455" i="2" s="1"/>
  <c r="T196" i="2"/>
  <c r="R196" i="2"/>
  <c r="P196" i="2"/>
  <c r="BK196" i="2"/>
  <c r="J65" i="2" l="1"/>
  <c r="J455" i="2"/>
  <c r="J61" i="2"/>
  <c r="J63" i="2"/>
  <c r="P415" i="2"/>
  <c r="T415" i="2"/>
  <c r="BK415" i="2"/>
  <c r="R415" i="2"/>
  <c r="J415" i="2"/>
  <c r="R425" i="2"/>
  <c r="P425" i="2"/>
  <c r="BK425" i="2"/>
  <c r="BE415" i="2" l="1"/>
  <c r="P271" i="2"/>
  <c r="P102" i="2" s="1"/>
  <c r="P101" i="2" s="1"/>
  <c r="AU52" i="1" s="1"/>
  <c r="AU51" i="1" s="1"/>
  <c r="J425" i="2"/>
  <c r="BE425" i="2" s="1"/>
  <c r="AV52" i="1" s="1"/>
  <c r="AT52" i="1" s="1"/>
  <c r="T425" i="2"/>
  <c r="T271" i="2" s="1"/>
  <c r="T102" i="2" s="1"/>
  <c r="T101" i="2" s="1"/>
  <c r="R271" i="2"/>
  <c r="R102" i="2" s="1"/>
  <c r="R101" i="2" s="1"/>
  <c r="BK271" i="2"/>
  <c r="AZ52" i="1"/>
  <c r="AZ51" i="1" s="1"/>
  <c r="J62" i="2" l="1"/>
  <c r="BK102" i="2"/>
  <c r="BK101" i="2" s="1"/>
  <c r="AV51" i="1"/>
  <c r="W26" i="1"/>
  <c r="AK26" i="1" l="1"/>
  <c r="AT51" i="1"/>
  <c r="J27" i="2"/>
  <c r="J56" i="2"/>
  <c r="J36" i="2" l="1"/>
  <c r="AG52" i="1"/>
  <c r="AG51" i="1" l="1"/>
  <c r="AN51" i="1" l="1"/>
  <c r="AK23" i="1"/>
  <c r="AK32" i="1" s="1"/>
</calcChain>
</file>

<file path=xl/sharedStrings.xml><?xml version="1.0" encoding="utf-8"?>
<sst xmlns="http://schemas.openxmlformats.org/spreadsheetml/2006/main" count="7872" uniqueCount="1587">
  <si>
    <t>Export VZ</t>
  </si>
  <si>
    <t>List obsahuje:</t>
  </si>
  <si>
    <t>1) Rekapitulace stavby</t>
  </si>
  <si>
    <t>2) Rekapitulace objektů stavby a soupisů prací</t>
  </si>
  <si>
    <t>3.0</t>
  </si>
  <si>
    <t/>
  </si>
  <si>
    <t>False</t>
  </si>
  <si>
    <t>{6212bf4d-2552-47a0-ba0b-b6d5353c258d}</t>
  </si>
  <si>
    <t>&gt;&gt;  skryté sloupce  &lt;&lt;</t>
  </si>
  <si>
    <t>0,1</t>
  </si>
  <si>
    <t>21</t>
  </si>
  <si>
    <t>0,01</t>
  </si>
  <si>
    <t>15</t>
  </si>
  <si>
    <t>REKAPITULACE STAVBY</t>
  </si>
  <si>
    <t>v ---  níže se nacházejí doplnkové a pomocné údaje k sestavám  --- v</t>
  </si>
  <si>
    <t>Návod na vyplnění</t>
  </si>
  <si>
    <t>0,001</t>
  </si>
  <si>
    <t>Kód:</t>
  </si>
  <si>
    <t>2018_10_26</t>
  </si>
  <si>
    <t>Měnit lze pouze buňky se žlutým podbarvením!_x000D_
_x000D_
1) v Rekapitulaci stavby vyplňte údaje o Uchazeči (přenesou se do ostatních sestav i v jiných listech)_x000D_
_x000D_
2) na vybraných listech vyplňte v sestavě Soupis prací ceny u položek_x000D_
_x000D_
Podrobnosti k vyplnění naleznete na poslední záložce s Pokyny pro vyplnění</t>
  </si>
  <si>
    <t>Stavba:</t>
  </si>
  <si>
    <t>Akce Pasohlávky</t>
  </si>
  <si>
    <t>KSO:</t>
  </si>
  <si>
    <t>CC-CZ:</t>
  </si>
  <si>
    <t>Místo:</t>
  </si>
  <si>
    <t>Pasohlávky</t>
  </si>
  <si>
    <t>Datum:</t>
  </si>
  <si>
    <t>26. 10. 2018</t>
  </si>
  <si>
    <t>Zadavatel:</t>
  </si>
  <si>
    <t>IČ:</t>
  </si>
  <si>
    <t>UNIFICA a.s., Příkop 834/8, 602 00 Brno</t>
  </si>
  <si>
    <t>DIČ:</t>
  </si>
  <si>
    <t>Uchazeč:</t>
  </si>
  <si>
    <t>Projektant:</t>
  </si>
  <si>
    <t>Ing. Arch. Pavel Jura</t>
  </si>
  <si>
    <t>True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</si>
  <si>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</si>
  <si>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</si>
  <si>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</si>
  <si>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</si>
  <si>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</si>
  <si>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</si>
  <si>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</si>
  <si>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</si>
  <si>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</si>
  <si>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</si>
  <si>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</si>
  <si>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</si>
  <si>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</si>
  <si>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</si>
  <si>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REKAPITULACE OBJEKTŮ STAVBY A SOUPISŮ PRACÍ</t>
  </si>
  <si>
    <t>Informatívní údaje z listů zakázek</t>
  </si>
  <si>
    <t>Kód</t>
  </si>
  <si>
    <t>Objekt, Soupis prací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</si>
  <si>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</si>
  <si>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</si>
  <si>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</si>
  <si>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</si>
  <si>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</si>
  <si>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</si>
  <si>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</si>
  <si>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</si>
  <si>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</si>
  <si>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</si>
  <si>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</si>
  <si>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</si>
  <si>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</si>
  <si>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</si>
  <si>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</si>
  <si>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stavby celkem</t>
  </si>
  <si>
    <t>D</t>
  </si>
  <si>
    <t>0</t>
  </si>
  <si>
    <t>###NOIMPORT###</t>
  </si>
  <si>
    <t>IMPORT</t>
  </si>
  <si>
    <t>{00000000-0000-0000-0000-000000000000}</t>
  </si>
  <si>
    <t>/</t>
  </si>
  <si>
    <t>Bytový dům</t>
  </si>
  <si>
    <t>Nájemní bydlení pro seniory Pasohlávky - bytový dům</t>
  </si>
  <si>
    <t>STA</t>
  </si>
  <si>
    <t>1</t>
  </si>
  <si>
    <t>{559dd78e-0e69-4e0c-8963-30de3dd20e1c}</t>
  </si>
  <si>
    <t>2</t>
  </si>
  <si>
    <t>1) Krycí list soupisu</t>
  </si>
  <si>
    <t>2) Rekapitulace</t>
  </si>
  <si>
    <t>3) Soupis prací</t>
  </si>
  <si>
    <t>Zpět na list:</t>
  </si>
  <si>
    <t>Rekapitulace stavby</t>
  </si>
  <si>
    <t>KRYCÍ LIST SOUPISU</t>
  </si>
  <si>
    <t>Objekt:</t>
  </si>
  <si>
    <t>Bytový dům - Nájemní bydlení pro seniory Pasohlávky - bytový dům</t>
  </si>
  <si>
    <t>REKAPITULACE ČLENĚNÍ SOUPISU PRACÍ</t>
  </si>
  <si>
    <t>Kód dílu - Popis</t>
  </si>
  <si>
    <t>Cena celkem [CZK]</t>
  </si>
  <si>
    <t>Náklady soupisu celkem</t>
  </si>
  <si>
    <t>-1</t>
  </si>
  <si>
    <t>HSV - Práce a dodávky HSV</t>
  </si>
  <si>
    <t xml:space="preserve">    1 - Zemní práce</t>
  </si>
  <si>
    <t xml:space="preserve">    2 - Zakládání</t>
  </si>
  <si>
    <t xml:space="preserve">    3 - Svislé a kompletní konstrukce</t>
  </si>
  <si>
    <t xml:space="preserve">    4 - Vodorovné konstrukce</t>
  </si>
  <si>
    <t xml:space="preserve">    6 - Úpravy povrchů, podlahy a osazování výplní</t>
  </si>
  <si>
    <t xml:space="preserve">    9 - Ostatní konstrukce a práce, bourání</t>
  </si>
  <si>
    <t xml:space="preserve">    998 - Přesun hmot</t>
  </si>
  <si>
    <t>PSV - Práce a dodávky PSV</t>
  </si>
  <si>
    <t xml:space="preserve">    711 - Izolace proti vodě, vlhkosti a plynům</t>
  </si>
  <si>
    <t xml:space="preserve">    712 - Povlakové krytiny</t>
  </si>
  <si>
    <t xml:space="preserve">    713 - Izolace tepelné</t>
  </si>
  <si>
    <t xml:space="preserve">    762 - Konstrukce tesařské</t>
  </si>
  <si>
    <t xml:space="preserve">    763 - Konstrukce suché výstavby</t>
  </si>
  <si>
    <t xml:space="preserve">    764 - Konstrukce klempířské</t>
  </si>
  <si>
    <t xml:space="preserve">    765 - Krytina skládaná</t>
  </si>
  <si>
    <t xml:space="preserve">    766 - Konstrukce truhlářské</t>
  </si>
  <si>
    <t xml:space="preserve">    767 - Konstrukce zámečnické</t>
  </si>
  <si>
    <t xml:space="preserve">    771 - Podlahy z dlaždic</t>
  </si>
  <si>
    <t xml:space="preserve">    775 - Podlahy skládané</t>
  </si>
  <si>
    <t xml:space="preserve">    781 - Dokončovací práce - obklady</t>
  </si>
  <si>
    <t xml:space="preserve">    784 - Dokončovací práce - malby a tapety</t>
  </si>
  <si>
    <t>N00 - Vnitřní TZB - jinde položkově nespecifikované</t>
  </si>
  <si>
    <t>VRN - Vedlejší rozpočtové náklady</t>
  </si>
  <si>
    <t>R - Rezerva</t>
  </si>
  <si>
    <t>SOUPIS PRACÍ</t>
  </si>
  <si>
    <t>PČ</t>
  </si>
  <si>
    <t>Popis</t>
  </si>
  <si>
    <t>MJ</t>
  </si>
  <si>
    <t>Množství</t>
  </si>
  <si>
    <t>J.cena [CZK]</t>
  </si>
  <si>
    <t>Cenová soustava</t>
  </si>
  <si>
    <t>Poznámka</t>
  </si>
  <si>
    <t>J. Nh [h]</t>
  </si>
  <si>
    <t>Nh celkem [h]</t>
  </si>
  <si>
    <t>J. hmotnost_x000D_
[t]</t>
  </si>
  <si>
    <t>Hmotnost_x000D_
celkem [t]</t>
  </si>
  <si>
    <t>J. suť [t]</t>
  </si>
  <si>
    <t>Suť Celkem [t]</t>
  </si>
  <si>
    <t>HSV</t>
  </si>
  <si>
    <t>Práce a dodávky HSV</t>
  </si>
  <si>
    <t>ROZPOCET</t>
  </si>
  <si>
    <t>Zemní práce</t>
  </si>
  <si>
    <t>K</t>
  </si>
  <si>
    <t>131201101</t>
  </si>
  <si>
    <t>Hloubení jam nezapažených v hornině tř. 3 objemu do 100 m3</t>
  </si>
  <si>
    <t>m3</t>
  </si>
  <si>
    <t>CS ÚRS 2018 01</t>
  </si>
  <si>
    <t>4</t>
  </si>
  <si>
    <t>-1107740402</t>
  </si>
  <si>
    <t>VV</t>
  </si>
  <si>
    <t>hloubení jam budovy</t>
  </si>
  <si>
    <t>131201109</t>
  </si>
  <si>
    <t>Příplatek za lepivost u hloubení jam nezapažených v hornině tř. 3</t>
  </si>
  <si>
    <t>251803186</t>
  </si>
  <si>
    <t>3</t>
  </si>
  <si>
    <t>132201201</t>
  </si>
  <si>
    <t>Hloubení rýh š do 2000 mm v hornině tř. 3 objemu do 100 m3</t>
  </si>
  <si>
    <t>989621030</t>
  </si>
  <si>
    <t>132201209</t>
  </si>
  <si>
    <t>Příplatek za lepivost k hloubení rýh š do 2000 mm v hornině tř. 3</t>
  </si>
  <si>
    <t>959329115</t>
  </si>
  <si>
    <t>5</t>
  </si>
  <si>
    <t>162701105</t>
  </si>
  <si>
    <t>Vodorovné přemístění do 10000 m výkopku/sypaniny z horniny tř. 1 až 4</t>
  </si>
  <si>
    <t>278834626</t>
  </si>
  <si>
    <t>6</t>
  </si>
  <si>
    <t>171201211</t>
  </si>
  <si>
    <t>Poplatek za uložení stavebního odpadu - zeminy a kameniva na skládce</t>
  </si>
  <si>
    <t>t</t>
  </si>
  <si>
    <t>1788473173</t>
  </si>
  <si>
    <t>Zakládání</t>
  </si>
  <si>
    <t>7</t>
  </si>
  <si>
    <t>271532212</t>
  </si>
  <si>
    <t>Podsyp pod základové konstrukce se zhutněním z hrubého kameniva frakce 16 až 32 mm</t>
  </si>
  <si>
    <t>-18370406</t>
  </si>
  <si>
    <t>8</t>
  </si>
  <si>
    <t>273321511</t>
  </si>
  <si>
    <t>Základové desky ze ŽB bez zvýšených nároků na prostředí tř. C 25/30</t>
  </si>
  <si>
    <t>4587962</t>
  </si>
  <si>
    <t>základová deska</t>
  </si>
  <si>
    <t>9</t>
  </si>
  <si>
    <t>273351121</t>
  </si>
  <si>
    <t>Zřízení bednění základových desek</t>
  </si>
  <si>
    <t>m2</t>
  </si>
  <si>
    <t>-2136196144</t>
  </si>
  <si>
    <t>(2*14,5+2*9,6)*0,1</t>
  </si>
  <si>
    <t>10</t>
  </si>
  <si>
    <t>273351122</t>
  </si>
  <si>
    <t>Odstranění bednění základových desek</t>
  </si>
  <si>
    <t>-1601933310</t>
  </si>
  <si>
    <t>11</t>
  </si>
  <si>
    <t>273361821</t>
  </si>
  <si>
    <t>-1062995904</t>
  </si>
  <si>
    <t>12</t>
  </si>
  <si>
    <t>274321511</t>
  </si>
  <si>
    <t>Základové pasy ze ŽB bez zvýšených nároků na prostředí tř. C 25/30</t>
  </si>
  <si>
    <t>-138090822</t>
  </si>
  <si>
    <t>13</t>
  </si>
  <si>
    <t>274351121</t>
  </si>
  <si>
    <t>Zřízení bednění základových pasů rovného</t>
  </si>
  <si>
    <t>-1681668787</t>
  </si>
  <si>
    <t>14</t>
  </si>
  <si>
    <t>274351122</t>
  </si>
  <si>
    <t>Odstranění bednění základových pasů rovného</t>
  </si>
  <si>
    <t>633137986</t>
  </si>
  <si>
    <t>274361821</t>
  </si>
  <si>
    <t>Výztuž základových pásů betonářskou ocelí 10 505 (R)</t>
  </si>
  <si>
    <t>830357317</t>
  </si>
  <si>
    <t>16</t>
  </si>
  <si>
    <t>279113155</t>
  </si>
  <si>
    <t>Základová zeď tl do 400 mm z tvárnic ztraceného bednění včetně výplně z betonu tř. C 25/30</t>
  </si>
  <si>
    <t>-1182246495</t>
  </si>
  <si>
    <t>17</t>
  </si>
  <si>
    <t>279361821</t>
  </si>
  <si>
    <t>Výztuž základových zdí nosných betonářskou ocelí 10 505</t>
  </si>
  <si>
    <t>1369120343</t>
  </si>
  <si>
    <t>Svislé a kompletní konstrukce</t>
  </si>
  <si>
    <t>18</t>
  </si>
  <si>
    <t>311235141</t>
  </si>
  <si>
    <t>-56491896</t>
  </si>
  <si>
    <t>obvodové stěny</t>
  </si>
  <si>
    <t>vnitřní stěny</t>
  </si>
  <si>
    <t>Součet</t>
  </si>
  <si>
    <t>19</t>
  </si>
  <si>
    <t>317168012</t>
  </si>
  <si>
    <t>Překlad keramický plochý š 115 mm dl 1250 mm</t>
  </si>
  <si>
    <t>kus</t>
  </si>
  <si>
    <t>1740254671</t>
  </si>
  <si>
    <t>20</t>
  </si>
  <si>
    <t>317168051</t>
  </si>
  <si>
    <t>Překlad keramický vysoký v 238 mm dl 1000 mm</t>
  </si>
  <si>
    <t>-1388484107</t>
  </si>
  <si>
    <t>317168052</t>
  </si>
  <si>
    <t>Překlad keramický vysoký v 238 mm dl 1250 mm</t>
  </si>
  <si>
    <t>-367419245</t>
  </si>
  <si>
    <t>22</t>
  </si>
  <si>
    <t>317168053</t>
  </si>
  <si>
    <t>Překlad keramický vysoký v 238 mm dl 1500 mm</t>
  </si>
  <si>
    <t>-1228128579</t>
  </si>
  <si>
    <t>23</t>
  </si>
  <si>
    <t>317168056</t>
  </si>
  <si>
    <t>Překlad keramický vysoký v 238 mm dl 2250 mm</t>
  </si>
  <si>
    <t>1665822888</t>
  </si>
  <si>
    <t>24</t>
  </si>
  <si>
    <t>342244211</t>
  </si>
  <si>
    <t>Příčka z cihel broušených na tenkovrstvou maltu tloušťky 115 mm</t>
  </si>
  <si>
    <t>32750527</t>
  </si>
  <si>
    <t>1.NP</t>
  </si>
  <si>
    <t>2.NP</t>
  </si>
  <si>
    <t>3.NP</t>
  </si>
  <si>
    <t>25</t>
  </si>
  <si>
    <t>342291111</t>
  </si>
  <si>
    <t>Ukotvení příček montážní polyuretanovou pěnou tl příčky do 100 mm</t>
  </si>
  <si>
    <t>m</t>
  </si>
  <si>
    <t>-849398978</t>
  </si>
  <si>
    <t>26</t>
  </si>
  <si>
    <t>342291121</t>
  </si>
  <si>
    <t>Ukotvení příček k cihelným konstrukcím plochými kotvami</t>
  </si>
  <si>
    <t>1016905605</t>
  </si>
  <si>
    <t>27</t>
  </si>
  <si>
    <t>346272256</t>
  </si>
  <si>
    <t>Přizdívka z pórobetonových tvárnic tl 150 mm</t>
  </si>
  <si>
    <t>-60168136</t>
  </si>
  <si>
    <t>Vodorovné konstrukce</t>
  </si>
  <si>
    <t>28</t>
  </si>
  <si>
    <t>411321616</t>
  </si>
  <si>
    <t>Stropy deskové ze ŽB tř. C 30/37</t>
  </si>
  <si>
    <t>562757197</t>
  </si>
  <si>
    <t>nad 1.NP</t>
  </si>
  <si>
    <t>nad 2.NP</t>
  </si>
  <si>
    <t>5*3,025*0,16</t>
  </si>
  <si>
    <t>balkon</t>
  </si>
  <si>
    <t>pavlač</t>
  </si>
  <si>
    <t>29</t>
  </si>
  <si>
    <t>411351011</t>
  </si>
  <si>
    <t>Zřízení bednění stropů deskových tl do 25 cm bez podpěrné kce</t>
  </si>
  <si>
    <t>-801946314</t>
  </si>
  <si>
    <t>14,5*9,6</t>
  </si>
  <si>
    <t>9,75*9,6</t>
  </si>
  <si>
    <t>30</t>
  </si>
  <si>
    <t>411351012</t>
  </si>
  <si>
    <t>Odstranění bednění stropů deskových tl do 25 cm bez podpěrné kce</t>
  </si>
  <si>
    <t>785982139</t>
  </si>
  <si>
    <t>31</t>
  </si>
  <si>
    <t>411354313</t>
  </si>
  <si>
    <t>Zřízení podpěrné konstrukce stropů výšky do 4 m tl do 25 cm</t>
  </si>
  <si>
    <t>375778165</t>
  </si>
  <si>
    <t>32</t>
  </si>
  <si>
    <t>411354314</t>
  </si>
  <si>
    <t>Odstranění podpěrné konstrukce stropů výšky do 4 m tl do 25 cm</t>
  </si>
  <si>
    <t>765856861</t>
  </si>
  <si>
    <t>33</t>
  </si>
  <si>
    <t>411361821</t>
  </si>
  <si>
    <t>Výztuž stropů betonářskou ocelí 10 505</t>
  </si>
  <si>
    <t>227762409</t>
  </si>
  <si>
    <t>34</t>
  </si>
  <si>
    <t>417321515</t>
  </si>
  <si>
    <t>Ztužující pásy a věnce ze ŽB tř. C 25/30</t>
  </si>
  <si>
    <t>-929004036</t>
  </si>
  <si>
    <t>35</t>
  </si>
  <si>
    <t>417351115</t>
  </si>
  <si>
    <t>Zřízení bednění ztužujících věnců</t>
  </si>
  <si>
    <t>729708851</t>
  </si>
  <si>
    <t>36</t>
  </si>
  <si>
    <t>417351116</t>
  </si>
  <si>
    <t>Odstranění bednění ztužujících věnců</t>
  </si>
  <si>
    <t>-2055837841</t>
  </si>
  <si>
    <t>37</t>
  </si>
  <si>
    <t>417361821</t>
  </si>
  <si>
    <t>Výztuž ztužujících pásů a věnců betonářskou ocelí 10 505</t>
  </si>
  <si>
    <t>1864811885</t>
  </si>
  <si>
    <t>38</t>
  </si>
  <si>
    <t>430321616</t>
  </si>
  <si>
    <t>Schodišťová konstrukce a rampa ze ŽB tř. C 30/37</t>
  </si>
  <si>
    <t>1454747069</t>
  </si>
  <si>
    <t>39</t>
  </si>
  <si>
    <t>430361821</t>
  </si>
  <si>
    <t>Výztuž schodišťové konstrukce a rampy betonářskou ocelí 10 505</t>
  </si>
  <si>
    <t>-642528574</t>
  </si>
  <si>
    <t>40</t>
  </si>
  <si>
    <t>431351121</t>
  </si>
  <si>
    <t>Zřízení bednění podest schodišť a ramp přímočarých v do 4 m</t>
  </si>
  <si>
    <t>-2120315620</t>
  </si>
  <si>
    <t>41</t>
  </si>
  <si>
    <t>431351122</t>
  </si>
  <si>
    <t>Odstranění bednění podest schodišť a ramp přímočarých v do 4 m</t>
  </si>
  <si>
    <t>-1064889896</t>
  </si>
  <si>
    <t>Úpravy povrchů, podlahy a osazování výplní</t>
  </si>
  <si>
    <t>42</t>
  </si>
  <si>
    <t>612131121</t>
  </si>
  <si>
    <t>Penetrační disperzní nátěr vnitřních stěn nanášený ručně</t>
  </si>
  <si>
    <t>1596127012</t>
  </si>
  <si>
    <t>43</t>
  </si>
  <si>
    <t>612321141</t>
  </si>
  <si>
    <t>Vápenocementová omítka štuková dvouvrstvá vnitřních stěn nanášená ručně</t>
  </si>
  <si>
    <t>1790875096</t>
  </si>
  <si>
    <t>příčky</t>
  </si>
  <si>
    <t>44</t>
  </si>
  <si>
    <t>612321191</t>
  </si>
  <si>
    <t>Příplatek k vápenocementové omítce vnitřních stěn za každých dalších 5 mm tloušťky ručně</t>
  </si>
  <si>
    <t>-1680168944</t>
  </si>
  <si>
    <t>45</t>
  </si>
  <si>
    <t>622143003</t>
  </si>
  <si>
    <t>Montáž omítkových plastových nebo pozinkovaných rohových profilů s tkaninou</t>
  </si>
  <si>
    <t>112959271</t>
  </si>
  <si>
    <t>2*(2*1,8+2*2,2)</t>
  </si>
  <si>
    <t>4*1</t>
  </si>
  <si>
    <t>2*2,2+2*1,8</t>
  </si>
  <si>
    <t>4*1,8</t>
  </si>
  <si>
    <t>2*(4*1)</t>
  </si>
  <si>
    <t>6*(2*1,05+2*2,2)</t>
  </si>
  <si>
    <t>3*4*0,625</t>
  </si>
  <si>
    <t>3*(2*1,8+2*2,2)</t>
  </si>
  <si>
    <t>3*(4*1,25)</t>
  </si>
  <si>
    <t>(2*2,7+2*2)</t>
  </si>
  <si>
    <t>vnitřní</t>
  </si>
  <si>
    <t>10*2,71</t>
  </si>
  <si>
    <t>2*2+1</t>
  </si>
  <si>
    <t>46</t>
  </si>
  <si>
    <t>M</t>
  </si>
  <si>
    <t>590514800</t>
  </si>
  <si>
    <t>lišta rohová Al 10/10 cm s tkaninou bal. 2,5 m</t>
  </si>
  <si>
    <t>1172798717</t>
  </si>
  <si>
    <t>174,2*1,05 'Přepočtené koeficientem množství</t>
  </si>
  <si>
    <t>47</t>
  </si>
  <si>
    <t>622143004</t>
  </si>
  <si>
    <t>Montáž omítkových samolepících začišťovacích profilů pro spojení s okenním rámem</t>
  </si>
  <si>
    <t>1729070556</t>
  </si>
  <si>
    <t>Mezisoučet</t>
  </si>
  <si>
    <t>142,1</t>
  </si>
  <si>
    <t>48</t>
  </si>
  <si>
    <t>59051476</t>
  </si>
  <si>
    <t>profil okenní začišťovací se sklovláknitou armovací tkaninou 9 mm/2,4 m</t>
  </si>
  <si>
    <t>657600557</t>
  </si>
  <si>
    <t>284,2*1,15 'Přepočtené koeficientem množství</t>
  </si>
  <si>
    <t>49</t>
  </si>
  <si>
    <t>622211041</t>
  </si>
  <si>
    <t>Montáž kontaktního zateplení vnějších stěn z polystyrénových desek tl do 200 mm</t>
  </si>
  <si>
    <t>-334842875</t>
  </si>
  <si>
    <t>50</t>
  </si>
  <si>
    <t>28375954</t>
  </si>
  <si>
    <t>deska EPS 70 fasádní λ=0,039 tl 200mm</t>
  </si>
  <si>
    <t>-1570171948</t>
  </si>
  <si>
    <t>51</t>
  </si>
  <si>
    <t>28376399.ISV</t>
  </si>
  <si>
    <t>Isover EPS PERIMETR 200mm</t>
  </si>
  <si>
    <t>-1258758015</t>
  </si>
  <si>
    <t>52</t>
  </si>
  <si>
    <t>622251101</t>
  </si>
  <si>
    <t>Příplatek k cenám kontaktního zateplení stěn za použití tepelněizolačních zátek z polystyrenu</t>
  </si>
  <si>
    <t>-1295147072</t>
  </si>
  <si>
    <t>53</t>
  </si>
  <si>
    <t>622252002</t>
  </si>
  <si>
    <t>Montáž ostatních lišt kontaktního zateplení</t>
  </si>
  <si>
    <t>-836450221</t>
  </si>
  <si>
    <t>54</t>
  </si>
  <si>
    <t>59051486</t>
  </si>
  <si>
    <t>lišta rohová PVC 10/15cm s tkaninou</t>
  </si>
  <si>
    <t>-2112214356</t>
  </si>
  <si>
    <t>55</t>
  </si>
  <si>
    <t>59051492R</t>
  </si>
  <si>
    <t>lišta s okapničkou PVC UV 10/15, 2 m</t>
  </si>
  <si>
    <t>-569456720</t>
  </si>
  <si>
    <t>56</t>
  </si>
  <si>
    <t>59051494R</t>
  </si>
  <si>
    <t>lišta parapetní</t>
  </si>
  <si>
    <t>-1189819944</t>
  </si>
  <si>
    <t>57</t>
  </si>
  <si>
    <t>622381051R</t>
  </si>
  <si>
    <t>-1143773853</t>
  </si>
  <si>
    <t>P</t>
  </si>
  <si>
    <t>58</t>
  </si>
  <si>
    <t>622511111</t>
  </si>
  <si>
    <t>Tenkovrstvá akrylátová mozaiková střednězrnná omítka včetně penetrace vnějších stěn</t>
  </si>
  <si>
    <t>-923999719</t>
  </si>
  <si>
    <t>59</t>
  </si>
  <si>
    <t>629991011</t>
  </si>
  <si>
    <t>Zakrytí výplní otvorů a svislých ploch fólií přilepenou lepící páskou</t>
  </si>
  <si>
    <t>-360446940</t>
  </si>
  <si>
    <t>100</t>
  </si>
  <si>
    <t>60</t>
  </si>
  <si>
    <t>632441216</t>
  </si>
  <si>
    <t>1436463300</t>
  </si>
  <si>
    <t>61</t>
  </si>
  <si>
    <t>633811111</t>
  </si>
  <si>
    <t>Broušení nerovností betonových podlah do 2 mm - stržení šlemu</t>
  </si>
  <si>
    <t>-353448722</t>
  </si>
  <si>
    <t xml:space="preserve">Poznámka k položce:
betonový podklad pro epoxidový nátěr SIKAFLOOR musí být mechanicky upraven </t>
  </si>
  <si>
    <t>62</t>
  </si>
  <si>
    <t>634111113</t>
  </si>
  <si>
    <t>Obvodová dilatace pružnou těsnicí páskou v 80 mm mezi stěnou a mazaninou</t>
  </si>
  <si>
    <t>48236262</t>
  </si>
  <si>
    <t>6*9,1</t>
  </si>
  <si>
    <t>2*14</t>
  </si>
  <si>
    <t>9,1</t>
  </si>
  <si>
    <t>4*9,1</t>
  </si>
  <si>
    <t>2*4,5</t>
  </si>
  <si>
    <t>2*9,5</t>
  </si>
  <si>
    <t>2*(3*4,5+3*3,475)</t>
  </si>
  <si>
    <t>2*(3*4,5+2*2,125+5,85)</t>
  </si>
  <si>
    <t>2*0,625</t>
  </si>
  <si>
    <t>63</t>
  </si>
  <si>
    <t>642942611</t>
  </si>
  <si>
    <t>Osazování zárubní nebo rámů dveřních kovových do 2,5 m2 na montážní pěnu</t>
  </si>
  <si>
    <t>-815421080</t>
  </si>
  <si>
    <t>64</t>
  </si>
  <si>
    <t>642-01</t>
  </si>
  <si>
    <t>ocelová zárubeň dveří</t>
  </si>
  <si>
    <t>824460371</t>
  </si>
  <si>
    <t>Ostatní konstrukce a práce, bourání</t>
  </si>
  <si>
    <t>65</t>
  </si>
  <si>
    <t>941221112</t>
  </si>
  <si>
    <t>Montáž lešení řadového rámového těžkého zatížení do 300 kg/m2 š do 1,2 m v do 25 m</t>
  </si>
  <si>
    <t>-829611119</t>
  </si>
  <si>
    <t>Poznámka k položce:
návrh a kalkulaci lešení si navrhne zhotovitel na základě vlastní technologie</t>
  </si>
  <si>
    <t>66</t>
  </si>
  <si>
    <t>941221211</t>
  </si>
  <si>
    <t>Příplatek k lešení řadovému rámovému těžkému š 1,2 m v do 25 m za první a ZKD den použití</t>
  </si>
  <si>
    <t>-1249294066</t>
  </si>
  <si>
    <t>Poznámka k položce:
dobu potřebnou pro lešení si zhotovitel navrhne na základě vlastního předpokladu a cenu zakalkuluje do položky příplatku bez ohledu na množství zde uvedené</t>
  </si>
  <si>
    <t>67</t>
  </si>
  <si>
    <t>941221812</t>
  </si>
  <si>
    <t>Demontáž lešení řadového rámového těžkého zatížení do 300 kg/m2 š do 1,2 m v do 25 m</t>
  </si>
  <si>
    <t>-1119658684</t>
  </si>
  <si>
    <t>68</t>
  </si>
  <si>
    <t>944511111</t>
  </si>
  <si>
    <t>Montáž ochranné sítě z textilie z umělých vláken</t>
  </si>
  <si>
    <t>-867793169</t>
  </si>
  <si>
    <t>69</t>
  </si>
  <si>
    <t>944511211</t>
  </si>
  <si>
    <t>Příplatek k ochranné síti za první a ZKD den použití</t>
  </si>
  <si>
    <t>147963147</t>
  </si>
  <si>
    <t>Poznámka k položce:
dobu potřebnou proochrannou síť si zhotovitel navrhne na základě vlastního předpokladu a cenu zakalkuluje do položky příplatku bez ohledu na množství zde uvedené</t>
  </si>
  <si>
    <t>70</t>
  </si>
  <si>
    <t>944511811</t>
  </si>
  <si>
    <t>Demontáž ochranné sítě z textilie z umělých vláken</t>
  </si>
  <si>
    <t>-1374036790</t>
  </si>
  <si>
    <t>71</t>
  </si>
  <si>
    <t>949101111</t>
  </si>
  <si>
    <t>Lešení pomocné pro objekty pozemních staveb s lešeňovou podlahou v do 1,9 m zatížení do 150 kg/m2</t>
  </si>
  <si>
    <t>1352622156</t>
  </si>
  <si>
    <t>72</t>
  </si>
  <si>
    <t>952901111</t>
  </si>
  <si>
    <t>Vyčištění budov bytové a občanské výstavby při výšce podlaží do 4 m</t>
  </si>
  <si>
    <t>1714849161</t>
  </si>
  <si>
    <t>998</t>
  </si>
  <si>
    <t>Přesun hmot</t>
  </si>
  <si>
    <t>73</t>
  </si>
  <si>
    <t>998011002</t>
  </si>
  <si>
    <t>Přesun hmot pro budovy zděné v do 12 m</t>
  </si>
  <si>
    <t>-775180925</t>
  </si>
  <si>
    <t>PSV</t>
  </si>
  <si>
    <t>Práce a dodávky PSV</t>
  </si>
  <si>
    <t>711</t>
  </si>
  <si>
    <t>Izolace proti vodě, vlhkosti a plynům</t>
  </si>
  <si>
    <t>74</t>
  </si>
  <si>
    <t>711111001</t>
  </si>
  <si>
    <t>Provedení izolace proti zemní vlhkosti vodorovné za studena nátěrem penetračním</t>
  </si>
  <si>
    <t>590584013</t>
  </si>
  <si>
    <t>75</t>
  </si>
  <si>
    <t>111631500</t>
  </si>
  <si>
    <t>lak asfaltový ALP/9 (MJ t) bal 9 kg</t>
  </si>
  <si>
    <t>-461047117</t>
  </si>
  <si>
    <t>Poznámka k položce:
Spotřeba 0,3-0,4kg/m2 dle povrchu, ředidlo technický benzín</t>
  </si>
  <si>
    <t>76</t>
  </si>
  <si>
    <t>711112001</t>
  </si>
  <si>
    <t>Provedení izolace proti zemní vlhkosti svislé za studena nátěrem penetračním</t>
  </si>
  <si>
    <t>-172233632</t>
  </si>
  <si>
    <t>77</t>
  </si>
  <si>
    <t>222237758</t>
  </si>
  <si>
    <t>78</t>
  </si>
  <si>
    <t>711113119</t>
  </si>
  <si>
    <t>Izolace proti zemní vlhkosti vodorovná za studena těsnicí stěrkou</t>
  </si>
  <si>
    <t>-543052781</t>
  </si>
  <si>
    <t>Poznámka k položce:
těsnící stěrka koupelen a vlhkých prostor</t>
  </si>
  <si>
    <t>3*2,275*2,75</t>
  </si>
  <si>
    <t>79</t>
  </si>
  <si>
    <t>711113129</t>
  </si>
  <si>
    <t>Izolace proti zemní vlhkosti svislá za studena těsnicí stěrkou</t>
  </si>
  <si>
    <t>-1417579536</t>
  </si>
  <si>
    <t>(3*(2*2,275+2*2,75))*0,15</t>
  </si>
  <si>
    <t>(3*2)*0,15</t>
  </si>
  <si>
    <t>3*2*1*2</t>
  </si>
  <si>
    <t>80</t>
  </si>
  <si>
    <t>711141559</t>
  </si>
  <si>
    <t>Provedení izolace proti zemní vlhkosti pásy přitavením vodorovné NAIP</t>
  </si>
  <si>
    <t>-263443512</t>
  </si>
  <si>
    <t>základová izolace 2 vrstvy</t>
  </si>
  <si>
    <t>2*14,5*9,6</t>
  </si>
  <si>
    <t>81</t>
  </si>
  <si>
    <t>6283315-1</t>
  </si>
  <si>
    <t>pás těžký asfaltovaný GLASTEK 40 SPECIAL MINERAL</t>
  </si>
  <si>
    <t>-473844352</t>
  </si>
  <si>
    <t>278,4*1,15 'Přepočtené koeficientem množství</t>
  </si>
  <si>
    <t>82</t>
  </si>
  <si>
    <t>711142559</t>
  </si>
  <si>
    <t>Provedení izolace proti zemní vlhkosti pásy přitavením svislé NAIP</t>
  </si>
  <si>
    <t>-641775090</t>
  </si>
  <si>
    <t>83</t>
  </si>
  <si>
    <t>-253944967</t>
  </si>
  <si>
    <t>84</t>
  </si>
  <si>
    <t>711161115</t>
  </si>
  <si>
    <t>Izolace proti zemní vlhkosti nopovou fólií vodorovná, nopek v 20,0 mm, tl do 1,0 mm</t>
  </si>
  <si>
    <t>1406509708</t>
  </si>
  <si>
    <t>85</t>
  </si>
  <si>
    <t>711199101</t>
  </si>
  <si>
    <t>Provedení těsnícího pásu do spoje dilatační nebo styčné spáry podlaha - stěna</t>
  </si>
  <si>
    <t>-1382137127</t>
  </si>
  <si>
    <t>3*(2*2,275+2*2,75)</t>
  </si>
  <si>
    <t>3*2</t>
  </si>
  <si>
    <t>2*3*0,15</t>
  </si>
  <si>
    <t>86</t>
  </si>
  <si>
    <t>28355022</t>
  </si>
  <si>
    <t>páska pružná těsnící š 120mm</t>
  </si>
  <si>
    <t>1876221092</t>
  </si>
  <si>
    <t>87</t>
  </si>
  <si>
    <t>998711201</t>
  </si>
  <si>
    <t>Přesun hmot procentní pro izolace proti vodě, vlhkosti a plynům v objektech v do 6 m</t>
  </si>
  <si>
    <t>%</t>
  </si>
  <si>
    <t>-738540325</t>
  </si>
  <si>
    <t>712</t>
  </si>
  <si>
    <t>Povlakové krytiny</t>
  </si>
  <si>
    <t>88</t>
  </si>
  <si>
    <t>712311101</t>
  </si>
  <si>
    <t>Provedení povlakové krytiny střech do 10° za studena lakem penetračním nebo asfaltovým</t>
  </si>
  <si>
    <t>-1084022913</t>
  </si>
  <si>
    <t>89</t>
  </si>
  <si>
    <t>11163150</t>
  </si>
  <si>
    <t>lak asfaltový penetrační</t>
  </si>
  <si>
    <t>-1042582808</t>
  </si>
  <si>
    <t>Poznámka k položce:
standard DEKPRIMER</t>
  </si>
  <si>
    <t>90</t>
  </si>
  <si>
    <t>712341559</t>
  </si>
  <si>
    <t>Provedení povlakové krytiny střech do 10° pásy NAIP přitavením v plné ploše</t>
  </si>
  <si>
    <t>-1989613142</t>
  </si>
  <si>
    <t>91</t>
  </si>
  <si>
    <t>62852257</t>
  </si>
  <si>
    <t>pásy s modifikovaným asfaltem tl. 5,0 mm</t>
  </si>
  <si>
    <t>1786773591</t>
  </si>
  <si>
    <t>Poznámka k položce:
standard GLASTEK 40 SPECIAL MINERAL</t>
  </si>
  <si>
    <t>92</t>
  </si>
  <si>
    <t>712363-K</t>
  </si>
  <si>
    <t>Provedení povlakové krytiny střech do 10° termoplastickou fólií PVC s příslušenstvím a spoji</t>
  </si>
  <si>
    <t>-1678919302</t>
  </si>
  <si>
    <t>Poznámka k položce:
Součástí dodávky střešního pláště bude dodávka prvků z plechu potaženého fólií, potřebných pro montáž (rohové lišty, ukončující lišty…) + lemování a manžety všech prostupujících konstrukcí střešním pláštěm včetně utěsnění a zatmelení.</t>
  </si>
  <si>
    <t>93</t>
  </si>
  <si>
    <t>2832200</t>
  </si>
  <si>
    <t>hydroizolační fólie z mPVC s PES výztužnou vložkou, mechanicky kotvená, bílá - s odrazivým povrchem</t>
  </si>
  <si>
    <t>-100865358</t>
  </si>
  <si>
    <t>94</t>
  </si>
  <si>
    <t>712363R01</t>
  </si>
  <si>
    <t>Provedení prokotvení na konstrukci, pospojování provedení napojení, prostupů, soklů, systémového oplechování apod.</t>
  </si>
  <si>
    <t>1822004374</t>
  </si>
  <si>
    <t>Poznámka k položce:
včetně dodávky materiálu</t>
  </si>
  <si>
    <t>95</t>
  </si>
  <si>
    <t>712391171</t>
  </si>
  <si>
    <t>Provedení povlakové krytiny střech do 10° podkladní textilní vrstvy</t>
  </si>
  <si>
    <t>-731468630</t>
  </si>
  <si>
    <t>96</t>
  </si>
  <si>
    <t>69311068</t>
  </si>
  <si>
    <t>geotextilie netkaná PP 300g/m2</t>
  </si>
  <si>
    <t>555098334</t>
  </si>
  <si>
    <t>97</t>
  </si>
  <si>
    <t>712771101</t>
  </si>
  <si>
    <t>Provedení ochranné vrstvy z textilií nebo rohoží volně s přesahem vegetační střechy sklon do 5°</t>
  </si>
  <si>
    <t>967274630</t>
  </si>
  <si>
    <t>4,1*9</t>
  </si>
  <si>
    <t>98</t>
  </si>
  <si>
    <t>69334100</t>
  </si>
  <si>
    <t>rohož ochranná vegetačních střech 600 g/m2, tl 4 mm, PP/PES</t>
  </si>
  <si>
    <t>1903853746</t>
  </si>
  <si>
    <t>99</t>
  </si>
  <si>
    <t>712771201</t>
  </si>
  <si>
    <t>Provedení drenážní vrstvy vegetační střechy z kameniva tloušťky do 100 mm sklon do 5°</t>
  </si>
  <si>
    <t>-1465147076</t>
  </si>
  <si>
    <t>58333625</t>
  </si>
  <si>
    <t>kamenivo těžené hrubé prané frakce 4-8</t>
  </si>
  <si>
    <t>1010287082</t>
  </si>
  <si>
    <t>101</t>
  </si>
  <si>
    <t>712771271</t>
  </si>
  <si>
    <t>Provedení filtrační vrstvy vegetační střechy z textilií sklon do 5°</t>
  </si>
  <si>
    <t>1974296470</t>
  </si>
  <si>
    <t>102</t>
  </si>
  <si>
    <t>69334310</t>
  </si>
  <si>
    <t>geotextilie filtrační vegetačních střech 105 g/m2, tl 1,1 mm, PP</t>
  </si>
  <si>
    <t>968247312</t>
  </si>
  <si>
    <t>36,9*1,1 'Přepočtené koeficientem množství</t>
  </si>
  <si>
    <t>103</t>
  </si>
  <si>
    <t>712771401</t>
  </si>
  <si>
    <t>Provedení vegetační vrstvy ze substrátu tloušťky do 100 mm vegetační střechy sklon do 5°</t>
  </si>
  <si>
    <t>2010357340</t>
  </si>
  <si>
    <t>104</t>
  </si>
  <si>
    <t>10321225</t>
  </si>
  <si>
    <t>substrát vegetačních střech extenzivní s nízkým obsahem organické složky</t>
  </si>
  <si>
    <t>-1091989347</t>
  </si>
  <si>
    <t>36,9*0,2</t>
  </si>
  <si>
    <t>105</t>
  </si>
  <si>
    <t>998712202</t>
  </si>
  <si>
    <t>Přesun hmot procentní pro krytiny povlakové v objektech v do 12 m</t>
  </si>
  <si>
    <t>-1344069834</t>
  </si>
  <si>
    <t>713</t>
  </si>
  <si>
    <t>Izolace tepelné</t>
  </si>
  <si>
    <t>106</t>
  </si>
  <si>
    <t>713121111</t>
  </si>
  <si>
    <t>Montáž izolace tepelné podlah volně kladenými rohožemi, pásy, dílci, deskami 1 vrstva</t>
  </si>
  <si>
    <t>869189781</t>
  </si>
  <si>
    <t>107</t>
  </si>
  <si>
    <t>63166811</t>
  </si>
  <si>
    <t>1106885875</t>
  </si>
  <si>
    <t>108</t>
  </si>
  <si>
    <t>713121121</t>
  </si>
  <si>
    <t>Montáž izolace tepelné podlah volně kladenými rohožemi, pásy, dílci, deskami 2 vrstvy</t>
  </si>
  <si>
    <t>-519001167</t>
  </si>
  <si>
    <t>109</t>
  </si>
  <si>
    <t>28375914</t>
  </si>
  <si>
    <t>-538790044</t>
  </si>
  <si>
    <t>110</t>
  </si>
  <si>
    <t>713131151</t>
  </si>
  <si>
    <t>Montáž izolace tepelné stěn a základů volně vloženými rohožemi, pásy, dílci, deskami 1 vrstva</t>
  </si>
  <si>
    <t>626606627</t>
  </si>
  <si>
    <t>111</t>
  </si>
  <si>
    <t>620599504</t>
  </si>
  <si>
    <t>112</t>
  </si>
  <si>
    <t>713141151</t>
  </si>
  <si>
    <t>Montáž izolace tepelné střech plochých kladené volně 1 vrstva rohoží, pásů, dílců, desek</t>
  </si>
  <si>
    <t>709489068</t>
  </si>
  <si>
    <t>113</t>
  </si>
  <si>
    <t>28372316</t>
  </si>
  <si>
    <t>-1361338230</t>
  </si>
  <si>
    <t>114</t>
  </si>
  <si>
    <t>713141311</t>
  </si>
  <si>
    <t>Montáž izolace tepelné střech plochých kladené volně, spádová vrstva</t>
  </si>
  <si>
    <t>1518016400</t>
  </si>
  <si>
    <t>115</t>
  </si>
  <si>
    <t>28376142</t>
  </si>
  <si>
    <t>klín izolační z pěnového polystyrenu EPS 150 spádový</t>
  </si>
  <si>
    <t>-1942877444</t>
  </si>
  <si>
    <t>116</t>
  </si>
  <si>
    <t>713151111</t>
  </si>
  <si>
    <t>Montáž izolace tepelné střech šikmých kladené volně mezi krokve rohoží, pásů, desek</t>
  </si>
  <si>
    <t>-2084362080</t>
  </si>
  <si>
    <t>117</t>
  </si>
  <si>
    <t>63150799.ISV</t>
  </si>
  <si>
    <t>Isover UNIROL PLUS 200mm, λD = 0,036 (W·m-1·K-1), šířka pásu 1200, kvalitní izolace ze skelných vláken vhodná mezi krokve.</t>
  </si>
  <si>
    <t>-19635047</t>
  </si>
  <si>
    <t>118</t>
  </si>
  <si>
    <t>713191133</t>
  </si>
  <si>
    <t>Montáž izolace tepelné podlah, stropů vrchem nebo střech překrytí fólií s přelepeným spojem</t>
  </si>
  <si>
    <t>1821813416</t>
  </si>
  <si>
    <t>Poznámka k položce:
vrstvy polystyrenu budou před betonáží přikryty polyetylenovou fólií min. tl. 0,1 mm volně položenou se slepenými přesahy 100mm, aby bylo zabráněno zatečení cementového mléka, respektive anhydritového potěru mezi polystyrenové desky</t>
  </si>
  <si>
    <t>119</t>
  </si>
  <si>
    <t>28323020</t>
  </si>
  <si>
    <t>fólie separační PE 2 x 50 m</t>
  </si>
  <si>
    <t>1420595295</t>
  </si>
  <si>
    <t>120</t>
  </si>
  <si>
    <t>998713202</t>
  </si>
  <si>
    <t>Přesun hmot procentní pro izolace tepelné v objektech v do 12 m</t>
  </si>
  <si>
    <t>-1741737740</t>
  </si>
  <si>
    <t>762</t>
  </si>
  <si>
    <t>Konstrukce tesařské</t>
  </si>
  <si>
    <t>121</t>
  </si>
  <si>
    <t>762083121</t>
  </si>
  <si>
    <t>Impregnace řeziva proti dřevokaznému hmyzu, houbám a plísním máčením třída ohrožení 1 a 2</t>
  </si>
  <si>
    <t>1164857919</t>
  </si>
  <si>
    <t>122</t>
  </si>
  <si>
    <t>762332133</t>
  </si>
  <si>
    <t>Montáž vázaných kcí krovů pravidelných z hraněného řeziva průřezové plochy do 288 cm2</t>
  </si>
  <si>
    <t>1548382537</t>
  </si>
  <si>
    <t>123</t>
  </si>
  <si>
    <t>60511166</t>
  </si>
  <si>
    <t>1889121545</t>
  </si>
  <si>
    <t>124</t>
  </si>
  <si>
    <t>762341046</t>
  </si>
  <si>
    <t>-260602071</t>
  </si>
  <si>
    <t>atika</t>
  </si>
  <si>
    <t>125</t>
  </si>
  <si>
    <t>762342214</t>
  </si>
  <si>
    <t>Montáž laťování na střechách jednoduchých sklonu do 60° osové vzdálenosti do 360 mm</t>
  </si>
  <si>
    <t>263888535</t>
  </si>
  <si>
    <t>126</t>
  </si>
  <si>
    <t>60514114</t>
  </si>
  <si>
    <t>řezivo jehličnaté latě střešní impregnované dl 4 m</t>
  </si>
  <si>
    <t>566614286</t>
  </si>
  <si>
    <t>127</t>
  </si>
  <si>
    <t>762342441</t>
  </si>
  <si>
    <t>Montáž lišt trojúhelníkových nebo kontralatí na střechách sklonu do 60°</t>
  </si>
  <si>
    <t>1003149132</t>
  </si>
  <si>
    <t>128</t>
  </si>
  <si>
    <t>-384199600</t>
  </si>
  <si>
    <t>170,1*0,06*0,04</t>
  </si>
  <si>
    <t>0,408*1,15 'Přepočtené koeficientem množství</t>
  </si>
  <si>
    <t>129</t>
  </si>
  <si>
    <t>762395000</t>
  </si>
  <si>
    <t>Spojovací prostředky pro montáž krovu, bednění, laťování, světlíky, klíny</t>
  </si>
  <si>
    <t>-35258476</t>
  </si>
  <si>
    <t>130</t>
  </si>
  <si>
    <t>762951002</t>
  </si>
  <si>
    <t>Montáž podkladního roštu terasy z plných profilů osové vzdálenosti podpěr přes 300 do 420 mm</t>
  </si>
  <si>
    <t>-372769023</t>
  </si>
  <si>
    <t>131</t>
  </si>
  <si>
    <t>61198142</t>
  </si>
  <si>
    <t>-1388814368</t>
  </si>
  <si>
    <t>132</t>
  </si>
  <si>
    <t>762951102</t>
  </si>
  <si>
    <t>Příplatek k montáži podkladního roštu za výškové vyrovnání roštu terči do 105 mm</t>
  </si>
  <si>
    <t>-808714109</t>
  </si>
  <si>
    <t>133</t>
  </si>
  <si>
    <t>762952024</t>
  </si>
  <si>
    <t>Montáž teras z prken přes 135 mm z dřevin tvrdých skrytým spojem broušených bez povrchové úpravy</t>
  </si>
  <si>
    <t>1440140609</t>
  </si>
  <si>
    <t>134</t>
  </si>
  <si>
    <t>61198127</t>
  </si>
  <si>
    <t>terasový profil MODŘÍN 34x145</t>
  </si>
  <si>
    <t>1258099651</t>
  </si>
  <si>
    <t>135</t>
  </si>
  <si>
    <t>762953002</t>
  </si>
  <si>
    <t>Nátěr dřevěných teras olejový dvojnásobný s očištěním</t>
  </si>
  <si>
    <t>34369302</t>
  </si>
  <si>
    <t>136</t>
  </si>
  <si>
    <t>998762102</t>
  </si>
  <si>
    <t>Přesun hmot tonážní pro kce tesařské v objektech v do 12 m</t>
  </si>
  <si>
    <t>1374452574</t>
  </si>
  <si>
    <t>763</t>
  </si>
  <si>
    <t>Konstrukce suché výstavby</t>
  </si>
  <si>
    <t>137</t>
  </si>
  <si>
    <t>763131411</t>
  </si>
  <si>
    <t>SDK podhled desky 1xA 12,5 bez TI dvouvrstvá spodní kce profil CD+UD</t>
  </si>
  <si>
    <t>1839375669</t>
  </si>
  <si>
    <t>138</t>
  </si>
  <si>
    <t>763131451</t>
  </si>
  <si>
    <t>SDK podhled deska 1xH2 12,5 bez TI dvouvrstvá spodní kce profil CD+UD</t>
  </si>
  <si>
    <t>-150745769</t>
  </si>
  <si>
    <t>139</t>
  </si>
  <si>
    <t>763131714</t>
  </si>
  <si>
    <t>SDK podhled základní penetrační nátěr</t>
  </si>
  <si>
    <t>615167223</t>
  </si>
  <si>
    <t>140</t>
  </si>
  <si>
    <t>763131771</t>
  </si>
  <si>
    <t>Příplatek k SDK podhledu za rovinnost kvality Q3</t>
  </si>
  <si>
    <t>-426888656</t>
  </si>
  <si>
    <t>141</t>
  </si>
  <si>
    <t>998763402</t>
  </si>
  <si>
    <t>Přesun hmot procentní pro sádrokartonové konstrukce v objektech v do 12 m</t>
  </si>
  <si>
    <t>-338810303</t>
  </si>
  <si>
    <t>764</t>
  </si>
  <si>
    <t>Konstrukce klempířské</t>
  </si>
  <si>
    <t>142</t>
  </si>
  <si>
    <t>764141403</t>
  </si>
  <si>
    <t>-1181580016</t>
  </si>
  <si>
    <t>143</t>
  </si>
  <si>
    <t>764214607</t>
  </si>
  <si>
    <t>Oplechování horních ploch a atik bez rohů z Pz s povrch úpravou mechanicky kotvené rš 670 mm</t>
  </si>
  <si>
    <t>1406704610</t>
  </si>
  <si>
    <t>2*4,1</t>
  </si>
  <si>
    <t>144</t>
  </si>
  <si>
    <t>764216603</t>
  </si>
  <si>
    <t>Oplechování rovných parapetů mechanicky kotvené z Pz s povrchovou úpravou rš 250 mm</t>
  </si>
  <si>
    <t>-1759945673</t>
  </si>
  <si>
    <t>145</t>
  </si>
  <si>
    <t>764242404</t>
  </si>
  <si>
    <t>1658388519</t>
  </si>
  <si>
    <t>146</t>
  </si>
  <si>
    <t>998764202</t>
  </si>
  <si>
    <t>Přesun hmot procentní pro konstrukce klempířské v objektech v do 12 m</t>
  </si>
  <si>
    <t>-724774897</t>
  </si>
  <si>
    <t>765</t>
  </si>
  <si>
    <t>Krytina skládaná</t>
  </si>
  <si>
    <t>147</t>
  </si>
  <si>
    <t>765191021</t>
  </si>
  <si>
    <t>Montáž pojistné hydroizolační fólie kladené ve sklonu přes 20° s lepenými spoji na krokve</t>
  </si>
  <si>
    <t>-1030728468</t>
  </si>
  <si>
    <t>148</t>
  </si>
  <si>
    <t>28329295</t>
  </si>
  <si>
    <t>membrána podstřešní (reakce na oheň - třída E) 150 g/m2 s aplikovanou spojovací páskou</t>
  </si>
  <si>
    <t>-802167469</t>
  </si>
  <si>
    <t>149</t>
  </si>
  <si>
    <t>998765202</t>
  </si>
  <si>
    <t>Přesun hmot procentní pro krytiny skládané v objektech v do 12 m</t>
  </si>
  <si>
    <t>2022497469</t>
  </si>
  <si>
    <t>766</t>
  </si>
  <si>
    <t>Konstrukce truhlářské</t>
  </si>
  <si>
    <t>150</t>
  </si>
  <si>
    <t>766660001</t>
  </si>
  <si>
    <t>Montáž dveřních křídel otvíravých 1křídlových š do 0,8 m do ocelové zárubně</t>
  </si>
  <si>
    <t>477878010</t>
  </si>
  <si>
    <t>151</t>
  </si>
  <si>
    <t>766-01</t>
  </si>
  <si>
    <t>dveře interiérové vč. kování a zámků s pevnym dílem</t>
  </si>
  <si>
    <t>-2057990241</t>
  </si>
  <si>
    <t>152</t>
  </si>
  <si>
    <t>766-03</t>
  </si>
  <si>
    <t>dveře interiérové vč. kování a zámků</t>
  </si>
  <si>
    <t>-590035065</t>
  </si>
  <si>
    <t>153</t>
  </si>
  <si>
    <t>766694113R</t>
  </si>
  <si>
    <t xml:space="preserve">Montáž parapetních desek dřevěných nebo plastových </t>
  </si>
  <si>
    <t>1027519503</t>
  </si>
  <si>
    <t>154</t>
  </si>
  <si>
    <t>60794101</t>
  </si>
  <si>
    <t>742105229</t>
  </si>
  <si>
    <t>155</t>
  </si>
  <si>
    <t>998766202</t>
  </si>
  <si>
    <t>Přesun hmot procentní pro konstrukce truhlářské v objektech v do 12 m</t>
  </si>
  <si>
    <t>-170753464</t>
  </si>
  <si>
    <t>767</t>
  </si>
  <si>
    <t>Konstrukce zámečnické</t>
  </si>
  <si>
    <t>156</t>
  </si>
  <si>
    <t>767-001</t>
  </si>
  <si>
    <t>soubor</t>
  </si>
  <si>
    <t>1638482667</t>
  </si>
  <si>
    <t>157</t>
  </si>
  <si>
    <t>767-002</t>
  </si>
  <si>
    <t>Zábradlí balonu a pavlače</t>
  </si>
  <si>
    <t>-2080002683</t>
  </si>
  <si>
    <t>158</t>
  </si>
  <si>
    <t>767620127</t>
  </si>
  <si>
    <t>879728228</t>
  </si>
  <si>
    <t>159</t>
  </si>
  <si>
    <t>61140027</t>
  </si>
  <si>
    <t>okenní a dveřní výplně fasády</t>
  </si>
  <si>
    <t>-727768799</t>
  </si>
  <si>
    <t>160</t>
  </si>
  <si>
    <t>767640111</t>
  </si>
  <si>
    <t>-635682146</t>
  </si>
  <si>
    <t>161</t>
  </si>
  <si>
    <t>553411RX</t>
  </si>
  <si>
    <t>1187281845</t>
  </si>
  <si>
    <t>162</t>
  </si>
  <si>
    <t>998767202</t>
  </si>
  <si>
    <t>Přesun hmot procentní pro zámečnické konstrukce v objektech v do 12 m</t>
  </si>
  <si>
    <t>721924025</t>
  </si>
  <si>
    <t>771</t>
  </si>
  <si>
    <t>Podlahy z dlaždic</t>
  </si>
  <si>
    <t>163</t>
  </si>
  <si>
    <t>771474112</t>
  </si>
  <si>
    <t>Montáž soklíků z dlaždic keramických rovných flexibilní lepidlo v do 90 mm</t>
  </si>
  <si>
    <t>-707367571</t>
  </si>
  <si>
    <t>164</t>
  </si>
  <si>
    <t>59761008</t>
  </si>
  <si>
    <t>dlaždice keramické podlahové (barevné) přes 2 do 4 ks/m2</t>
  </si>
  <si>
    <t>881981594</t>
  </si>
  <si>
    <t>165</t>
  </si>
  <si>
    <t>771574153</t>
  </si>
  <si>
    <t>Montáž podlah keramických velkoformátových lepených rozlivovým lepidlem přes 2 do 4 ks/ m2</t>
  </si>
  <si>
    <t>1076476384</t>
  </si>
  <si>
    <t>166</t>
  </si>
  <si>
    <t>820706884</t>
  </si>
  <si>
    <t>167</t>
  </si>
  <si>
    <t>771591111</t>
  </si>
  <si>
    <t>Podlahy penetrace podkladu</t>
  </si>
  <si>
    <t>-1996674827</t>
  </si>
  <si>
    <t>168</t>
  </si>
  <si>
    <t>771591115</t>
  </si>
  <si>
    <t>Podlahy spárování silikonem</t>
  </si>
  <si>
    <t>297046392</t>
  </si>
  <si>
    <t>169</t>
  </si>
  <si>
    <t>771591171</t>
  </si>
  <si>
    <t>Montáž profilu ukončujícího pro plynulý přechod (dlažby s kobercem apod.)</t>
  </si>
  <si>
    <t>46426167</t>
  </si>
  <si>
    <t>170</t>
  </si>
  <si>
    <t>590541R1</t>
  </si>
  <si>
    <t>559661816</t>
  </si>
  <si>
    <t>171</t>
  </si>
  <si>
    <t>771591185R</t>
  </si>
  <si>
    <t>Podlahy řezání keramických dlaždic rovné</t>
  </si>
  <si>
    <t>998206809</t>
  </si>
  <si>
    <t>172</t>
  </si>
  <si>
    <t>998771202</t>
  </si>
  <si>
    <t>Přesun hmot procentní pro podlahy z dlaždic v objektech v do 12 m</t>
  </si>
  <si>
    <t>-664164822</t>
  </si>
  <si>
    <t>775</t>
  </si>
  <si>
    <t>Podlahy skládané</t>
  </si>
  <si>
    <t>173</t>
  </si>
  <si>
    <t>775141111</t>
  </si>
  <si>
    <t>Vyrovnání podkladu povlakových podlah stěrkou pevnosti 20 MPa tl 3 mm</t>
  </si>
  <si>
    <t>-1869281586</t>
  </si>
  <si>
    <t>174</t>
  </si>
  <si>
    <t>775413190</t>
  </si>
  <si>
    <t>Montáž podlahové lišty ze dřeva tvrdého nebo měkkého připevněné  s přetmelením</t>
  </si>
  <si>
    <t>9450580</t>
  </si>
  <si>
    <t>175</t>
  </si>
  <si>
    <t>614181510</t>
  </si>
  <si>
    <t>lišta dřevěná k dubové k dubové podlaze</t>
  </si>
  <si>
    <t>674980519</t>
  </si>
  <si>
    <t>176</t>
  </si>
  <si>
    <t>7755262R</t>
  </si>
  <si>
    <t>Montáž podlah z průmyslové dřevěné mozaiky lepené/ nebo podlah laminátových</t>
  </si>
  <si>
    <t>569365512</t>
  </si>
  <si>
    <t>177</t>
  </si>
  <si>
    <t>6119511</t>
  </si>
  <si>
    <t>dřevěná podlaha</t>
  </si>
  <si>
    <t>-1361750587</t>
  </si>
  <si>
    <t>178</t>
  </si>
  <si>
    <t>775548R1</t>
  </si>
  <si>
    <t>Korkový pásek podlah</t>
  </si>
  <si>
    <t>790591338</t>
  </si>
  <si>
    <t>179</t>
  </si>
  <si>
    <t>7755913-1</t>
  </si>
  <si>
    <t>Povrchová úprava dřevěných podlah</t>
  </si>
  <si>
    <t>1725804305</t>
  </si>
  <si>
    <t>180</t>
  </si>
  <si>
    <t>998775202</t>
  </si>
  <si>
    <t>Přesun hmot procentní pro podlahy dřevěné v objektech v do 12 m</t>
  </si>
  <si>
    <t>479841477</t>
  </si>
  <si>
    <t>781</t>
  </si>
  <si>
    <t>Dokončovací práce - obklady</t>
  </si>
  <si>
    <t>181</t>
  </si>
  <si>
    <t>781474153</t>
  </si>
  <si>
    <t>Montáž obkladů vnitřních keramických velkoformátových do 4 ks/m2 lepených flexibilním lepidlem</t>
  </si>
  <si>
    <t>2032894927</t>
  </si>
  <si>
    <t>182</t>
  </si>
  <si>
    <t>59761026.ci</t>
  </si>
  <si>
    <t>Obklad stěn</t>
  </si>
  <si>
    <t>-1176680809</t>
  </si>
  <si>
    <t>183</t>
  </si>
  <si>
    <t>781495111</t>
  </si>
  <si>
    <t>Penetrace podkladu vnitřních obkladů</t>
  </si>
  <si>
    <t>-1090395055</t>
  </si>
  <si>
    <t>184</t>
  </si>
  <si>
    <t>781495185R</t>
  </si>
  <si>
    <t>Řezání rovné keramických obkládaček</t>
  </si>
  <si>
    <t>-184017376</t>
  </si>
  <si>
    <t>185</t>
  </si>
  <si>
    <t>781779196</t>
  </si>
  <si>
    <t>Příplatek k montáži obkladů vnějších z dlaždic keramických za spárování tmelem dvousložkovým</t>
  </si>
  <si>
    <t>-747653128</t>
  </si>
  <si>
    <t>186</t>
  </si>
  <si>
    <t>998781202</t>
  </si>
  <si>
    <t>Přesun hmot procentní pro obklady keramické v objektech v do 12 m</t>
  </si>
  <si>
    <t>-2138332991</t>
  </si>
  <si>
    <t>784</t>
  </si>
  <si>
    <t>Dokončovací práce - malby a tapety</t>
  </si>
  <si>
    <t>188</t>
  </si>
  <si>
    <t>784181101</t>
  </si>
  <si>
    <t>Základní akrylátová jednonásobná penetrace podkladu v místnostech výšky do 3,80m</t>
  </si>
  <si>
    <t>-867365816</t>
  </si>
  <si>
    <t>189</t>
  </si>
  <si>
    <t>784221101</t>
  </si>
  <si>
    <t>Dvojnásobné bílé malby  ze směsí za sucha dobře otěruvzdorných v místnostech do 3,80 m</t>
  </si>
  <si>
    <t>-1247906573</t>
  </si>
  <si>
    <t>N00</t>
  </si>
  <si>
    <t>Vnitřní TZB - jinde položkově nespecifikované</t>
  </si>
  <si>
    <t>190</t>
  </si>
  <si>
    <t>OST-01</t>
  </si>
  <si>
    <t>Zdravotně technické instalace</t>
  </si>
  <si>
    <t>512</t>
  </si>
  <si>
    <t>-2077278500</t>
  </si>
  <si>
    <t>191</t>
  </si>
  <si>
    <t>OST-02</t>
  </si>
  <si>
    <t>856206153</t>
  </si>
  <si>
    <t>192</t>
  </si>
  <si>
    <t>OST-03</t>
  </si>
  <si>
    <t>-2096562328</t>
  </si>
  <si>
    <t>193</t>
  </si>
  <si>
    <t>OST-04</t>
  </si>
  <si>
    <t>-381789377</t>
  </si>
  <si>
    <t>VRN</t>
  </si>
  <si>
    <t>Vedlejší rozpočtové náklady</t>
  </si>
  <si>
    <t>195</t>
  </si>
  <si>
    <t>030001000</t>
  </si>
  <si>
    <t>Zařízení staveniště, údržba a likvidace</t>
  </si>
  <si>
    <t>331132269</t>
  </si>
  <si>
    <t>196</t>
  </si>
  <si>
    <t>030002000</t>
  </si>
  <si>
    <t>Ostatní režijní náklady</t>
  </si>
  <si>
    <t>-2050136048</t>
  </si>
  <si>
    <t>Poznámka k položce:
veškeré ostatní režijní náklady k provedení stavby krom zařízení staveniště</t>
  </si>
  <si>
    <t>R</t>
  </si>
  <si>
    <t>Rezerva</t>
  </si>
  <si>
    <t>197</t>
  </si>
  <si>
    <t>Rezerva na PSV prvky, zpodrobnění dokumentace a detaily konstrukcí a skladeb 10 %</t>
  </si>
  <si>
    <t>1503885810</t>
  </si>
  <si>
    <t>Poznámka k položce:
- parapety 
- zábradlí schodišť
- hasící přístroje a polepy
- sokly podlah
- apod.</t>
  </si>
  <si>
    <t>Struktura údajů, formát souboru a metodika pro zpracování</t>
  </si>
  <si>
    <t>Struktura</t>
  </si>
  <si>
    <t>Soubor je složen ze záložky Rekapitulace stavby a záložek s názvem soupisu prací pro jednotlivé objekty ve formátu XLSX. Každá ze záložek přitom obsahuje</t>
  </si>
  <si>
    <t>ještě samostatné sestavy vymezené orámovaním a nadpisem sestavy.</t>
  </si>
  <si>
    <r>
      <rPr>
        <i/>
        <sz val="9"/>
        <rFont val="Trebuchet MS"/>
        <family val="2"/>
        <charset val="238"/>
      </rPr>
      <t xml:space="preserve">Rekapitulace stavby </t>
    </r>
    <r>
      <rPr>
        <sz val="9"/>
        <rFont val="Trebuchet MS"/>
        <family val="2"/>
        <charset val="238"/>
      </rPr>
      <t>obsahuje sestavu Rekapitulace stavby a Rekapitulace objektů stavby a soupisů prací.</t>
    </r>
  </si>
  <si>
    <r>
      <t xml:space="preserve">V sestavě </t>
    </r>
    <r>
      <rPr>
        <b/>
        <sz val="9"/>
        <rFont val="Trebuchet MS"/>
        <family val="2"/>
        <charset val="238"/>
      </rPr>
      <t>Rekapitulace stavby</t>
    </r>
    <r>
      <rPr>
        <sz val="9"/>
        <rFont val="Trebuchet MS"/>
        <family val="2"/>
        <charset val="238"/>
      </rPr>
      <t xml:space="preserve"> jsou uvedeny informace identifikující předmět veřejné zakázky na stavební práce, KSO, CC-CZ, CZ-CPV, CZ-CPA a rekapitulaci </t>
    </r>
  </si>
  <si>
    <t>celkové nabídkové ceny uchazeče.</t>
  </si>
  <si>
    <r>
      <t xml:space="preserve">V sestavě </t>
    </r>
    <r>
      <rPr>
        <b/>
        <sz val="9"/>
        <rFont val="Trebuchet MS"/>
        <family val="2"/>
        <charset val="238"/>
      </rPr>
      <t>Rekapitulace objektů stavby a soupisů prací</t>
    </r>
    <r>
      <rPr>
        <sz val="9"/>
        <rFont val="Trebuchet MS"/>
        <family val="2"/>
        <charset val="238"/>
      </rPr>
      <t xml:space="preserve"> je uvedena rekapitulace stavebních objektů, inženýrských objektů, provozních souborů,</t>
    </r>
  </si>
  <si>
    <t>vedlejších a ostatních nákladů a ostatních nákladů s rekapitulací nabídkové ceny za jednotlivé soupisy prací. Na základě údaje Typ je možné</t>
  </si>
  <si>
    <t>identifikovat, zda se jedná o objekt nebo soupis prací pro daný objekt:</t>
  </si>
  <si>
    <t>Stavební objekt pozemní</t>
  </si>
  <si>
    <t>ING</t>
  </si>
  <si>
    <t>Stavební objekt inženýrský</t>
  </si>
  <si>
    <t>PRO</t>
  </si>
  <si>
    <t>Provozní soubor</t>
  </si>
  <si>
    <t>VON</t>
  </si>
  <si>
    <t>Vedlejší a ostatní náklady</t>
  </si>
  <si>
    <t>OST</t>
  </si>
  <si>
    <t>Ostatní</t>
  </si>
  <si>
    <t>Soupis</t>
  </si>
  <si>
    <t>Soupis prací pro daný typ objektu</t>
  </si>
  <si>
    <r>
      <rPr>
        <i/>
        <sz val="9"/>
        <rFont val="Trebuchet MS"/>
        <family val="2"/>
        <charset val="238"/>
      </rPr>
      <t xml:space="preserve">Soupis prací </t>
    </r>
    <r>
      <rPr>
        <sz val="9"/>
        <rFont val="Trebuchet MS"/>
        <family val="2"/>
        <charset val="238"/>
      </rPr>
      <t>pro jednotlivé objekty obsahuje sestavy Krycí list soupisu, Rekapitulace členění soupisu prací, Soupis prací. Za soupis prací může být považován</t>
    </r>
  </si>
  <si>
    <t>i objekt stavby v případě, že neobsahuje podřízenou zakázku.</t>
  </si>
  <si>
    <r>
      <rPr>
        <b/>
        <sz val="9"/>
        <rFont val="Trebuchet MS"/>
        <family val="2"/>
        <charset val="238"/>
      </rPr>
      <t>Krycí list soupisu</t>
    </r>
    <r>
      <rPr>
        <sz val="9"/>
        <rFont val="Trebuchet MS"/>
        <family val="2"/>
        <charset val="238"/>
      </rPr>
      <t xml:space="preserve"> obsahuje rekapitulaci informací o předmětu veřejné zakázky ze sestavy Rekapitulace stavby, informaci o zařazení objektu do KSO, </t>
    </r>
  </si>
  <si>
    <t>CC-CZ, CZ-CPV, CZ-CPA a rekapitulaci celkové nabídkové ceny uchazeče za aktuální soupis prací.</t>
  </si>
  <si>
    <r>
      <rPr>
        <b/>
        <sz val="9"/>
        <rFont val="Trebuchet MS"/>
        <family val="2"/>
        <charset val="238"/>
      </rPr>
      <t>Rekapitulace členění soupisu prací</t>
    </r>
    <r>
      <rPr>
        <sz val="9"/>
        <rFont val="Trebuchet MS"/>
        <family val="2"/>
        <charset val="238"/>
      </rPr>
      <t xml:space="preserve"> obsahuje rekapitulaci soupisu prací ve všech úrovních členění soupisu tak, jak byla tato členění použita (např. </t>
    </r>
  </si>
  <si>
    <t>stavební díly, funkční díly, případně jiné členění) s rekapitulací nabídkové ceny.</t>
  </si>
  <si>
    <r>
      <rPr>
        <b/>
        <sz val="9"/>
        <rFont val="Trebuchet MS"/>
        <family val="2"/>
        <charset val="238"/>
      </rPr>
      <t xml:space="preserve">Soupis prací </t>
    </r>
    <r>
      <rPr>
        <sz val="9"/>
        <rFont val="Trebuchet MS"/>
        <family val="2"/>
        <charset val="238"/>
      </rPr>
      <t>obsahuje položky veškerých stavebních nebo montážních prací, dodávek materiálů a služeb nezbytných pro zhotovení stavebního objektu,</t>
    </r>
  </si>
  <si>
    <t>inženýrského objektu, provozního souboru, vedlejších a ostatních nákladů.</t>
  </si>
  <si>
    <t>Pro položky soupisu prací se zobrazují následující informace:</t>
  </si>
  <si>
    <t>Pořadové číslo položky v aktuálním soupisu</t>
  </si>
  <si>
    <t>TYP</t>
  </si>
  <si>
    <t>Typ položky: K - konstrukce, M - materiál, PP - plný popis, PSC - poznámka k souboru cen,  P - poznámka k položce, VV - výkaz výměr</t>
  </si>
  <si>
    <t>Kód položky</t>
  </si>
  <si>
    <t>Zkrácený popis položky</t>
  </si>
  <si>
    <t>Měrná jednotka položky</t>
  </si>
  <si>
    <t>Množství v měrné jednotce</t>
  </si>
  <si>
    <t>J.cena</t>
  </si>
  <si>
    <t xml:space="preserve">Jednotková cena položky. Zadaní může obsahovat namísto J.ceny sloupce J.materiál a J.montáž, jejichž součet definuje </t>
  </si>
  <si>
    <t>J.cenu položky.</t>
  </si>
  <si>
    <t xml:space="preserve">Cena celkem </t>
  </si>
  <si>
    <t>Celková cena položky daná jako součin množství a j.ceny</t>
  </si>
  <si>
    <t>Příslušnost položky do cenové soustavy</t>
  </si>
  <si>
    <t>Ke každé položce soupisu prací se na samostatných řádcích může zobrazovat:</t>
  </si>
  <si>
    <t>Plný popis položky</t>
  </si>
  <si>
    <t>Poznámka k souboru cen a poznámka zadavatele</t>
  </si>
  <si>
    <t>Výkaz výměr</t>
  </si>
  <si>
    <t>Pokud je k řádku výkazu výměr evidovaný údaj ve sloupci Kód, jedná se o definovaný odkaz, na který se může odvolávat výkaz výměr z jiné položky.</t>
  </si>
  <si>
    <t xml:space="preserve">Metodika pro zpracování </t>
  </si>
  <si>
    <t>Jednotlivé sestavy jsou v souboru provázány. Editovatelné pole jsou zvýrazněny žlutým podbarvením, ostatní pole neslouží k editaci a nesmí být jakkoliv</t>
  </si>
  <si>
    <t>modifikovány.</t>
  </si>
  <si>
    <t xml:space="preserve">Uchazeč je pro podání nabídky povinen vyplnit žlutě podbarvená pole: </t>
  </si>
  <si>
    <t xml:space="preserve">Pole Uchazeč v sestavě Rekapitulace stavby - zde uchazeč vyplní svůj název (název subjektu) </t>
  </si>
  <si>
    <t>Pole IČ a DIČ v sestavě Rekapitulace stavby - zde uchazeč vyplní svoje IČ a DIČ</t>
  </si>
  <si>
    <t>Datum v sestavě Rekapitulace stavby - zde uchazeč vyplní datum vytvoření nabídky</t>
  </si>
  <si>
    <t>J.cena = jednotková cena v sestavě Soupis prací o maximálním počtu desetinných míst uvedených v poli</t>
  </si>
  <si>
    <t>- pokud sestavy soupisů prací obsahují pole J.cena, musí být všechna tato pole vyplněna nenulovými kladnými číslicemi</t>
  </si>
  <si>
    <t>Poznámka - nepovinný údaj pro položku soupisu</t>
  </si>
  <si>
    <t>V případě, že sestavy soupisů prací neobsahují pole J.cena, potom ve všech soupisech prací obsahují pole:</t>
  </si>
  <si>
    <t xml:space="preserve"> - J.materiál - jednotková cena materiálu </t>
  </si>
  <si>
    <t xml:space="preserve"> - J.montáž - jednotková cena montáže</t>
  </si>
  <si>
    <t>Uchazeč je v tomto případě povinen vyplnit všechna pole J.materiál a pole J.montáž nenulovými kladnými číslicemi. V případech, kdy položka</t>
  </si>
  <si>
    <t>neobsahuje žádný materiál je přípustné, aby pole J.materiál bylo vyplněno nulou. V případech, kdy položka neobsahuje žádnou montáž je přípustné,</t>
  </si>
  <si>
    <t>aby pole J.montáž bylo vyplněno nulou. Není však přípustné, aby obě pole - J.materiál, J.Montáž byly u jedné položky vyplněny nulou.</t>
  </si>
  <si>
    <t>Název</t>
  </si>
  <si>
    <t>Povinný</t>
  </si>
  <si>
    <t>Max. počet</t>
  </si>
  <si>
    <t>atributu</t>
  </si>
  <si>
    <t>(A/N)</t>
  </si>
  <si>
    <t>znaků</t>
  </si>
  <si>
    <t>A</t>
  </si>
  <si>
    <t>Kód stavby</t>
  </si>
  <si>
    <t>String</t>
  </si>
  <si>
    <t>Stavba</t>
  </si>
  <si>
    <t>Název stavby</t>
  </si>
  <si>
    <t>Místo</t>
  </si>
  <si>
    <t>N</t>
  </si>
  <si>
    <t>Místo stavby</t>
  </si>
  <si>
    <t>Datum</t>
  </si>
  <si>
    <t>Datum vykonaného exportu</t>
  </si>
  <si>
    <t>Date</t>
  </si>
  <si>
    <t>KSO</t>
  </si>
  <si>
    <t>Klasifikace stavebního objektu</t>
  </si>
  <si>
    <t>CC-CZ</t>
  </si>
  <si>
    <t>Klasifikace stavbeních děl</t>
  </si>
  <si>
    <t>CZ-CPV</t>
  </si>
  <si>
    <t>Společný slovník pro veřejné zakázky</t>
  </si>
  <si>
    <t>CZ-CPA</t>
  </si>
  <si>
    <t>Klasifikace produkce podle činností</t>
  </si>
  <si>
    <t>Zadavatel</t>
  </si>
  <si>
    <t>Zadavatel zadaní</t>
  </si>
  <si>
    <t>IČ</t>
  </si>
  <si>
    <t>IČ zadavatele zadaní</t>
  </si>
  <si>
    <t>DIČ</t>
  </si>
  <si>
    <t>DIČ zadavatele zadaní</t>
  </si>
  <si>
    <t>Uchazeč</t>
  </si>
  <si>
    <t>Uchazeč veřejné zakázky</t>
  </si>
  <si>
    <t>Projektant</t>
  </si>
  <si>
    <t>Poznámka k zadání</t>
  </si>
  <si>
    <t>Sazba DPH</t>
  </si>
  <si>
    <t>Rekapitulace sazeb DPH u položek soupisů</t>
  </si>
  <si>
    <t>eGSazbaDph</t>
  </si>
  <si>
    <t>Základna DPH</t>
  </si>
  <si>
    <t>Základna DPH určena součtem celkové ceny z položek soupisů</t>
  </si>
  <si>
    <t>Double</t>
  </si>
  <si>
    <t>Hodnota DPH</t>
  </si>
  <si>
    <t>Celková cena bez DPH za celou stavbu. Sčítává se ze všech listů.</t>
  </si>
  <si>
    <t>Celková cena s DPH za celou stavbu</t>
  </si>
  <si>
    <t>Rekapitulace objektů stavby a soupisů prací</t>
  </si>
  <si>
    <t>Přebírá se z Rekapitulace stavby</t>
  </si>
  <si>
    <t>Kód objektu</t>
  </si>
  <si>
    <t>Objektu, Soupis prací</t>
  </si>
  <si>
    <t>Název objektu</t>
  </si>
  <si>
    <t>Cena bez DPH za daný objekt</t>
  </si>
  <si>
    <t>Cena spolu s DPH za daný objekt</t>
  </si>
  <si>
    <t>Typ zakázky</t>
  </si>
  <si>
    <t>eGTypZakazky</t>
  </si>
  <si>
    <t>Krycí list soupisu</t>
  </si>
  <si>
    <t>Objekt</t>
  </si>
  <si>
    <t>Kód a název objektu</t>
  </si>
  <si>
    <t>20 + 120</t>
  </si>
  <si>
    <t>Kód a název soupisu</t>
  </si>
  <si>
    <t>Poznámka k soupisu prací</t>
  </si>
  <si>
    <t>Rekapitulace sazeb DPH na položkách aktuálního soupisu</t>
  </si>
  <si>
    <t>Základna DPH určena součtem celkové ceny z položek aktuálního soupisu</t>
  </si>
  <si>
    <t>Cena bez DPH za daný soupis</t>
  </si>
  <si>
    <t>Cena s DPH</t>
  </si>
  <si>
    <t>Cena s DPH za daný soupis</t>
  </si>
  <si>
    <t>Rekapitulace členění soupisu prací</t>
  </si>
  <si>
    <t>Kód a název objektu, přebírá se z Krycího listu soupisu</t>
  </si>
  <si>
    <t>Kód a název objektu, přebírá se z Krycího listu soupisu</t>
  </si>
  <si>
    <t>Kód a název dílu ze soupisu</t>
  </si>
  <si>
    <t>20 + 100</t>
  </si>
  <si>
    <t>Cena celkem</t>
  </si>
  <si>
    <t>Cena celkem za díl ze soupisu</t>
  </si>
  <si>
    <t>Soupis prací</t>
  </si>
  <si>
    <t>Přebírá se z Krycího listu soupisu</t>
  </si>
  <si>
    <t>Pořadové číslo položky soupisu</t>
  </si>
  <si>
    <t>Long</t>
  </si>
  <si>
    <t>Typ položky soupisu</t>
  </si>
  <si>
    <t>eGTypPolozky</t>
  </si>
  <si>
    <t>Kód položky ze soupisu</t>
  </si>
  <si>
    <t>Popis položky ze soupisu</t>
  </si>
  <si>
    <t>Množství položky soupisu</t>
  </si>
  <si>
    <t>J.Cena</t>
  </si>
  <si>
    <t>Jednotková cena položky</t>
  </si>
  <si>
    <t>Cena celkem vyčíslena jako J.Cena * Množství</t>
  </si>
  <si>
    <t>Zařazení položky do cenové soustavy</t>
  </si>
  <si>
    <t>p</t>
  </si>
  <si>
    <t>Poznámka položky ze soupisu</t>
  </si>
  <si>
    <t>Memo</t>
  </si>
  <si>
    <t>psc</t>
  </si>
  <si>
    <t>Poznámka k souboru cen ze soupisu</t>
  </si>
  <si>
    <t>pp</t>
  </si>
  <si>
    <t>Plný popis položky ze soupisu</t>
  </si>
  <si>
    <t>vv</t>
  </si>
  <si>
    <t>Výkaz výměr (figura, výraz, výměra) ze soupisu</t>
  </si>
  <si>
    <t>Text,Text,Double</t>
  </si>
  <si>
    <t>20, 150</t>
  </si>
  <si>
    <t>Sazba DPH pro položku</t>
  </si>
  <si>
    <t>eGSazbaDPH</t>
  </si>
  <si>
    <t>Hmotnost</t>
  </si>
  <si>
    <t>Hmotnost položky ze soupisu</t>
  </si>
  <si>
    <t>Suť</t>
  </si>
  <si>
    <t>Suť položky ze soupisu</t>
  </si>
  <si>
    <t>Nh</t>
  </si>
  <si>
    <t>Normohodiny položky ze soupisu</t>
  </si>
  <si>
    <t>Datová věta</t>
  </si>
  <si>
    <t>Typ věty</t>
  </si>
  <si>
    <t>Hodnota</t>
  </si>
  <si>
    <t>Význam</t>
  </si>
  <si>
    <t>Základní sazba DPH</t>
  </si>
  <si>
    <t>Snížená sazba DPH</t>
  </si>
  <si>
    <t>Nulová sazba DPH</t>
  </si>
  <si>
    <t>Základní sazba DPH přenesená</t>
  </si>
  <si>
    <t>Snížená sazba DPH přenesená</t>
  </si>
  <si>
    <t>Stavební objekt</t>
  </si>
  <si>
    <t>Inženýrský objekt</t>
  </si>
  <si>
    <t>Ostatní náklady</t>
  </si>
  <si>
    <t>Položka typu HSV</t>
  </si>
  <si>
    <t>Položka typu PSV</t>
  </si>
  <si>
    <t>Položka typu M</t>
  </si>
  <si>
    <t>Položka typu OST</t>
  </si>
  <si>
    <t>LP Staving s.r.o.</t>
  </si>
  <si>
    <t>292 22 745</t>
  </si>
  <si>
    <t>CZ29222745</t>
  </si>
  <si>
    <t>(14,9+2*1)*(10+2*1)*0,45</t>
  </si>
  <si>
    <t>114,693*1,8</t>
  </si>
  <si>
    <t>((15,175*0,6*2)+(8,8*0,6*4))*0,5+(1,6*0,2*2+2*0,3*4+1,9*0,2*2+2,4*0,2*2+1,6*0,3+1*0,3+1,2*0,3+0,3*0,3+0,9*0,3+1,5*0,3*2+1,25*0,3)*0,5+1,4*0,6*0,95</t>
  </si>
  <si>
    <t>91,26+24,231</t>
  </si>
  <si>
    <t>(4,425*9+4,45*9+3,875*9)*0,25</t>
  </si>
  <si>
    <t>14,5*9,6*0,12</t>
  </si>
  <si>
    <r>
      <t xml:space="preserve">Výztuž základových desek betonářskou ocelí 10 505 ®            </t>
    </r>
    <r>
      <rPr>
        <sz val="8"/>
        <color rgb="FFFF0000"/>
        <rFont val="Trebuchet MS"/>
        <family val="2"/>
        <charset val="238"/>
      </rPr>
      <t>8/150/150</t>
    </r>
  </si>
  <si>
    <t>(10+15,175+10,55+14,9+0,2*6+0,3*4+055*2+0,25+4,175*2+8,8*6+4,15*2+4,175*2+0,2*12+0,3*8+0,3*4+0,5*2)*0,5</t>
  </si>
  <si>
    <t>(14,5*2+9*4+0,25)*0,25</t>
  </si>
  <si>
    <t>(65*4*0,6*0,22)*0,001</t>
  </si>
  <si>
    <t>1NP:</t>
  </si>
  <si>
    <t>(8+1,05+4,2+14,5+3+0,3+3,5)*2,92</t>
  </si>
  <si>
    <t>-((0,625*0,625)+(1*0,25))*3</t>
  </si>
  <si>
    <t>-((1,05*2,19)+(1,5*0,25))*2</t>
  </si>
  <si>
    <t>2NP:</t>
  </si>
  <si>
    <t>(6,4+5,37+0,75+6,55+14,5+4,05+3,2)*2,79</t>
  </si>
  <si>
    <t>-((1,5*1,5)+(1,75*0,25))</t>
  </si>
  <si>
    <t>-((1*1)+(1,25*0,25))</t>
  </si>
  <si>
    <t>-((1,05*2,19)+(1,5*0,25))*3</t>
  </si>
  <si>
    <t>3NP:</t>
  </si>
  <si>
    <t xml:space="preserve">A.3: </t>
  </si>
  <si>
    <t>(5*0,195+(5*1)/2)+(9,1*1,16+(9,1*1)/2)+(9,1*0,195+(9,1*1)/2)+(5*1,195+(5*1)/2)</t>
  </si>
  <si>
    <t>-((1,25*1,25)+(1,5*0,25))</t>
  </si>
  <si>
    <t>A.5:</t>
  </si>
  <si>
    <t>-((1,8*2,1)+(2,25*0,25)+(1*1)*2+(1,25*0,25)*2+(1,8*1,8)+(2,25*0,25))</t>
  </si>
  <si>
    <t>(5*2,04+(5*1)/2)+(9,1*3,04+(9,1*1)/2)+(9,1*2,04+(9,1*1)/2)+(5*3,04+(5*1)/2)+(4,5*1,04)*2</t>
  </si>
  <si>
    <t>(1,2+1,7)*2,92</t>
  </si>
  <si>
    <t>(9,1*2+4,5)*2,79</t>
  </si>
  <si>
    <t>-((1*2,02)+1,25*0,25)</t>
  </si>
  <si>
    <t>6*3</t>
  </si>
  <si>
    <t>8*3</t>
  </si>
  <si>
    <t>1*3</t>
  </si>
  <si>
    <t>4*3</t>
  </si>
  <si>
    <t>2,25*2+4,2+1,45+2,14*2+2+2,375*2+4,5+1,05+2,5+1,7*2+3,15+2,25</t>
  </si>
  <si>
    <t>(2,25*2+4,2+1,45+2,14*2+2+2,375*2+4,5+1,05+2,5+1,7*2+3,15+2,25)*2,92</t>
  </si>
  <si>
    <t>-((0,9*2,03*5)+(1*2,03)+(0,8*2,03)*3)</t>
  </si>
  <si>
    <t>(4,5+2,1+4,5+2,1+3,75+3,5+2,1)*2,79</t>
  </si>
  <si>
    <t>-((1*2,03)*2+(0,9*2,03)+(0,8*2,03)*3)</t>
  </si>
  <si>
    <t>(4,5+2,1)*4+(1,1+0,75)*2,5</t>
  </si>
  <si>
    <t>4,5+2,1+4,5+2,1+3,75+3,5+2,1</t>
  </si>
  <si>
    <t>2,92*15+2,79*9+2,1*3+2,5*2</t>
  </si>
  <si>
    <t>1*1,2+0,95*1,2+0,95*2,92+0,95*1,2*2+(2,45*2,79)*2+1,45*2,79+0,675*3</t>
  </si>
  <si>
    <t>14,5*9,6*0,18</t>
  </si>
  <si>
    <t>9,75*9,6*0,18</t>
  </si>
  <si>
    <t>?????</t>
  </si>
  <si>
    <t>8,775*1,25*0,18</t>
  </si>
  <si>
    <t>1,75*0,18*2,7*3</t>
  </si>
  <si>
    <t>3*1,75*2,7</t>
  </si>
  <si>
    <t>(1,75*2+2,7)*3*0,18</t>
  </si>
  <si>
    <t>(8,775+1,25*2)*0,18</t>
  </si>
  <si>
    <t>8,775*1,25</t>
  </si>
  <si>
    <t>průvlaky</t>
  </si>
  <si>
    <t>(9,6*4+14,5*2+5)*0,25*0,5</t>
  </si>
  <si>
    <t>(9,6*4+14,5*2+5)*0,5</t>
  </si>
  <si>
    <t>2*2*5*0,25*0,25</t>
  </si>
  <si>
    <t>2*2*9,6*0,25*0,25</t>
  </si>
  <si>
    <t>5*0,125*0,25</t>
  </si>
  <si>
    <t>nad 2NP</t>
  </si>
  <si>
    <t>vnitřní schodiště</t>
  </si>
  <si>
    <t>4*0,8*0,25+4,9*0,8*0,25</t>
  </si>
  <si>
    <t>4*0,8+4,9*0,8+12*0,8*0,2+16*0,8*0,2</t>
  </si>
  <si>
    <t>čtvrtec</t>
  </si>
  <si>
    <t>kruh</t>
  </si>
  <si>
    <t>0,25*0,25*2,5*2</t>
  </si>
  <si>
    <t>3,14*0,125*0,125*2,5*3</t>
  </si>
  <si>
    <t>ŽB sloupy - beton</t>
  </si>
  <si>
    <t>ŽB sloupy - výztuž</t>
  </si>
  <si>
    <t>0,68*0,15</t>
  </si>
  <si>
    <t>ŽB sloupy - bednění zřízení</t>
  </si>
  <si>
    <t>ŽB sloupy - bednění odstranění</t>
  </si>
  <si>
    <t>6,3*0,2*1,25</t>
  </si>
  <si>
    <t>Osazení ocelových válcovaných nosníků</t>
  </si>
  <si>
    <t>HEA 220</t>
  </si>
  <si>
    <t>(14*2+9*2)*2,7</t>
  </si>
  <si>
    <t>-((1,8*2,44*2)+(0,625*0,625*3)+(1,05*2,19*2)+(3,25*2,44)+(4,95*2,44)+(1,5*2,44))</t>
  </si>
  <si>
    <t>95,011*2</t>
  </si>
  <si>
    <t>1,7*2*2,7+0,25*2*2,7</t>
  </si>
  <si>
    <t>(14*2+9*2)*2,69+(9*2*2)*2,69+4,6*2,69</t>
  </si>
  <si>
    <t>52,15*2</t>
  </si>
  <si>
    <t>-((1,8*2,44*2)+(1*1)+(0,625*0,625*3)+(1,05*2,19*3)+(1,5*1,5)+(2,7*2,44))</t>
  </si>
  <si>
    <t>-((1,25*1,25)+(1,8*2,1)+(1,8*1,8)+(1*1*2))</t>
  </si>
  <si>
    <t>(4,5*2+9,1*2)*2,7+(6,875*2+4,5*2)*0,75</t>
  </si>
  <si>
    <t>strop nad 1NP</t>
  </si>
  <si>
    <t>14*9</t>
  </si>
  <si>
    <t>strop nad 2NP</t>
  </si>
  <si>
    <t>9,25*9-4,3*1</t>
  </si>
  <si>
    <t>7,2*14,9+0,3*5,4+(1*5,4)/2+2,28*5,4+(1*5,4)/2</t>
  </si>
  <si>
    <t>-((1,25*1,25)+(2,7*2,44)+(1,5*1,5)+(6,7*2,44))</t>
  </si>
  <si>
    <t>-((3,25*2,44)+(1,8*2,44)+(1,8*1,8)+(0,625*0,625))</t>
  </si>
  <si>
    <t>8,5*10+(2*10)/2</t>
  </si>
  <si>
    <t>14,9*5,6+(3*14,9)/2</t>
  </si>
  <si>
    <t>S:</t>
  </si>
  <si>
    <t>V:</t>
  </si>
  <si>
    <t>J:</t>
  </si>
  <si>
    <t>-((1,05*2,19*5)+(0,625*0,625*5)+(1,4*1,1))</t>
  </si>
  <si>
    <t>Z:</t>
  </si>
  <si>
    <t>10*5,55+(10*2)/2+(10*2)</t>
  </si>
  <si>
    <t>-((3,85*2,44)+(0,625*0,625)+(1*1)+(1,8*2,44))</t>
  </si>
  <si>
    <t>2,42*10+3,25*10-(1,8*2,1)-(1*1)</t>
  </si>
  <si>
    <t>391,954*1,05</t>
  </si>
  <si>
    <t>0,75*(14,9*2+9,6*2)</t>
  </si>
  <si>
    <t>(36,75-4,77)*1,05</t>
  </si>
  <si>
    <t>7,75+2,4+1,25*3+2,7+2,44*2+2,8+2,28+10,75+1,5*3+6,7+2,44+1,55*2</t>
  </si>
  <si>
    <t>8,8+5,7+0,625*3*5+1,05*5+2,19*2*5</t>
  </si>
  <si>
    <t>3,25+2,44+1,8*3+0,625*3+1,8+2,44*2+2,6+2,44*2</t>
  </si>
  <si>
    <t>0,625*3+1*3+1,8+2,44*2+3,85+2,44+1,3*4+2,8*2+1,8+2,1*2+1*3</t>
  </si>
  <si>
    <t>(54,05+51,025+27,125+37,645)*1,15</t>
  </si>
  <si>
    <t>1,25+2,7+1,5+6,7</t>
  </si>
  <si>
    <t>1,8+0,625+1,8+3,25+2,6</t>
  </si>
  <si>
    <t>0,625*5+1,05*5</t>
  </si>
  <si>
    <t>0,625+1+1,8+3,85</t>
  </si>
  <si>
    <t>(12,15+10,075+8,375+7,275)*1,15</t>
  </si>
  <si>
    <t>1,25+1,5</t>
  </si>
  <si>
    <t>1,8+0,625</t>
  </si>
  <si>
    <t>0,625*5</t>
  </si>
  <si>
    <t>1+0,625</t>
  </si>
  <si>
    <t>(2,75+2,425+3,125+1,625)*1,15</t>
  </si>
  <si>
    <t>plocha:</t>
  </si>
  <si>
    <t>špalety:</t>
  </si>
  <si>
    <t>0,625*3*3+1,05*2+2,19*4+1,8*2+2,44*4+2,7+2,44*2+1,5*3+0,625*3*3+1,05*3+2,19*6</t>
  </si>
  <si>
    <t>(14,9*2+9,6*2)*0,3</t>
  </si>
  <si>
    <t>1,25*1,25+2,7*2,44+1,5*1,5+6,7*2,44</t>
  </si>
  <si>
    <t>1,8*1,8+0,625*0,625+1,8*2,44+3,25*2,44+2,6*2,44</t>
  </si>
  <si>
    <t>0,625*0,625*5+1,05*2,19*5+1,4*1,1</t>
  </si>
  <si>
    <t>1*1+0,625*0,625+1,8*2,44+3,85*2,44</t>
  </si>
  <si>
    <t>rezerva</t>
  </si>
  <si>
    <t>50+53,2+63,8</t>
  </si>
  <si>
    <t>10,6*5,5+8,8*9,5+10,6+8,8</t>
  </si>
  <si>
    <t>10,5*10</t>
  </si>
  <si>
    <t>8,6*5,4+6,8*9,5+6,8+8,6</t>
  </si>
  <si>
    <t>7,5*10+10*3,2+10*2,4</t>
  </si>
  <si>
    <t>139,2*0,0004 'Přepočtené koeficientem množství</t>
  </si>
  <si>
    <t>(2*14,5+2*9,6)*0,75</t>
  </si>
  <si>
    <t>36,15*0,0004</t>
  </si>
  <si>
    <t>????</t>
  </si>
  <si>
    <t>2,35*1,95</t>
  </si>
  <si>
    <t>2,35*1,95*2</t>
  </si>
  <si>
    <t>2,175*1,95</t>
  </si>
  <si>
    <t>???</t>
  </si>
  <si>
    <t>((2,35*2+1,95*2)*2*0,15+((0,9*2)*2*2,05</t>
  </si>
  <si>
    <t>-(0,8*0,15)*2</t>
  </si>
  <si>
    <t>(2,175*2+1,95*2)*0,15+(0,9*2)*2,05</t>
  </si>
  <si>
    <t>-0,8*0,15</t>
  </si>
  <si>
    <t>(2*14,5+2*9,6)*1*0,75</t>
  </si>
  <si>
    <t>(2*14,5+2*9,6)*1,1</t>
  </si>
  <si>
    <t>Ukončovací lišta "Z" k nopové fólii</t>
  </si>
  <si>
    <t>bm</t>
  </si>
  <si>
    <t>2*14,5+2*9,6</t>
  </si>
  <si>
    <t>(2,35*2+1,95*2)*2+(7*0,15+2,2)*2</t>
  </si>
  <si>
    <t>(2,175*2+1,95*2)+(4*0,15+4*2)</t>
  </si>
  <si>
    <t>77,6*1,1</t>
  </si>
  <si>
    <t>teresa 3NP</t>
  </si>
  <si>
    <t>4,3*8,95+(4,3*2+8,95*2)*0,15</t>
  </si>
  <si>
    <t>balkony 2NP</t>
  </si>
  <si>
    <t>(2,7*1,7)*3+(1,7*0,15*3)</t>
  </si>
  <si>
    <t>56,995*1,15</t>
  </si>
  <si>
    <t>4,3*8,95+(4,3*2+8,95*2)*0,5</t>
  </si>
  <si>
    <t>(2,7*1,7)*3+(1,7*0,5*3)</t>
  </si>
  <si>
    <t>68,055*0,0004</t>
  </si>
  <si>
    <t>68,055*1,15</t>
  </si>
  <si>
    <t>56,995*1,2</t>
  </si>
  <si>
    <t>4,55*4,1+(4,55*2+4,1*2)*0,1</t>
  </si>
  <si>
    <t>20,385*1,15</t>
  </si>
  <si>
    <t>4,55*4,1*0,05*1,8</t>
  </si>
  <si>
    <t>kročej:</t>
  </si>
  <si>
    <t>deska tepelně izolační podlahová pro útlum kročejového hluku tl 40mm minerál</t>
  </si>
  <si>
    <t>167*1,1</t>
  </si>
  <si>
    <t>deska EPS 150 pro trvalé zatížení v tlaku (max. 3000 kg/m2) tl 80mm</t>
  </si>
  <si>
    <t>117,8*1,1*2</t>
  </si>
  <si>
    <t>(2*14,5+9,6*2)*1,05</t>
  </si>
  <si>
    <t>50,61*1,05</t>
  </si>
  <si>
    <t>deska EPS 100 pro trvalé zatížení v tlaku (max. 2000 kg/m2) tl 160mm</t>
  </si>
  <si>
    <t>36,9*1,1</t>
  </si>
  <si>
    <t>36,9*0,08</t>
  </si>
  <si>
    <t>2,952*1,05</t>
  </si>
  <si>
    <t>2*5,1*9,8</t>
  </si>
  <si>
    <t>99,96*1,1</t>
  </si>
  <si>
    <t>Montáž izolace tepelné střech šikmých spodem</t>
  </si>
  <si>
    <t>Isover UNIROL 100mm</t>
  </si>
  <si>
    <t>284,8*1,15</t>
  </si>
  <si>
    <t xml:space="preserve">řezivo jehličnaté hranol </t>
  </si>
  <si>
    <t>pozednice</t>
  </si>
  <si>
    <t>krokve</t>
  </si>
  <si>
    <t>galerie</t>
  </si>
  <si>
    <t>9,5*4</t>
  </si>
  <si>
    <t>5*11*2</t>
  </si>
  <si>
    <t>4*3,8</t>
  </si>
  <si>
    <t>hřeben</t>
  </si>
  <si>
    <t>(2*0,6*(5,4+10))+(2*0,3*(5,4+10))</t>
  </si>
  <si>
    <t>žlaby skryté</t>
  </si>
  <si>
    <t>atika se žlabem</t>
  </si>
  <si>
    <t>(0,6*5,4*2+0,6*10)*2+1*(5,4*2+10)</t>
  </si>
  <si>
    <t>4,1*0,5</t>
  </si>
  <si>
    <t>4,1*(0,6*4+0,5)</t>
  </si>
  <si>
    <t xml:space="preserve">XPS 300 </t>
  </si>
  <si>
    <t>atika se žlabem:</t>
  </si>
  <si>
    <t>0,2*0,2*4,1+0,14*0,7*4,1</t>
  </si>
  <si>
    <t>atika spádová vrstva:</t>
  </si>
  <si>
    <t>0,25*0,09*4,1</t>
  </si>
  <si>
    <t>okap:</t>
  </si>
  <si>
    <t>0,14*0,46*(5,2*2+9,8)</t>
  </si>
  <si>
    <t>0,66*0,16*(5,2*2+9,8*2)</t>
  </si>
  <si>
    <t>2*5,5*10,2</t>
  </si>
  <si>
    <t>2*11*5,5*0,06*0,06</t>
  </si>
  <si>
    <t>latě</t>
  </si>
  <si>
    <t>0,436*1,15</t>
  </si>
  <si>
    <t>Bednění střech do 60° z desek</t>
  </si>
  <si>
    <t>2*11*5,5</t>
  </si>
  <si>
    <t>Deska stavební tl. 25mm</t>
  </si>
  <si>
    <t>0,501+3,479+3,237</t>
  </si>
  <si>
    <t>terasa</t>
  </si>
  <si>
    <t>3*2,7*1,7</t>
  </si>
  <si>
    <t>4,1*4,5</t>
  </si>
  <si>
    <t>terasový hranol modřín 45x70</t>
  </si>
  <si>
    <t>2*4,6*9,1</t>
  </si>
  <si>
    <t>117,8-69,3-11,7</t>
  </si>
  <si>
    <t>31+4,1+8+2,5+35,1+1,6</t>
  </si>
  <si>
    <t>4,6+4,6+4,3</t>
  </si>
  <si>
    <t>1,8+1</t>
  </si>
  <si>
    <t>0,625+1</t>
  </si>
  <si>
    <t>2*(5+9,6)</t>
  </si>
  <si>
    <t>112,2*1,25</t>
  </si>
  <si>
    <t>??</t>
  </si>
  <si>
    <t>deska parapetní dřevotřísková vnitřní 0,2 m</t>
  </si>
  <si>
    <t>1,3+8,78+(3+0,63+3,8)*2</t>
  </si>
  <si>
    <t>3*(2,7+1,55*2)</t>
  </si>
  <si>
    <t>Ocelové schodiště vč. zábradlí a dřevěných stupnic</t>
  </si>
  <si>
    <t>Ocelová výměna galerie</t>
  </si>
  <si>
    <t>(3,9+3,03)*0,0224</t>
  </si>
  <si>
    <t>kpl</t>
  </si>
  <si>
    <t>1,8*1,8+1*1+1,8*2,44+3,25*2,44</t>
  </si>
  <si>
    <t>0,625*0,625*5</t>
  </si>
  <si>
    <t>1*1+0,625*0,6251,8*2,44+3,85*2,44</t>
  </si>
  <si>
    <t>1,8*2,1+1*1</t>
  </si>
  <si>
    <t>Montáž dveří vchodových jednokřídlových bez nadsvětlíku</t>
  </si>
  <si>
    <t>dveře vstupní</t>
  </si>
  <si>
    <t>Dřevěná zástěna na terase v. 180cm</t>
  </si>
  <si>
    <t>4,1*1,8</t>
  </si>
  <si>
    <t>Venkovní žaluzie vč. podomítkového kastlíku</t>
  </si>
  <si>
    <t>záklop galerie</t>
  </si>
  <si>
    <t>2,8*4,45</t>
  </si>
  <si>
    <t>2,8*4,45*1,05</t>
  </si>
  <si>
    <t>Montáž izolace akustické podlah</t>
  </si>
  <si>
    <t>mirelon tl. 5mm</t>
  </si>
  <si>
    <t>1,4*2+2,375*2</t>
  </si>
  <si>
    <t>1,3*2+2,375*2</t>
  </si>
  <si>
    <t>1,6*2+2,375*2</t>
  </si>
  <si>
    <t>2*2+2,15*2</t>
  </si>
  <si>
    <t>1,05*2+1,3*2</t>
  </si>
  <si>
    <t>2,35+2,4+0,7*2+4,5+2,4+1+2,35+2,1+0,95+0,1+0,6+7,95+1,05+0,36</t>
  </si>
  <si>
    <t>1+2</t>
  </si>
  <si>
    <t>-(0,9+0,8+0,9+0,9*2+0,9+1+0,8)</t>
  </si>
  <si>
    <t>2NP</t>
  </si>
  <si>
    <t>1,95*2+2,1*2-(1,05+0,8+1)</t>
  </si>
  <si>
    <t>2,125*2+2,1*2-(1,05+0,9+0,8)+(16*0,185*2)+(16*0,25*2)</t>
  </si>
  <si>
    <t>88,38*0,1</t>
  </si>
  <si>
    <t>8,838*1,8 'Přepočtené koeficientem množství</t>
  </si>
  <si>
    <t>1.NP:</t>
  </si>
  <si>
    <t>2.NP:</t>
  </si>
  <si>
    <t>1,95*2,1</t>
  </si>
  <si>
    <t>2,125*2,05+(0,185+0,25)*16</t>
  </si>
  <si>
    <t>150,713*1,15</t>
  </si>
  <si>
    <t>88,38*2</t>
  </si>
  <si>
    <t>1NP</t>
  </si>
  <si>
    <t>2NP schody</t>
  </si>
  <si>
    <t>16*1</t>
  </si>
  <si>
    <t>16,9*1,1</t>
  </si>
  <si>
    <t>31+10,3+31+13,5+12,4+2,5+35,1+1,5</t>
  </si>
  <si>
    <t>4,5*2+6,875*2-1,8-1</t>
  </si>
  <si>
    <t>4,5*2+3*2-1</t>
  </si>
  <si>
    <t>3,65*2+3,4*2-0,9-0,8-1,8</t>
  </si>
  <si>
    <t>35,1+1,5</t>
  </si>
  <si>
    <t>9,1*2+4,5*2-1,8</t>
  </si>
  <si>
    <t>1*2+1,45*2</t>
  </si>
  <si>
    <t>94,75*1,15</t>
  </si>
  <si>
    <t>173,9*1,1</t>
  </si>
  <si>
    <t>(0,95*2+2,3*2-0,8)*2,45</t>
  </si>
  <si>
    <t>(1*2+2,15*2)*2,45-0,8*2</t>
  </si>
  <si>
    <t>(2,25*2+1,8*2)*2,45-(0,9*2-0,8)*2</t>
  </si>
  <si>
    <t>(0,95*2+2,3*2-0,8)*2,45-0,9*2</t>
  </si>
  <si>
    <t>(2,25*2+2,2*2)*2,45-0,9*2-0,625*0,625+4*(0,625*0,16)</t>
  </si>
  <si>
    <t>(0,95*2+2,25*2)*2,45-0,9*2</t>
  </si>
  <si>
    <t>(0,95*2+1,7*2)*2,45-0,8*2*2</t>
  </si>
  <si>
    <t>(0,95*2+1,7*2)*2,45-0,8*2</t>
  </si>
  <si>
    <t>AU</t>
  </si>
  <si>
    <t>(2,475*2+0,95*2)*2,45-1,05*2,44</t>
  </si>
  <si>
    <t>(14*2+6*2)*2,45-(1,6*2,44+4,95*2,44+2,8*2,44+1,8*2,44*2+0,9*2*3)+(2,44*2*0,36+3,85*0,36+0,36*2,44*2)</t>
  </si>
  <si>
    <t>(1,4*2+2,375*2)*2,45-2*0,8*2</t>
  </si>
  <si>
    <t>(1,3*2+2,375*2)*2,45-1,05*2,19-0,8*2</t>
  </si>
  <si>
    <t>(3,05*2+3,1*2+0,25+0,875*2)*2,45-(0,9*2+0,8*2)</t>
  </si>
  <si>
    <t>strop:</t>
  </si>
  <si>
    <t>(1,95*2+2,1*2+4,5*2+6,875*2)*2,45-(1,05*2,19+0,7*2+1*2*2+1*1+1,8*2,44)+(1,8*0,16+2,44*2*0,16+1*3*0,16+1,05*0,16*2,19*2*0,16)</t>
  </si>
  <si>
    <t>A3</t>
  </si>
  <si>
    <t>A4</t>
  </si>
  <si>
    <t>(1,95*2+2,1*2+4,5*2+6,875*2)*2,45-(1,05*2,19+0,7*2+2,7*2,44)+(2,7*0,16+2,44*2*0,16+1,05*0,16+2,19*2*0,16)</t>
  </si>
  <si>
    <t>A5</t>
  </si>
  <si>
    <t>(2,12*2+2,1*2+3,75*1+3,4*3,65)*2,45-(1,8*2,44+1,05*2,19+0,9*2*2+0,8*2*2)+(1,8*0,16+2,44*2*0,16+1,05*0,16+2,19*2*0,16)</t>
  </si>
  <si>
    <t>(4,5*2+6,875*2)*1,3</t>
  </si>
  <si>
    <t>(4,5*2+6,875*2)*3-(1,8*2,1+1,8*1,8+1*1*2)+(1*3*0,16*2+1,8*0,16+2,1*2*0,16+1,8*3*0,16)</t>
  </si>
  <si>
    <t>4,1+4,6+31+4,1+4,6+31+13,5+8+4,3+12,4+2,5</t>
  </si>
  <si>
    <t>35,1+1,5+2,77*4,5</t>
  </si>
  <si>
    <t>5,2*2+10</t>
  </si>
  <si>
    <t>ks</t>
  </si>
  <si>
    <t>(2,275*2+2,1*2)*2,69-(0,8*2+0,625*0,625)</t>
  </si>
  <si>
    <t>(2,45*2+2,1*2)*2,69-(0,8*2+0,625*0,625)</t>
  </si>
  <si>
    <t>193,619*1,15</t>
  </si>
  <si>
    <t>osazování zárubní obložkových</t>
  </si>
  <si>
    <t>obložková zárubeň</t>
  </si>
  <si>
    <t>(16,9*2+10*2)*0,45</t>
  </si>
  <si>
    <t>Prostupy základovými konstrukcemi DN 150</t>
  </si>
  <si>
    <t>0,6*3</t>
  </si>
  <si>
    <t>Zřízení bednění čel stropů deskových</t>
  </si>
  <si>
    <t>obšalůvka 1NP</t>
  </si>
  <si>
    <t>obšalůvka 2NP</t>
  </si>
  <si>
    <t>Odstranění bednění čel stropů deskových</t>
  </si>
  <si>
    <r>
      <t>55,48*</t>
    </r>
    <r>
      <rPr>
        <sz val="8"/>
        <color rgb="FFC00000"/>
        <rFont val="Trebuchet MS"/>
        <family val="2"/>
        <charset val="238"/>
      </rPr>
      <t>0,12</t>
    </r>
  </si>
  <si>
    <t>(2*2*2*9,6+2*2*2*5)*0,5</t>
  </si>
  <si>
    <t>2*5*0,5</t>
  </si>
  <si>
    <t>3,806*0,15</t>
  </si>
  <si>
    <t>1,78*0,15</t>
  </si>
  <si>
    <t>0,5*4*2*2,5</t>
  </si>
  <si>
    <t>3,14*0,5*2,5*3</t>
  </si>
  <si>
    <t>Přípomoce pro řemesla, zapravení drážek</t>
  </si>
  <si>
    <t>komplet</t>
  </si>
  <si>
    <t>Potěr anhydritový samonivelační tl do 53 mm C20 litý</t>
  </si>
  <si>
    <t>1NP vinyl</t>
  </si>
  <si>
    <t>Potěr anhydritový samonivelační tl do 50 mm C20 litý</t>
  </si>
  <si>
    <t>1NP dlažba</t>
  </si>
  <si>
    <t>Potěr anhydritový samonivelační tl do 45 mm C20 litý</t>
  </si>
  <si>
    <t>1NP dl + HI</t>
  </si>
  <si>
    <t>2NP vinyl</t>
  </si>
  <si>
    <t>2NP dlažba</t>
  </si>
  <si>
    <t>2NP dl + HI</t>
  </si>
  <si>
    <t>3NP vinyl</t>
  </si>
  <si>
    <t>4,1+4,1+8</t>
  </si>
  <si>
    <t>4,6+4,3+4,6</t>
  </si>
  <si>
    <t>31+31+13,5+12,4+2,5</t>
  </si>
  <si>
    <t>Montáž výztužné tkaniny</t>
  </si>
  <si>
    <t>přechod materiálů</t>
  </si>
  <si>
    <t>0,2*881,961</t>
  </si>
  <si>
    <t>1NP: 117,8</t>
  </si>
  <si>
    <t>2NP: 50+53,2+63,8</t>
  </si>
  <si>
    <t>36,15*1,2</t>
  </si>
  <si>
    <t>9,5*0,15*0,15*4*1,1</t>
  </si>
  <si>
    <t>5*0,1*0,2*11*2*1,1</t>
  </si>
  <si>
    <t>4*3,8*0,1*0,12*1,1</t>
  </si>
  <si>
    <t>2*11*5,5*0,025*1,10</t>
  </si>
  <si>
    <t>32,22*2,5*1,1</t>
  </si>
  <si>
    <t>32,22*1,02</t>
  </si>
  <si>
    <t>Izolace mezi překlady EPS70F tl. 40mm</t>
  </si>
  <si>
    <t>(18*1+24*1,25+3*1,5+12*2,25)*0,25</t>
  </si>
  <si>
    <t>Prostupy stropními konstrukcemi DN 125</t>
  </si>
  <si>
    <t>kanalizace</t>
  </si>
  <si>
    <t>(12+4)*0,18</t>
  </si>
  <si>
    <t>Prostupy stropními konstrukcemi DN 100</t>
  </si>
  <si>
    <t>voda</t>
  </si>
  <si>
    <t>3*0,18</t>
  </si>
  <si>
    <t>D+M PHP 21A</t>
  </si>
  <si>
    <t>D+M PHP 113B</t>
  </si>
  <si>
    <t>Systémové prvky pro odvodnění plochých střech D+M</t>
  </si>
  <si>
    <t>Ventilační komínek pro střechy šikmé</t>
  </si>
  <si>
    <t>Zpětný zásyp vytěženou zeminou vč. zhutnění a přesunu zeminy ze vzdálenosti do 50m</t>
  </si>
  <si>
    <t>(139,2/6)*0,0324*1,25</t>
  </si>
  <si>
    <t>16,313*0,29*0,04</t>
  </si>
  <si>
    <r>
      <t xml:space="preserve">Zdivo jednovrstvé z cihel broušených přes P10 do P15 na tenkovrstvou maltu tloušťky 240 mm </t>
    </r>
    <r>
      <rPr>
        <b/>
        <sz val="8"/>
        <color rgb="FFFF0000"/>
        <rFont val="Trebuchet MS"/>
        <family val="2"/>
        <charset val="238"/>
      </rPr>
      <t>AKU SYM</t>
    </r>
  </si>
  <si>
    <t>(14,5+9,6)*2</t>
  </si>
  <si>
    <t>(9,75+9,6)*2</t>
  </si>
  <si>
    <t>50,5*4,45*0,001*1,08</t>
  </si>
  <si>
    <t>Schodišťové konstrukce - prefabrikované D+M - náhrada za monolitické</t>
  </si>
  <si>
    <t>Tenkovrstvá minerální pastovitá tenkovrstvá omítka zrnitosti 1,5mm BAUMIT, Ceresit včetně penetrace vnějších stěn</t>
  </si>
  <si>
    <t>Poznámka k položce:
Povrchová úprava ETICS bude z minerální pastovité tenkovrstvé omítky zrnitosti 1,5mm BAUMIT, Ceresit. Mezní odchylky rovinnosti povrchových úprav na 2m lati mohou být max. 2mm. 
viz skladby W dle pohledů P01</t>
  </si>
  <si>
    <t>Doprava fasádního lešení</t>
  </si>
  <si>
    <t>Bednění střech rovných z desek OSB tl. 22mm</t>
  </si>
  <si>
    <r>
      <t xml:space="preserve">Krytina střechy rovné drážkováním ze svitků z TiZn předzvětralého plechu rš 500 mm sklonu do 60° - </t>
    </r>
    <r>
      <rPr>
        <b/>
        <sz val="8"/>
        <color rgb="FFFF0000"/>
        <rFont val="Trebuchet MS"/>
        <family val="2"/>
        <charset val="238"/>
      </rPr>
      <t>lakovaný Pz</t>
    </r>
  </si>
  <si>
    <r>
      <t xml:space="preserve">Oplechování štítu závětrnou lištou z TiZn předzvětralého plechu rš 330 mm - </t>
    </r>
    <r>
      <rPr>
        <b/>
        <sz val="8"/>
        <color rgb="FFFF0000"/>
        <rFont val="Trebuchet MS"/>
        <family val="2"/>
        <charset val="238"/>
      </rPr>
      <t>lakovaný Pz</t>
    </r>
  </si>
  <si>
    <t>Oplechování okapu lištou lakovaný Pz rš 200mm</t>
  </si>
  <si>
    <t>Sběrný kotlík</t>
  </si>
  <si>
    <t>Žlaby lakovaný Pz - kulatý</t>
  </si>
  <si>
    <t xml:space="preserve">Žlaby kulatý lakovaný Pz rš 400mm vč. háků </t>
  </si>
  <si>
    <t>Svod kulatý Pz 120x120mm vč. objímky</t>
  </si>
  <si>
    <t>Biodeska tl. 19mm</t>
  </si>
  <si>
    <t xml:space="preserve">Záklop z biodesek </t>
  </si>
  <si>
    <t xml:space="preserve">soubor </t>
  </si>
  <si>
    <t xml:space="preserve">nerezovými pravoúhlými ukončovacími profily </t>
  </si>
  <si>
    <t>Dodávka a montáž oken plastových a hlinikových</t>
  </si>
  <si>
    <t>D+M  Isokorbů</t>
  </si>
  <si>
    <t>523,74*90</t>
  </si>
  <si>
    <t>Dodávka a montáž střešních oken</t>
  </si>
  <si>
    <t>Vytápění</t>
  </si>
  <si>
    <t>VZT</t>
  </si>
  <si>
    <t>odhad</t>
  </si>
  <si>
    <t xml:space="preserve">Elektroinstalace + hromosvod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</si>
</sst>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dd\.mm\.yyyy"/>
    <numFmt numFmtId="166" formatCode="#,##0.00000"/>
    <numFmt numFmtId="167" formatCode="#,##0.000"/>
  </numFmts>
  <fonts count="70" x14ac:knownFonts="1">
    <font>
      <sz val="8"/>
      <name val="Trebuchet MS"/>
      <family val="2"/>
    </font>
    <font>
      <sz val="8"/>
      <color rgb="FF969696"/>
      <name val="Trebuchet MS"/>
      <family val="2"/>
      <charset val="238"/>
    </font>
    <font>
      <sz val="9"/>
      <name val="Trebuchet MS"/>
      <family val="2"/>
      <charset val="238"/>
    </font>
    <font>
      <b/>
      <sz val="12"/>
      <name val="Trebuchet MS"/>
      <family val="2"/>
      <charset val="238"/>
    </font>
    <font>
      <sz val="11"/>
      <name val="Trebuchet MS"/>
      <family val="2"/>
      <charset val="238"/>
    </font>
    <font>
      <sz val="12"/>
      <color rgb="FF003366"/>
      <name val="Trebuchet MS"/>
      <family val="2"/>
      <charset val="238"/>
    </font>
    <font>
      <sz val="10"/>
      <color rgb="FF003366"/>
      <name val="Trebuchet MS"/>
      <family val="2"/>
      <charset val="238"/>
    </font>
    <font>
      <sz val="8"/>
      <color rgb="FF003366"/>
      <name val="Trebuchet MS"/>
      <family val="2"/>
      <charset val="238"/>
    </font>
    <font>
      <sz val="8"/>
      <color rgb="FF800080"/>
      <name val="Trebuchet MS"/>
      <family val="2"/>
      <charset val="238"/>
    </font>
    <font>
      <sz val="8"/>
      <color rgb="FF505050"/>
      <name val="Trebuchet MS"/>
      <family val="2"/>
      <charset val="238"/>
    </font>
    <font>
      <sz val="8"/>
      <color rgb="FFFF0000"/>
      <name val="Trebuchet MS"/>
      <family val="2"/>
      <charset val="238"/>
    </font>
    <font>
      <sz val="8"/>
      <color rgb="FF0000A8"/>
      <name val="Trebuchet MS"/>
      <family val="2"/>
      <charset val="238"/>
    </font>
    <font>
      <sz val="8"/>
      <color rgb="FFFAE682"/>
      <name val="Trebuchet MS"/>
      <family val="2"/>
      <charset val="238"/>
    </font>
    <font>
      <sz val="10"/>
      <name val="Trebuchet MS"/>
      <family val="2"/>
      <charset val="238"/>
    </font>
    <font>
      <sz val="10"/>
      <color rgb="FF960000"/>
      <name val="Trebuchet MS"/>
      <family val="2"/>
      <charset val="238"/>
    </font>
    <font>
      <u/>
      <sz val="10"/>
      <color theme="10"/>
      <name val="Trebuchet MS"/>
      <family val="2"/>
      <charset val="238"/>
    </font>
    <font>
      <sz val="8"/>
      <color rgb="FF3366FF"/>
      <name val="Trebuchet MS"/>
      <family val="2"/>
      <charset val="238"/>
    </font>
    <font>
      <b/>
      <sz val="16"/>
      <name val="Trebuchet MS"/>
      <family val="2"/>
      <charset val="238"/>
    </font>
    <font>
      <b/>
      <sz val="12"/>
      <color rgb="FF969696"/>
      <name val="Trebuchet MS"/>
      <family val="2"/>
      <charset val="238"/>
    </font>
    <font>
      <sz val="9"/>
      <color rgb="FF969696"/>
      <name val="Trebuchet MS"/>
      <family val="2"/>
      <charset val="238"/>
    </font>
    <font>
      <b/>
      <sz val="8"/>
      <color rgb="FF969696"/>
      <name val="Trebuchet MS"/>
      <family val="2"/>
      <charset val="238"/>
    </font>
    <font>
      <b/>
      <sz val="10"/>
      <name val="Trebuchet MS"/>
      <family val="2"/>
      <charset val="238"/>
    </font>
    <font>
      <b/>
      <sz val="9"/>
      <name val="Trebuchet MS"/>
      <family val="2"/>
      <charset val="238"/>
    </font>
    <font>
      <sz val="12"/>
      <color rgb="FF969696"/>
      <name val="Trebuchet MS"/>
      <family val="2"/>
      <charset val="238"/>
    </font>
    <font>
      <b/>
      <sz val="12"/>
      <color rgb="FF960000"/>
      <name val="Trebuchet MS"/>
      <family val="2"/>
      <charset val="238"/>
    </font>
    <font>
      <sz val="12"/>
      <name val="Trebuchet MS"/>
      <family val="2"/>
      <charset val="238"/>
    </font>
    <font>
      <sz val="18"/>
      <color theme="10"/>
      <name val="Wingdings 2"/>
      <family val="1"/>
      <charset val="2"/>
    </font>
    <font>
      <b/>
      <sz val="11"/>
      <color rgb="FF003366"/>
      <name val="Trebuchet MS"/>
      <family val="2"/>
      <charset val="238"/>
    </font>
    <font>
      <sz val="11"/>
      <color rgb="FF003366"/>
      <name val="Trebuchet MS"/>
      <family val="2"/>
      <charset val="238"/>
    </font>
    <font>
      <b/>
      <sz val="11"/>
      <name val="Trebuchet MS"/>
      <family val="2"/>
      <charset val="238"/>
    </font>
    <font>
      <sz val="11"/>
      <color rgb="FF969696"/>
      <name val="Trebuchet MS"/>
      <family val="2"/>
      <charset val="238"/>
    </font>
    <font>
      <sz val="10"/>
      <color theme="10"/>
      <name val="Trebuchet MS"/>
      <family val="2"/>
      <charset val="238"/>
    </font>
    <font>
      <b/>
      <sz val="12"/>
      <color rgb="FF800000"/>
      <name val="Trebuchet MS"/>
      <family val="2"/>
      <charset val="238"/>
    </font>
    <font>
      <sz val="8"/>
      <color rgb="FF960000"/>
      <name val="Trebuchet MS"/>
      <family val="2"/>
      <charset val="238"/>
    </font>
    <font>
      <b/>
      <sz val="8"/>
      <name val="Trebuchet MS"/>
      <family val="2"/>
      <charset val="238"/>
    </font>
    <font>
      <sz val="7"/>
      <color rgb="FF969696"/>
      <name val="Trebuchet MS"/>
      <family val="2"/>
      <charset val="238"/>
    </font>
    <font>
      <i/>
      <sz val="8"/>
      <color rgb="FF0000FF"/>
      <name val="Trebuchet MS"/>
      <family val="2"/>
      <charset val="238"/>
    </font>
    <font>
      <i/>
      <sz val="7"/>
      <color rgb="FF969696"/>
      <name val="Trebuchet MS"/>
      <family val="2"/>
      <charset val="238"/>
    </font>
    <font>
      <sz val="8"/>
      <name val="Trebuchet MS"/>
      <family val="2"/>
      <charset val="238"/>
    </font>
    <font>
      <b/>
      <sz val="16"/>
      <name val="Trebuchet MS"/>
      <family val="2"/>
      <charset val="238"/>
    </font>
    <font>
      <b/>
      <sz val="11"/>
      <name val="Trebuchet MS"/>
      <family val="2"/>
      <charset val="238"/>
    </font>
    <font>
      <sz val="9"/>
      <name val="Trebuchet MS"/>
      <family val="2"/>
      <charset val="238"/>
    </font>
    <font>
      <sz val="10"/>
      <name val="Trebuchet MS"/>
      <family val="2"/>
      <charset val="238"/>
    </font>
    <font>
      <sz val="11"/>
      <name val="Trebuchet MS"/>
      <family val="2"/>
      <charset val="238"/>
    </font>
    <font>
      <b/>
      <sz val="9"/>
      <name val="Trebuchet MS"/>
      <family val="2"/>
      <charset val="238"/>
    </font>
    <font>
      <u/>
      <sz val="11"/>
      <color theme="10"/>
      <name val="Calibri"/>
      <family val="2"/>
      <charset val="238"/>
      <scheme val="minor"/>
    </font>
    <font>
      <i/>
      <sz val="9"/>
      <name val="Trebuchet MS"/>
      <family val="2"/>
      <charset val="238"/>
    </font>
    <font>
      <sz val="8"/>
      <color rgb="FFFF0000"/>
      <name val="Trebuchet MS"/>
      <family val="2"/>
      <charset val="238"/>
    </font>
    <font>
      <sz val="8"/>
      <color rgb="FF00B050"/>
      <name val="Trebuchet MS"/>
      <family val="2"/>
      <charset val="238"/>
    </font>
    <font>
      <sz val="8"/>
      <color rgb="FFFF0000"/>
      <name val="Trebuchet MS"/>
      <family val="2"/>
    </font>
    <font>
      <sz val="8"/>
      <color rgb="FF505050"/>
      <name val="Trebuchet MS"/>
      <family val="2"/>
      <charset val="238"/>
    </font>
    <font>
      <sz val="8"/>
      <color rgb="FF00B050"/>
      <name val="Trebuchet MS"/>
      <family val="2"/>
    </font>
    <font>
      <sz val="8"/>
      <color rgb="FF800080"/>
      <name val="Trebuchet MS"/>
      <family val="2"/>
      <charset val="238"/>
    </font>
    <font>
      <sz val="7"/>
      <color rgb="FF969696"/>
      <name val="Trebuchet MS"/>
      <family val="2"/>
      <charset val="238"/>
    </font>
    <font>
      <sz val="8"/>
      <color rgb="FFC00000"/>
      <name val="Trebuchet MS"/>
      <family val="2"/>
      <charset val="238"/>
    </font>
    <font>
      <i/>
      <sz val="8"/>
      <color rgb="FFFF0000"/>
      <name val="Trebuchet MS"/>
      <family val="2"/>
      <charset val="238"/>
    </font>
    <font>
      <i/>
      <sz val="7"/>
      <color rgb="FF969696"/>
      <name val="Trebuchet MS"/>
      <family val="2"/>
      <charset val="238"/>
    </font>
    <font>
      <i/>
      <sz val="8"/>
      <color rgb="FF00B050"/>
      <name val="Trebuchet MS"/>
      <family val="2"/>
      <charset val="238"/>
    </font>
    <font>
      <sz val="8"/>
      <color rgb="FFFFFF00"/>
      <name val="Trebuchet MS"/>
      <family val="2"/>
      <charset val="238"/>
    </font>
    <font>
      <i/>
      <sz val="8"/>
      <color rgb="FFFFFF00"/>
      <name val="Trebuchet MS"/>
      <family val="2"/>
      <charset val="238"/>
    </font>
    <font>
      <b/>
      <sz val="11"/>
      <name val="Trebuchet MS"/>
      <family val="2"/>
      <charset val="238"/>
    </font>
    <font>
      <i/>
      <sz val="8"/>
      <color rgb="FF0000FF"/>
      <name val="Trebuchet MS"/>
      <family val="2"/>
      <charset val="238"/>
    </font>
    <font>
      <i/>
      <sz val="7"/>
      <color rgb="FFFF0000"/>
      <name val="Trebuchet MS"/>
      <family val="2"/>
      <charset val="238"/>
    </font>
    <font>
      <sz val="8"/>
      <color theme="1"/>
      <name val="Trebuchet MS"/>
      <family val="2"/>
    </font>
    <font>
      <sz val="7"/>
      <color rgb="FFFF0000"/>
      <name val="Trebuchet MS"/>
      <family val="2"/>
      <charset val="238"/>
    </font>
    <font>
      <sz val="7"/>
      <color rgb="FFFFFF00"/>
      <name val="Trebuchet MS"/>
      <family val="2"/>
      <charset val="238"/>
    </font>
    <font>
      <b/>
      <sz val="8"/>
      <color rgb="FFFF0000"/>
      <name val="Trebuchet MS"/>
      <family val="2"/>
      <charset val="238"/>
    </font>
    <font>
      <sz val="8"/>
      <name val="Trebuchet MS"/>
      <family val="2"/>
      <charset val="238"/>
    </font>
    <font>
      <sz val="7"/>
      <name val="Trebuchet MS"/>
      <family val="2"/>
      <charset val="238"/>
    </font>
    <font>
      <i/>
      <sz val="8"/>
      <name val="Trebuchet MS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AE682"/>
      </patternFill>
    </fill>
    <fill>
      <patternFill patternType="solid">
        <fgColor rgb="FFC0C0C0"/>
      </patternFill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/>
      <right style="thin">
        <color rgb="FF000000"/>
      </right>
      <top style="hair">
        <color rgb="FF969696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5" fillId="0" borderId="0" applyNumberFormat="0" applyFill="0" applyBorder="0" applyAlignment="0" applyProtection="0"/>
  </cellStyleXfs>
  <cellXfs count="490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7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left" vertical="center"/>
    </xf>
    <xf numFmtId="0" fontId="13" fillId="2" borderId="0" xfId="0" applyFont="1" applyFill="1" applyAlignment="1" applyProtection="1">
      <alignment vertical="center"/>
    </xf>
    <xf numFmtId="0" fontId="14" fillId="2" borderId="0" xfId="0" applyFont="1" applyFill="1" applyAlignment="1" applyProtection="1">
      <alignment horizontal="left" vertical="center"/>
    </xf>
    <xf numFmtId="0" fontId="15" fillId="2" borderId="0" xfId="1" applyFont="1" applyFill="1" applyAlignment="1" applyProtection="1">
      <alignment vertical="center"/>
    </xf>
    <xf numFmtId="0" fontId="45" fillId="2" borderId="0" xfId="1" applyFill="1"/>
    <xf numFmtId="0" fontId="0" fillId="2" borderId="0" xfId="0" applyFill="1"/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17" fillId="0" borderId="0" xfId="0" applyFont="1" applyBorder="1" applyAlignment="1">
      <alignment horizontal="left" vertical="center"/>
    </xf>
    <xf numFmtId="0" fontId="0" fillId="0" borderId="6" xfId="0" applyBorder="1"/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center"/>
    </xf>
    <xf numFmtId="0" fontId="2" fillId="4" borderId="0" xfId="0" applyFont="1" applyFill="1" applyBorder="1" applyAlignment="1" applyProtection="1">
      <alignment horizontal="left" vertical="center"/>
      <protection locked="0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1" fillId="0" borderId="8" xfId="0" applyFont="1" applyBorder="1" applyAlignment="1">
      <alignment horizontal="left" vertical="center"/>
    </xf>
    <xf numFmtId="0" fontId="0" fillId="0" borderId="8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left" vertical="center"/>
    </xf>
    <xf numFmtId="0" fontId="0" fillId="5" borderId="10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6" borderId="10" xfId="0" applyFont="1" applyFill="1" applyBorder="1" applyAlignment="1">
      <alignment vertical="center"/>
    </xf>
    <xf numFmtId="0" fontId="2" fillId="6" borderId="11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0" fillId="0" borderId="15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3" fillId="0" borderId="18" xfId="0" applyNumberFormat="1" applyFont="1" applyBorder="1" applyAlignment="1">
      <alignment vertical="center"/>
    </xf>
    <xf numFmtId="4" fontId="23" fillId="0" borderId="0" xfId="0" applyNumberFormat="1" applyFont="1" applyBorder="1" applyAlignment="1">
      <alignment vertical="center"/>
    </xf>
    <xf numFmtId="166" fontId="23" fillId="0" borderId="0" xfId="0" applyNumberFormat="1" applyFont="1" applyBorder="1" applyAlignment="1">
      <alignment vertical="center"/>
    </xf>
    <xf numFmtId="4" fontId="23" fillId="0" borderId="19" xfId="0" applyNumberFormat="1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4" fontId="30" fillId="0" borderId="18" xfId="0" applyNumberFormat="1" applyFont="1" applyBorder="1" applyAlignment="1">
      <alignment vertical="center"/>
    </xf>
    <xf numFmtId="4" fontId="30" fillId="0" borderId="0" xfId="0" applyNumberFormat="1" applyFont="1" applyBorder="1" applyAlignment="1">
      <alignment vertical="center"/>
    </xf>
    <xf numFmtId="166" fontId="30" fillId="0" borderId="0" xfId="0" applyNumberFormat="1" applyFont="1" applyBorder="1" applyAlignment="1">
      <alignment vertical="center"/>
    </xf>
    <xf numFmtId="4" fontId="30" fillId="0" borderId="19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31" fillId="2" borderId="0" xfId="1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19" fillId="0" borderId="0" xfId="0" applyFont="1" applyBorder="1" applyAlignment="1" applyProtection="1">
      <alignment horizontal="left" vertical="center"/>
      <protection locked="0"/>
    </xf>
    <xf numFmtId="165" fontId="2" fillId="0" borderId="0" xfId="0" applyNumberFormat="1" applyFont="1" applyBorder="1" applyAlignment="1">
      <alignment horizontal="left" vertical="center"/>
    </xf>
    <xf numFmtId="0" fontId="0" fillId="0" borderId="5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 applyProtection="1">
      <alignment vertical="center" wrapText="1"/>
      <protection locked="0"/>
    </xf>
    <xf numFmtId="0" fontId="0" fillId="0" borderId="6" xfId="0" applyFont="1" applyBorder="1" applyAlignment="1">
      <alignment vertical="center" wrapText="1"/>
    </xf>
    <xf numFmtId="0" fontId="0" fillId="0" borderId="16" xfId="0" applyFont="1" applyBorder="1" applyAlignment="1" applyProtection="1">
      <alignment vertical="center"/>
      <protection locked="0"/>
    </xf>
    <xf numFmtId="0" fontId="0" fillId="0" borderId="26" xfId="0" applyFont="1" applyBorder="1" applyAlignment="1">
      <alignment vertical="center"/>
    </xf>
    <xf numFmtId="0" fontId="21" fillId="0" borderId="0" xfId="0" applyFont="1" applyBorder="1" applyAlignment="1">
      <alignment horizontal="left" vertical="center"/>
    </xf>
    <xf numFmtId="4" fontId="24" fillId="0" borderId="0" xfId="0" applyNumberFormat="1" applyFont="1" applyBorder="1" applyAlignment="1">
      <alignment vertical="center"/>
    </xf>
    <xf numFmtId="0" fontId="1" fillId="0" borderId="0" xfId="0" applyFont="1" applyBorder="1" applyAlignment="1" applyProtection="1">
      <alignment horizontal="right" vertical="center"/>
      <protection locked="0"/>
    </xf>
    <xf numFmtId="4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 applyProtection="1">
      <alignment horizontal="right" vertical="center"/>
      <protection locked="0"/>
    </xf>
    <xf numFmtId="0" fontId="0" fillId="6" borderId="0" xfId="0" applyFont="1" applyFill="1" applyBorder="1" applyAlignment="1">
      <alignment vertical="center"/>
    </xf>
    <xf numFmtId="0" fontId="3" fillId="6" borderId="9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right" vertical="center"/>
    </xf>
    <xf numFmtId="0" fontId="3" fillId="6" borderId="10" xfId="0" applyFont="1" applyFill="1" applyBorder="1" applyAlignment="1">
      <alignment horizontal="center" vertical="center"/>
    </xf>
    <xf numFmtId="0" fontId="0" fillId="6" borderId="10" xfId="0" applyFont="1" applyFill="1" applyBorder="1" applyAlignment="1" applyProtection="1">
      <alignment vertical="center"/>
      <protection locked="0"/>
    </xf>
    <xf numFmtId="4" fontId="3" fillId="6" borderId="10" xfId="0" applyNumberFormat="1" applyFont="1" applyFill="1" applyBorder="1" applyAlignment="1">
      <alignment vertical="center"/>
    </xf>
    <xf numFmtId="0" fontId="0" fillId="6" borderId="27" xfId="0" applyFont="1" applyFill="1" applyBorder="1" applyAlignment="1">
      <alignment vertical="center"/>
    </xf>
    <xf numFmtId="0" fontId="0" fillId="0" borderId="13" xfId="0" applyFont="1" applyBorder="1" applyAlignment="1" applyProtection="1">
      <alignment vertical="center"/>
      <protection locked="0"/>
    </xf>
    <xf numFmtId="0" fontId="0" fillId="0" borderId="3" xfId="0" applyFont="1" applyBorder="1" applyAlignment="1" applyProtection="1">
      <alignment vertical="center"/>
      <protection locked="0"/>
    </xf>
    <xf numFmtId="0" fontId="0" fillId="0" borderId="4" xfId="0" applyFont="1" applyBorder="1" applyAlignment="1">
      <alignment vertical="center"/>
    </xf>
    <xf numFmtId="0" fontId="2" fillId="6" borderId="0" xfId="0" applyFont="1" applyFill="1" applyBorder="1" applyAlignment="1">
      <alignment horizontal="left" vertical="center"/>
    </xf>
    <xf numFmtId="0" fontId="0" fillId="6" borderId="0" xfId="0" applyFont="1" applyFill="1" applyBorder="1" applyAlignment="1" applyProtection="1">
      <alignment vertical="center"/>
      <protection locked="0"/>
    </xf>
    <xf numFmtId="0" fontId="2" fillId="6" borderId="0" xfId="0" applyFont="1" applyFill="1" applyBorder="1" applyAlignment="1">
      <alignment horizontal="right" vertical="center"/>
    </xf>
    <xf numFmtId="0" fontId="0" fillId="6" borderId="6" xfId="0" applyFont="1" applyFill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0" fontId="5" fillId="0" borderId="24" xfId="0" applyFont="1" applyBorder="1" applyAlignment="1" applyProtection="1">
      <alignment vertical="center"/>
      <protection locked="0"/>
    </xf>
    <xf numFmtId="4" fontId="5" fillId="0" borderId="24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vertical="center"/>
    </xf>
    <xf numFmtId="0" fontId="6" fillId="0" borderId="24" xfId="0" applyFont="1" applyBorder="1" applyAlignment="1" applyProtection="1">
      <alignment vertical="center"/>
      <protection locked="0"/>
    </xf>
    <xf numFmtId="4" fontId="6" fillId="0" borderId="24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9" fillId="0" borderId="0" xfId="0" applyFont="1" applyAlignment="1" applyProtection="1">
      <alignment horizontal="left" vertical="center"/>
      <protection locked="0"/>
    </xf>
    <xf numFmtId="0" fontId="0" fillId="0" borderId="5" xfId="0" applyFont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 applyProtection="1">
      <alignment horizontal="center" vertical="center" wrapText="1"/>
      <protection locked="0"/>
    </xf>
    <xf numFmtId="0" fontId="2" fillId="6" borderId="22" xfId="0" applyFont="1" applyFill="1" applyBorder="1" applyAlignment="1">
      <alignment horizontal="center" vertical="center" wrapText="1"/>
    </xf>
    <xf numFmtId="4" fontId="24" fillId="0" borderId="0" xfId="0" applyNumberFormat="1" applyFont="1" applyAlignment="1"/>
    <xf numFmtId="166" fontId="33" fillId="0" borderId="16" xfId="0" applyNumberFormat="1" applyFont="1" applyBorder="1" applyAlignment="1"/>
    <xf numFmtId="166" fontId="33" fillId="0" borderId="17" xfId="0" applyNumberFormat="1" applyFont="1" applyBorder="1" applyAlignment="1"/>
    <xf numFmtId="4" fontId="34" fillId="0" borderId="0" xfId="0" applyNumberFormat="1" applyFont="1" applyAlignment="1">
      <alignment vertical="center"/>
    </xf>
    <xf numFmtId="0" fontId="7" fillId="0" borderId="5" xfId="0" applyFont="1" applyBorder="1" applyAlignme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 applyProtection="1">
      <protection locked="0"/>
    </xf>
    <xf numFmtId="4" fontId="5" fillId="0" borderId="0" xfId="0" applyNumberFormat="1" applyFont="1" applyAlignment="1"/>
    <xf numFmtId="0" fontId="7" fillId="0" borderId="18" xfId="0" applyFont="1" applyBorder="1" applyAlignment="1"/>
    <xf numFmtId="0" fontId="7" fillId="0" borderId="0" xfId="0" applyFont="1" applyBorder="1" applyAlignment="1"/>
    <xf numFmtId="166" fontId="7" fillId="0" borderId="0" xfId="0" applyNumberFormat="1" applyFont="1" applyBorder="1" applyAlignment="1"/>
    <xf numFmtId="166" fontId="7" fillId="0" borderId="19" xfId="0" applyNumberFormat="1" applyFont="1" applyBorder="1" applyAlignme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4" fontId="6" fillId="0" borderId="0" xfId="0" applyNumberFormat="1" applyFont="1" applyAlignment="1"/>
    <xf numFmtId="0" fontId="0" fillId="0" borderId="5" xfId="0" applyFont="1" applyBorder="1" applyAlignment="1" applyProtection="1">
      <alignment vertical="center"/>
      <protection locked="0"/>
    </xf>
    <xf numFmtId="0" fontId="0" fillId="0" borderId="28" xfId="0" applyFont="1" applyBorder="1" applyAlignment="1" applyProtection="1">
      <alignment horizontal="center" vertical="center"/>
      <protection locked="0"/>
    </xf>
    <xf numFmtId="49" fontId="0" fillId="0" borderId="28" xfId="0" applyNumberFormat="1" applyFont="1" applyBorder="1" applyAlignment="1" applyProtection="1">
      <alignment horizontal="left" vertical="center" wrapText="1"/>
      <protection locked="0"/>
    </xf>
    <xf numFmtId="0" fontId="0" fillId="0" borderId="28" xfId="0" applyFont="1" applyBorder="1" applyAlignment="1" applyProtection="1">
      <alignment horizontal="left" vertical="center" wrapText="1"/>
      <protection locked="0"/>
    </xf>
    <xf numFmtId="0" fontId="0" fillId="0" borderId="28" xfId="0" applyFont="1" applyBorder="1" applyAlignment="1" applyProtection="1">
      <alignment horizontal="center" vertical="center" wrapText="1"/>
      <protection locked="0"/>
    </xf>
    <xf numFmtId="167" fontId="0" fillId="0" borderId="28" xfId="0" applyNumberFormat="1" applyFont="1" applyBorder="1" applyAlignment="1" applyProtection="1">
      <alignment vertical="center"/>
      <protection locked="0"/>
    </xf>
    <xf numFmtId="4" fontId="0" fillId="4" borderId="28" xfId="0" applyNumberFormat="1" applyFont="1" applyFill="1" applyBorder="1" applyAlignment="1" applyProtection="1">
      <alignment vertical="center"/>
      <protection locked="0"/>
    </xf>
    <xf numFmtId="4" fontId="0" fillId="0" borderId="28" xfId="0" applyNumberFormat="1" applyFont="1" applyBorder="1" applyAlignment="1" applyProtection="1">
      <alignment vertical="center"/>
      <protection locked="0"/>
    </xf>
    <xf numFmtId="0" fontId="1" fillId="4" borderId="28" xfId="0" applyFont="1" applyFill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" fillId="0" borderId="19" xfId="0" applyNumberFormat="1" applyFont="1" applyBorder="1" applyAlignment="1">
      <alignment vertical="center"/>
    </xf>
    <xf numFmtId="4" fontId="0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3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vertical="center"/>
      <protection locked="0"/>
    </xf>
    <xf numFmtId="0" fontId="8" fillId="0" borderId="1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18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18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36" fillId="0" borderId="28" xfId="0" applyFont="1" applyBorder="1" applyAlignment="1" applyProtection="1">
      <alignment horizontal="center" vertical="center"/>
      <protection locked="0"/>
    </xf>
    <xf numFmtId="49" fontId="36" fillId="0" borderId="28" xfId="0" applyNumberFormat="1" applyFont="1" applyBorder="1" applyAlignment="1" applyProtection="1">
      <alignment horizontal="left" vertical="center" wrapText="1"/>
      <protection locked="0"/>
    </xf>
    <xf numFmtId="0" fontId="36" fillId="0" borderId="28" xfId="0" applyFont="1" applyBorder="1" applyAlignment="1" applyProtection="1">
      <alignment horizontal="left" vertical="center" wrapText="1"/>
      <protection locked="0"/>
    </xf>
    <xf numFmtId="0" fontId="36" fillId="0" borderId="28" xfId="0" applyFont="1" applyBorder="1" applyAlignment="1" applyProtection="1">
      <alignment horizontal="center" vertical="center" wrapText="1"/>
      <protection locked="0"/>
    </xf>
    <xf numFmtId="167" fontId="36" fillId="0" borderId="28" xfId="0" applyNumberFormat="1" applyFont="1" applyBorder="1" applyAlignment="1" applyProtection="1">
      <alignment vertical="center"/>
      <protection locked="0"/>
    </xf>
    <xf numFmtId="4" fontId="36" fillId="4" borderId="28" xfId="0" applyNumberFormat="1" applyFont="1" applyFill="1" applyBorder="1" applyAlignment="1" applyProtection="1">
      <alignment vertical="center"/>
      <protection locked="0"/>
    </xf>
    <xf numFmtId="4" fontId="36" fillId="0" borderId="28" xfId="0" applyNumberFormat="1" applyFont="1" applyBorder="1" applyAlignment="1" applyProtection="1">
      <alignment vertical="center"/>
      <protection locked="0"/>
    </xf>
    <xf numFmtId="0" fontId="36" fillId="4" borderId="28" xfId="0" applyFont="1" applyFill="1" applyBorder="1" applyAlignment="1" applyProtection="1">
      <alignment horizontal="left" vertical="center"/>
      <protection locked="0"/>
    </xf>
    <xf numFmtId="0" fontId="36" fillId="0" borderId="0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0" borderId="18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37" fillId="0" borderId="0" xfId="0" applyFont="1" applyAlignment="1">
      <alignment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8" xfId="0" applyFont="1" applyBorder="1" applyAlignment="1">
      <alignment vertical="center"/>
    </xf>
    <xf numFmtId="167" fontId="0" fillId="4" borderId="28" xfId="0" applyNumberFormat="1" applyFont="1" applyFill="1" applyBorder="1" applyAlignment="1" applyProtection="1">
      <alignment vertical="center"/>
      <protection locked="0"/>
    </xf>
    <xf numFmtId="0" fontId="0" fillId="0" borderId="23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0" borderId="0" xfId="0" applyAlignment="1" applyProtection="1">
      <alignment vertical="top"/>
      <protection locked="0"/>
    </xf>
    <xf numFmtId="0" fontId="38" fillId="0" borderId="29" xfId="0" applyFont="1" applyBorder="1" applyAlignment="1" applyProtection="1">
      <alignment vertical="center" wrapText="1"/>
      <protection locked="0"/>
    </xf>
    <xf numFmtId="0" fontId="38" fillId="0" borderId="30" xfId="0" applyFont="1" applyBorder="1" applyAlignment="1" applyProtection="1">
      <alignment vertical="center" wrapText="1"/>
      <protection locked="0"/>
    </xf>
    <xf numFmtId="0" fontId="38" fillId="0" borderId="31" xfId="0" applyFont="1" applyBorder="1" applyAlignment="1" applyProtection="1">
      <alignment vertical="center" wrapText="1"/>
      <protection locked="0"/>
    </xf>
    <xf numFmtId="0" fontId="38" fillId="0" borderId="32" xfId="0" applyFont="1" applyBorder="1" applyAlignment="1" applyProtection="1">
      <alignment horizontal="center" vertical="center" wrapText="1"/>
      <protection locked="0"/>
    </xf>
    <xf numFmtId="0" fontId="38" fillId="0" borderId="33" xfId="0" applyFont="1" applyBorder="1" applyAlignment="1" applyProtection="1">
      <alignment horizontal="center" vertical="center" wrapText="1"/>
      <protection locked="0"/>
    </xf>
    <xf numFmtId="0" fontId="38" fillId="0" borderId="32" xfId="0" applyFont="1" applyBorder="1" applyAlignment="1" applyProtection="1">
      <alignment vertical="center" wrapText="1"/>
      <protection locked="0"/>
    </xf>
    <xf numFmtId="0" fontId="38" fillId="0" borderId="33" xfId="0" applyFont="1" applyBorder="1" applyAlignment="1" applyProtection="1">
      <alignment vertical="center" wrapText="1"/>
      <protection locked="0"/>
    </xf>
    <xf numFmtId="0" fontId="40" fillId="0" borderId="1" xfId="0" applyFont="1" applyBorder="1" applyAlignment="1" applyProtection="1">
      <alignment horizontal="left" vertical="center" wrapText="1"/>
      <protection locked="0"/>
    </xf>
    <xf numFmtId="0" fontId="41" fillId="0" borderId="1" xfId="0" applyFont="1" applyBorder="1" applyAlignment="1" applyProtection="1">
      <alignment horizontal="left" vertical="center" wrapText="1"/>
      <protection locked="0"/>
    </xf>
    <xf numFmtId="0" fontId="41" fillId="0" borderId="32" xfId="0" applyFont="1" applyBorder="1" applyAlignment="1" applyProtection="1">
      <alignment vertical="center" wrapText="1"/>
      <protection locked="0"/>
    </xf>
    <xf numFmtId="0" fontId="41" fillId="0" borderId="1" xfId="0" applyFont="1" applyBorder="1" applyAlignment="1" applyProtection="1">
      <alignment vertical="center" wrapText="1"/>
      <protection locked="0"/>
    </xf>
    <xf numFmtId="0" fontId="41" fillId="0" borderId="1" xfId="0" applyFont="1" applyBorder="1" applyAlignment="1" applyProtection="1">
      <alignment vertical="center"/>
      <protection locked="0"/>
    </xf>
    <xf numFmtId="0" fontId="41" fillId="0" borderId="1" xfId="0" applyFont="1" applyBorder="1" applyAlignment="1" applyProtection="1">
      <alignment horizontal="left" vertical="center"/>
      <protection locked="0"/>
    </xf>
    <xf numFmtId="49" fontId="41" fillId="0" borderId="1" xfId="0" applyNumberFormat="1" applyFont="1" applyBorder="1" applyAlignment="1" applyProtection="1">
      <alignment vertical="center" wrapText="1"/>
      <protection locked="0"/>
    </xf>
    <xf numFmtId="0" fontId="38" fillId="0" borderId="35" xfId="0" applyFont="1" applyBorder="1" applyAlignment="1" applyProtection="1">
      <alignment vertical="center" wrapText="1"/>
      <protection locked="0"/>
    </xf>
    <xf numFmtId="0" fontId="42" fillId="0" borderId="34" xfId="0" applyFont="1" applyBorder="1" applyAlignment="1" applyProtection="1">
      <alignment vertical="center" wrapText="1"/>
      <protection locked="0"/>
    </xf>
    <xf numFmtId="0" fontId="38" fillId="0" borderId="36" xfId="0" applyFont="1" applyBorder="1" applyAlignment="1" applyProtection="1">
      <alignment vertical="center" wrapText="1"/>
      <protection locked="0"/>
    </xf>
    <xf numFmtId="0" fontId="38" fillId="0" borderId="1" xfId="0" applyFont="1" applyBorder="1" applyAlignment="1" applyProtection="1">
      <alignment vertical="top"/>
      <protection locked="0"/>
    </xf>
    <xf numFmtId="0" fontId="38" fillId="0" borderId="0" xfId="0" applyFont="1" applyAlignment="1" applyProtection="1">
      <alignment vertical="top"/>
      <protection locked="0"/>
    </xf>
    <xf numFmtId="0" fontId="38" fillId="0" borderId="29" xfId="0" applyFont="1" applyBorder="1" applyAlignment="1" applyProtection="1">
      <alignment horizontal="left" vertical="center"/>
      <protection locked="0"/>
    </xf>
    <xf numFmtId="0" fontId="38" fillId="0" borderId="30" xfId="0" applyFont="1" applyBorder="1" applyAlignment="1" applyProtection="1">
      <alignment horizontal="left" vertical="center"/>
      <protection locked="0"/>
    </xf>
    <xf numFmtId="0" fontId="38" fillId="0" borderId="31" xfId="0" applyFont="1" applyBorder="1" applyAlignment="1" applyProtection="1">
      <alignment horizontal="left" vertical="center"/>
      <protection locked="0"/>
    </xf>
    <xf numFmtId="0" fontId="38" fillId="0" borderId="32" xfId="0" applyFont="1" applyBorder="1" applyAlignment="1" applyProtection="1">
      <alignment horizontal="left" vertical="center"/>
      <protection locked="0"/>
    </xf>
    <xf numFmtId="0" fontId="38" fillId="0" borderId="33" xfId="0" applyFont="1" applyBorder="1" applyAlignment="1" applyProtection="1">
      <alignment horizontal="left" vertical="center"/>
      <protection locked="0"/>
    </xf>
    <xf numFmtId="0" fontId="40" fillId="0" borderId="1" xfId="0" applyFont="1" applyBorder="1" applyAlignment="1" applyProtection="1">
      <alignment horizontal="left" vertical="center"/>
      <protection locked="0"/>
    </xf>
    <xf numFmtId="0" fontId="43" fillId="0" borderId="0" xfId="0" applyFont="1" applyAlignment="1" applyProtection="1">
      <alignment horizontal="left" vertical="center"/>
      <protection locked="0"/>
    </xf>
    <xf numFmtId="0" fontId="40" fillId="0" borderId="34" xfId="0" applyFont="1" applyBorder="1" applyAlignment="1" applyProtection="1">
      <alignment horizontal="left" vertical="center"/>
      <protection locked="0"/>
    </xf>
    <xf numFmtId="0" fontId="40" fillId="0" borderId="34" xfId="0" applyFont="1" applyBorder="1" applyAlignment="1" applyProtection="1">
      <alignment horizontal="center" vertical="center"/>
      <protection locked="0"/>
    </xf>
    <xf numFmtId="0" fontId="43" fillId="0" borderId="34" xfId="0" applyFont="1" applyBorder="1" applyAlignment="1" applyProtection="1">
      <alignment horizontal="left" vertical="center"/>
      <protection locked="0"/>
    </xf>
    <xf numFmtId="0" fontId="44" fillId="0" borderId="1" xfId="0" applyFont="1" applyBorder="1" applyAlignment="1" applyProtection="1">
      <alignment horizontal="left" vertical="center"/>
      <protection locked="0"/>
    </xf>
    <xf numFmtId="0" fontId="41" fillId="0" borderId="0" xfId="0" applyFont="1" applyAlignment="1" applyProtection="1">
      <alignment horizontal="left" vertical="center"/>
      <protection locked="0"/>
    </xf>
    <xf numFmtId="0" fontId="41" fillId="0" borderId="1" xfId="0" applyFont="1" applyBorder="1" applyAlignment="1" applyProtection="1">
      <alignment horizontal="center" vertical="center"/>
      <protection locked="0"/>
    </xf>
    <xf numFmtId="0" fontId="41" fillId="0" borderId="32" xfId="0" applyFont="1" applyBorder="1" applyAlignment="1" applyProtection="1">
      <alignment horizontal="left" vertical="center"/>
      <protection locked="0"/>
    </xf>
    <xf numFmtId="0" fontId="41" fillId="0" borderId="1" xfId="0" applyFont="1" applyFill="1" applyBorder="1" applyAlignment="1" applyProtection="1">
      <alignment horizontal="left" vertical="center"/>
      <protection locked="0"/>
    </xf>
    <xf numFmtId="0" fontId="41" fillId="0" borderId="1" xfId="0" applyFont="1" applyFill="1" applyBorder="1" applyAlignment="1" applyProtection="1">
      <alignment horizontal="center" vertical="center"/>
      <protection locked="0"/>
    </xf>
    <xf numFmtId="0" fontId="38" fillId="0" borderId="35" xfId="0" applyFont="1" applyBorder="1" applyAlignment="1" applyProtection="1">
      <alignment horizontal="left" vertical="center"/>
      <protection locked="0"/>
    </xf>
    <xf numFmtId="0" fontId="42" fillId="0" borderId="34" xfId="0" applyFont="1" applyBorder="1" applyAlignment="1" applyProtection="1">
      <alignment horizontal="left" vertical="center"/>
      <protection locked="0"/>
    </xf>
    <xf numFmtId="0" fontId="38" fillId="0" borderId="36" xfId="0" applyFont="1" applyBorder="1" applyAlignment="1" applyProtection="1">
      <alignment horizontal="left" vertical="center"/>
      <protection locked="0"/>
    </xf>
    <xf numFmtId="0" fontId="38" fillId="0" borderId="1" xfId="0" applyFont="1" applyBorder="1" applyAlignment="1" applyProtection="1">
      <alignment horizontal="left" vertical="center"/>
      <protection locked="0"/>
    </xf>
    <xf numFmtId="0" fontId="42" fillId="0" borderId="1" xfId="0" applyFont="1" applyBorder="1" applyAlignment="1" applyProtection="1">
      <alignment horizontal="left" vertical="center"/>
      <protection locked="0"/>
    </xf>
    <xf numFmtId="0" fontId="43" fillId="0" borderId="1" xfId="0" applyFont="1" applyBorder="1" applyAlignment="1" applyProtection="1">
      <alignment horizontal="left" vertical="center"/>
      <protection locked="0"/>
    </xf>
    <xf numFmtId="0" fontId="41" fillId="0" borderId="34" xfId="0" applyFont="1" applyBorder="1" applyAlignment="1" applyProtection="1">
      <alignment horizontal="left" vertical="center"/>
      <protection locked="0"/>
    </xf>
    <xf numFmtId="0" fontId="38" fillId="0" borderId="1" xfId="0" applyFont="1" applyBorder="1" applyAlignment="1" applyProtection="1">
      <alignment horizontal="left" vertical="center" wrapText="1"/>
      <protection locked="0"/>
    </xf>
    <xf numFmtId="0" fontId="41" fillId="0" borderId="1" xfId="0" applyFont="1" applyBorder="1" applyAlignment="1" applyProtection="1">
      <alignment horizontal="center" vertical="center" wrapText="1"/>
      <protection locked="0"/>
    </xf>
    <xf numFmtId="0" fontId="38" fillId="0" borderId="29" xfId="0" applyFont="1" applyBorder="1" applyAlignment="1" applyProtection="1">
      <alignment horizontal="left" vertical="center" wrapText="1"/>
      <protection locked="0"/>
    </xf>
    <xf numFmtId="0" fontId="38" fillId="0" borderId="30" xfId="0" applyFont="1" applyBorder="1" applyAlignment="1" applyProtection="1">
      <alignment horizontal="left" vertical="center" wrapText="1"/>
      <protection locked="0"/>
    </xf>
    <xf numFmtId="0" fontId="38" fillId="0" borderId="31" xfId="0" applyFont="1" applyBorder="1" applyAlignment="1" applyProtection="1">
      <alignment horizontal="left" vertical="center" wrapText="1"/>
      <protection locked="0"/>
    </xf>
    <xf numFmtId="0" fontId="38" fillId="0" borderId="32" xfId="0" applyFont="1" applyBorder="1" applyAlignment="1" applyProtection="1">
      <alignment horizontal="left" vertical="center" wrapText="1"/>
      <protection locked="0"/>
    </xf>
    <xf numFmtId="0" fontId="38" fillId="0" borderId="33" xfId="0" applyFont="1" applyBorder="1" applyAlignment="1" applyProtection="1">
      <alignment horizontal="left" vertical="center" wrapText="1"/>
      <protection locked="0"/>
    </xf>
    <xf numFmtId="0" fontId="43" fillId="0" borderId="32" xfId="0" applyFont="1" applyBorder="1" applyAlignment="1" applyProtection="1">
      <alignment horizontal="left" vertical="center" wrapText="1"/>
      <protection locked="0"/>
    </xf>
    <xf numFmtId="0" fontId="43" fillId="0" borderId="33" xfId="0" applyFont="1" applyBorder="1" applyAlignment="1" applyProtection="1">
      <alignment horizontal="left" vertical="center" wrapText="1"/>
      <protection locked="0"/>
    </xf>
    <xf numFmtId="0" fontId="41" fillId="0" borderId="32" xfId="0" applyFont="1" applyBorder="1" applyAlignment="1" applyProtection="1">
      <alignment horizontal="left" vertical="center" wrapText="1"/>
      <protection locked="0"/>
    </xf>
    <xf numFmtId="0" fontId="41" fillId="0" borderId="33" xfId="0" applyFont="1" applyBorder="1" applyAlignment="1" applyProtection="1">
      <alignment horizontal="left" vertical="center" wrapText="1"/>
      <protection locked="0"/>
    </xf>
    <xf numFmtId="0" fontId="41" fillId="0" borderId="33" xfId="0" applyFont="1" applyBorder="1" applyAlignment="1" applyProtection="1">
      <alignment horizontal="left" vertical="center"/>
      <protection locked="0"/>
    </xf>
    <xf numFmtId="0" fontId="41" fillId="0" borderId="35" xfId="0" applyFont="1" applyBorder="1" applyAlignment="1" applyProtection="1">
      <alignment horizontal="left" vertical="center" wrapText="1"/>
      <protection locked="0"/>
    </xf>
    <xf numFmtId="0" fontId="41" fillId="0" borderId="34" xfId="0" applyFont="1" applyBorder="1" applyAlignment="1" applyProtection="1">
      <alignment horizontal="left" vertical="center" wrapText="1"/>
      <protection locked="0"/>
    </xf>
    <xf numFmtId="0" fontId="41" fillId="0" borderId="36" xfId="0" applyFont="1" applyBorder="1" applyAlignment="1" applyProtection="1">
      <alignment horizontal="left" vertical="center" wrapText="1"/>
      <protection locked="0"/>
    </xf>
    <xf numFmtId="0" fontId="41" fillId="0" borderId="1" xfId="0" applyFont="1" applyBorder="1" applyAlignment="1" applyProtection="1">
      <alignment horizontal="left" vertical="top"/>
      <protection locked="0"/>
    </xf>
    <xf numFmtId="0" fontId="41" fillId="0" borderId="1" xfId="0" applyFont="1" applyBorder="1" applyAlignment="1" applyProtection="1">
      <alignment horizontal="center" vertical="top"/>
      <protection locked="0"/>
    </xf>
    <xf numFmtId="0" fontId="41" fillId="0" borderId="35" xfId="0" applyFont="1" applyBorder="1" applyAlignment="1" applyProtection="1">
      <alignment horizontal="left" vertical="center"/>
      <protection locked="0"/>
    </xf>
    <xf numFmtId="0" fontId="41" fillId="0" borderId="36" xfId="0" applyFont="1" applyBorder="1" applyAlignment="1" applyProtection="1">
      <alignment horizontal="left"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40" fillId="0" borderId="1" xfId="0" applyFont="1" applyBorder="1" applyAlignment="1" applyProtection="1">
      <alignment vertical="center"/>
      <protection locked="0"/>
    </xf>
    <xf numFmtId="0" fontId="43" fillId="0" borderId="34" xfId="0" applyFont="1" applyBorder="1" applyAlignment="1" applyProtection="1">
      <alignment vertical="center"/>
      <protection locked="0"/>
    </xf>
    <xf numFmtId="0" fontId="40" fillId="0" borderId="34" xfId="0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top"/>
      <protection locked="0"/>
    </xf>
    <xf numFmtId="49" fontId="41" fillId="0" borderId="1" xfId="0" applyNumberFormat="1" applyFont="1" applyBorder="1" applyAlignment="1" applyProtection="1">
      <alignment horizontal="left" vertical="center"/>
      <protection locked="0"/>
    </xf>
    <xf numFmtId="0" fontId="0" fillId="0" borderId="34" xfId="0" applyBorder="1" applyAlignment="1" applyProtection="1">
      <alignment vertical="top"/>
      <protection locked="0"/>
    </xf>
    <xf numFmtId="0" fontId="40" fillId="0" borderId="34" xfId="0" applyFont="1" applyBorder="1" applyAlignment="1" applyProtection="1">
      <alignment horizontal="left"/>
      <protection locked="0"/>
    </xf>
    <xf numFmtId="0" fontId="43" fillId="0" borderId="34" xfId="0" applyFont="1" applyBorder="1" applyAlignment="1" applyProtection="1">
      <protection locked="0"/>
    </xf>
    <xf numFmtId="0" fontId="38" fillId="0" borderId="32" xfId="0" applyFont="1" applyBorder="1" applyAlignment="1" applyProtection="1">
      <alignment vertical="top"/>
      <protection locked="0"/>
    </xf>
    <xf numFmtId="0" fontId="38" fillId="0" borderId="33" xfId="0" applyFont="1" applyBorder="1" applyAlignment="1" applyProtection="1">
      <alignment vertical="top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left" vertical="top"/>
      <protection locked="0"/>
    </xf>
    <xf numFmtId="0" fontId="38" fillId="0" borderId="35" xfId="0" applyFont="1" applyBorder="1" applyAlignment="1" applyProtection="1">
      <alignment vertical="top"/>
      <protection locked="0"/>
    </xf>
    <xf numFmtId="0" fontId="38" fillId="0" borderId="34" xfId="0" applyFont="1" applyBorder="1" applyAlignment="1" applyProtection="1">
      <alignment vertical="top"/>
      <protection locked="0"/>
    </xf>
    <xf numFmtId="0" fontId="38" fillId="0" borderId="36" xfId="0" applyFont="1" applyBorder="1" applyAlignment="1" applyProtection="1">
      <alignment vertical="top"/>
      <protection locked="0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47" fillId="0" borderId="0" xfId="0" applyFont="1" applyAlignment="1">
      <alignment horizontal="left" vertical="center" wrapText="1"/>
    </xf>
    <xf numFmtId="167" fontId="47" fillId="0" borderId="28" xfId="0" applyNumberFormat="1" applyFont="1" applyBorder="1" applyAlignment="1" applyProtection="1">
      <alignment vertical="center"/>
      <protection locked="0"/>
    </xf>
    <xf numFmtId="0" fontId="47" fillId="0" borderId="0" xfId="0" applyFont="1" applyAlignment="1">
      <alignment horizontal="left" vertical="center"/>
    </xf>
    <xf numFmtId="167" fontId="47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vertical="center"/>
    </xf>
    <xf numFmtId="167" fontId="48" fillId="0" borderId="0" xfId="0" applyNumberFormat="1" applyFont="1" applyAlignment="1">
      <alignment vertical="center"/>
    </xf>
    <xf numFmtId="167" fontId="48" fillId="0" borderId="28" xfId="0" applyNumberFormat="1" applyFont="1" applyBorder="1" applyAlignment="1" applyProtection="1">
      <alignment vertical="center"/>
      <protection locked="0"/>
    </xf>
    <xf numFmtId="167" fontId="49" fillId="0" borderId="28" xfId="0" applyNumberFormat="1" applyFont="1" applyBorder="1" applyAlignment="1" applyProtection="1">
      <alignment vertical="center"/>
      <protection locked="0"/>
    </xf>
    <xf numFmtId="0" fontId="50" fillId="0" borderId="0" xfId="0" applyFont="1" applyAlignment="1">
      <alignment horizontal="left" vertical="center" wrapText="1"/>
    </xf>
    <xf numFmtId="167" fontId="51" fillId="0" borderId="28" xfId="0" applyNumberFormat="1" applyFont="1" applyBorder="1" applyAlignment="1" applyProtection="1">
      <alignment vertical="center"/>
      <protection locked="0"/>
    </xf>
    <xf numFmtId="0" fontId="49" fillId="0" borderId="28" xfId="0" applyFont="1" applyBorder="1" applyAlignment="1" applyProtection="1">
      <alignment horizontal="left" vertical="center" wrapText="1"/>
      <protection locked="0"/>
    </xf>
    <xf numFmtId="49" fontId="50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49" fontId="47" fillId="0" borderId="0" xfId="0" applyNumberFormat="1" applyFont="1" applyAlignment="1">
      <alignment horizontal="left" vertical="center" wrapText="1"/>
    </xf>
    <xf numFmtId="0" fontId="47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52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52" fillId="0" borderId="0" xfId="0" applyNumberFormat="1" applyFont="1" applyAlignment="1">
      <alignment horizontal="left" vertical="center" wrapText="1"/>
    </xf>
    <xf numFmtId="0" fontId="47" fillId="0" borderId="0" xfId="0" applyFont="1" applyAlignment="1">
      <alignment horizontal="right" vertical="center"/>
    </xf>
    <xf numFmtId="0" fontId="50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49" fontId="0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center" vertical="center" wrapText="1"/>
      <protection locked="0"/>
    </xf>
    <xf numFmtId="167" fontId="49" fillId="0" borderId="1" xfId="0" applyNumberFormat="1" applyFont="1" applyBorder="1" applyAlignment="1" applyProtection="1">
      <alignment vertical="center"/>
      <protection locked="0"/>
    </xf>
    <xf numFmtId="4" fontId="0" fillId="4" borderId="1" xfId="0" applyNumberFormat="1" applyFont="1" applyFill="1" applyBorder="1" applyAlignment="1" applyProtection="1">
      <alignment vertical="center"/>
      <protection locked="0"/>
    </xf>
    <xf numFmtId="4" fontId="0" fillId="0" borderId="1" xfId="0" applyNumberFormat="1" applyFont="1" applyBorder="1" applyAlignment="1" applyProtection="1">
      <alignment vertical="center"/>
      <protection locked="0"/>
    </xf>
    <xf numFmtId="0" fontId="1" fillId="4" borderId="18" xfId="0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47" fillId="0" borderId="1" xfId="0" applyFont="1" applyBorder="1" applyAlignment="1" applyProtection="1">
      <alignment horizontal="left" vertical="center" wrapText="1"/>
      <protection locked="0"/>
    </xf>
    <xf numFmtId="0" fontId="47" fillId="0" borderId="1" xfId="0" applyFont="1" applyBorder="1" applyAlignment="1" applyProtection="1">
      <alignment horizontal="center" vertical="center" wrapText="1"/>
      <protection locked="0"/>
    </xf>
    <xf numFmtId="167" fontId="47" fillId="0" borderId="1" xfId="0" applyNumberFormat="1" applyFont="1" applyBorder="1" applyAlignment="1" applyProtection="1">
      <alignment vertical="center"/>
      <protection locked="0"/>
    </xf>
    <xf numFmtId="49" fontId="47" fillId="0" borderId="1" xfId="0" applyNumberFormat="1" applyFont="1" applyBorder="1" applyAlignment="1" applyProtection="1">
      <alignment horizontal="left" vertical="center" wrapText="1"/>
      <protection locked="0"/>
    </xf>
    <xf numFmtId="49" fontId="49" fillId="0" borderId="28" xfId="0" applyNumberFormat="1" applyFont="1" applyBorder="1" applyAlignment="1" applyProtection="1">
      <alignment horizontal="left" vertical="center" wrapText="1"/>
      <protection locked="0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49" fontId="49" fillId="0" borderId="1" xfId="0" applyNumberFormat="1" applyFont="1" applyBorder="1" applyAlignment="1" applyProtection="1">
      <alignment horizontal="left" vertical="center" wrapText="1"/>
      <protection locked="0"/>
    </xf>
    <xf numFmtId="0" fontId="49" fillId="0" borderId="1" xfId="0" applyFont="1" applyBorder="1" applyAlignment="1" applyProtection="1">
      <alignment horizontal="left" vertical="center" wrapText="1"/>
      <protection locked="0"/>
    </xf>
    <xf numFmtId="167" fontId="55" fillId="0" borderId="28" xfId="0" applyNumberFormat="1" applyFont="1" applyBorder="1" applyAlignment="1" applyProtection="1">
      <alignment vertical="center"/>
      <protection locked="0"/>
    </xf>
    <xf numFmtId="0" fontId="47" fillId="0" borderId="0" xfId="0" applyFont="1" applyAlignment="1" applyProtection="1">
      <alignment vertical="center"/>
      <protection locked="0"/>
    </xf>
    <xf numFmtId="0" fontId="56" fillId="0" borderId="0" xfId="0" applyFont="1" applyAlignment="1">
      <alignment vertical="center" wrapText="1"/>
    </xf>
    <xf numFmtId="0" fontId="10" fillId="0" borderId="1" xfId="0" applyFont="1" applyBorder="1" applyAlignment="1">
      <alignment vertical="center"/>
    </xf>
    <xf numFmtId="49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167" fontId="57" fillId="0" borderId="28" xfId="0" applyNumberFormat="1" applyFont="1" applyBorder="1" applyAlignment="1" applyProtection="1">
      <alignment vertical="center"/>
      <protection locked="0"/>
    </xf>
    <xf numFmtId="0" fontId="49" fillId="0" borderId="28" xfId="0" applyFont="1" applyBorder="1" applyAlignment="1" applyProtection="1">
      <alignment horizontal="center" vertical="center" wrapText="1"/>
      <protection locked="0"/>
    </xf>
    <xf numFmtId="0" fontId="58" fillId="0" borderId="28" xfId="0" applyFont="1" applyBorder="1" applyAlignment="1" applyProtection="1">
      <alignment horizontal="left" vertical="center" wrapText="1"/>
      <protection locked="0"/>
    </xf>
    <xf numFmtId="0" fontId="59" fillId="0" borderId="28" xfId="0" applyFont="1" applyBorder="1" applyAlignment="1" applyProtection="1">
      <alignment horizontal="left" vertical="center" wrapText="1"/>
      <protection locked="0"/>
    </xf>
    <xf numFmtId="0" fontId="60" fillId="0" borderId="0" xfId="0" applyFont="1" applyAlignment="1">
      <alignment vertical="center"/>
    </xf>
    <xf numFmtId="0" fontId="61" fillId="0" borderId="28" xfId="0" applyFont="1" applyBorder="1" applyAlignment="1" applyProtection="1">
      <alignment horizontal="left" vertical="center" wrapText="1"/>
      <protection locked="0"/>
    </xf>
    <xf numFmtId="0" fontId="55" fillId="0" borderId="28" xfId="0" applyFont="1" applyBorder="1" applyAlignment="1" applyProtection="1">
      <alignment horizontal="left" vertical="center" wrapText="1"/>
      <protection locked="0"/>
    </xf>
    <xf numFmtId="0" fontId="50" fillId="0" borderId="0" xfId="0" applyFont="1" applyAlignment="1">
      <alignment vertical="center"/>
    </xf>
    <xf numFmtId="0" fontId="61" fillId="0" borderId="28" xfId="0" applyFont="1" applyBorder="1" applyAlignment="1" applyProtection="1">
      <alignment horizontal="center" vertical="center" wrapText="1"/>
      <protection locked="0"/>
    </xf>
    <xf numFmtId="167" fontId="47" fillId="0" borderId="0" xfId="0" applyNumberFormat="1" applyFont="1" applyAlignment="1">
      <alignment horizontal="left" vertical="center" wrapText="1"/>
    </xf>
    <xf numFmtId="0" fontId="49" fillId="0" borderId="0" xfId="0" applyFont="1" applyAlignment="1">
      <alignment vertical="center"/>
    </xf>
    <xf numFmtId="0" fontId="6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36" fillId="0" borderId="1" xfId="0" applyFont="1" applyBorder="1" applyAlignment="1">
      <alignment horizontal="center" vertical="center"/>
    </xf>
    <xf numFmtId="0" fontId="47" fillId="0" borderId="28" xfId="0" applyFont="1" applyBorder="1" applyAlignment="1" applyProtection="1">
      <alignment horizontal="center" vertical="center" wrapText="1"/>
      <protection locked="0"/>
    </xf>
    <xf numFmtId="167" fontId="47" fillId="4" borderId="28" xfId="0" applyNumberFormat="1" applyFont="1" applyFill="1" applyBorder="1" applyAlignment="1" applyProtection="1">
      <alignment vertical="center"/>
      <protection locked="0"/>
    </xf>
    <xf numFmtId="167" fontId="47" fillId="0" borderId="0" xfId="0" applyNumberFormat="1" applyFont="1" applyAlignment="1">
      <alignment horizontal="right" vertical="center"/>
    </xf>
    <xf numFmtId="167" fontId="51" fillId="4" borderId="28" xfId="0" applyNumberFormat="1" applyFont="1" applyFill="1" applyBorder="1" applyAlignment="1" applyProtection="1">
      <alignment vertical="center"/>
      <protection locked="0"/>
    </xf>
    <xf numFmtId="49" fontId="63" fillId="0" borderId="28" xfId="0" applyNumberFormat="1" applyFont="1" applyBorder="1" applyAlignment="1" applyProtection="1">
      <alignment horizontal="left" vertical="center" wrapText="1"/>
      <protection locked="0"/>
    </xf>
    <xf numFmtId="0" fontId="63" fillId="0" borderId="28" xfId="0" applyFont="1" applyBorder="1" applyAlignment="1" applyProtection="1">
      <alignment horizontal="left" vertical="center" wrapText="1"/>
      <protection locked="0"/>
    </xf>
    <xf numFmtId="0" fontId="62" fillId="0" borderId="0" xfId="0" applyFont="1" applyAlignment="1">
      <alignment vertical="center" wrapText="1"/>
    </xf>
    <xf numFmtId="0" fontId="64" fillId="0" borderId="0" xfId="0" applyFont="1" applyAlignment="1">
      <alignment horizontal="left" vertical="center"/>
    </xf>
    <xf numFmtId="0" fontId="48" fillId="0" borderId="0" xfId="0" applyFont="1" applyAlignment="1"/>
    <xf numFmtId="167" fontId="48" fillId="4" borderId="28" xfId="0" applyNumberFormat="1" applyFont="1" applyFill="1" applyBorder="1" applyAlignment="1" applyProtection="1">
      <alignment vertical="center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49" fontId="36" fillId="0" borderId="1" xfId="0" applyNumberFormat="1" applyFont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 applyProtection="1">
      <alignment horizontal="left" vertical="center" wrapText="1"/>
      <protection locked="0"/>
    </xf>
    <xf numFmtId="4" fontId="36" fillId="4" borderId="1" xfId="0" applyNumberFormat="1" applyFont="1" applyFill="1" applyBorder="1" applyAlignment="1" applyProtection="1">
      <alignment vertical="center"/>
      <protection locked="0"/>
    </xf>
    <xf numFmtId="0" fontId="36" fillId="4" borderId="18" xfId="0" applyFont="1" applyFill="1" applyBorder="1" applyAlignment="1" applyProtection="1">
      <alignment horizontal="left" vertical="center"/>
      <protection locked="0"/>
    </xf>
    <xf numFmtId="0" fontId="0" fillId="0" borderId="28" xfId="0" applyBorder="1" applyAlignment="1" applyProtection="1">
      <alignment horizontal="left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7" borderId="28" xfId="0" applyFont="1" applyFill="1" applyBorder="1" applyAlignment="1" applyProtection="1">
      <alignment horizontal="center" vertical="center"/>
      <protection locked="0"/>
    </xf>
    <xf numFmtId="0" fontId="36" fillId="7" borderId="28" xfId="0" applyFont="1" applyFill="1" applyBorder="1" applyAlignment="1" applyProtection="1">
      <alignment horizontal="center" vertical="center"/>
      <protection locked="0"/>
    </xf>
    <xf numFmtId="0" fontId="58" fillId="0" borderId="0" xfId="0" applyFont="1" applyAlignment="1">
      <alignment vertical="center"/>
    </xf>
    <xf numFmtId="0" fontId="65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 wrapText="1"/>
    </xf>
    <xf numFmtId="167" fontId="58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4" fontId="0" fillId="8" borderId="28" xfId="0" applyNumberFormat="1" applyFont="1" applyFill="1" applyBorder="1" applyAlignment="1" applyProtection="1">
      <alignment vertical="center"/>
      <protection locked="0"/>
    </xf>
    <xf numFmtId="0" fontId="0" fillId="8" borderId="28" xfId="0" applyFont="1" applyFill="1" applyBorder="1" applyAlignment="1" applyProtection="1">
      <alignment horizontal="left" vertical="center" wrapText="1"/>
      <protection locked="0"/>
    </xf>
    <xf numFmtId="0" fontId="0" fillId="8" borderId="28" xfId="0" applyFont="1" applyFill="1" applyBorder="1" applyAlignment="1" applyProtection="1">
      <alignment horizontal="center" vertical="center" wrapText="1"/>
      <protection locked="0"/>
    </xf>
    <xf numFmtId="0" fontId="0" fillId="8" borderId="28" xfId="0" applyFont="1" applyFill="1" applyBorder="1" applyAlignment="1" applyProtection="1">
      <alignment horizontal="center" vertical="center"/>
      <protection locked="0"/>
    </xf>
    <xf numFmtId="49" fontId="0" fillId="8" borderId="28" xfId="0" applyNumberFormat="1" applyFont="1" applyFill="1" applyBorder="1" applyAlignment="1" applyProtection="1">
      <alignment horizontal="left" vertical="center" wrapText="1"/>
      <protection locked="0"/>
    </xf>
    <xf numFmtId="0" fontId="67" fillId="0" borderId="28" xfId="0" applyFont="1" applyBorder="1" applyAlignment="1" applyProtection="1">
      <alignment horizontal="center" vertical="center"/>
      <protection locked="0"/>
    </xf>
    <xf numFmtId="49" fontId="67" fillId="0" borderId="28" xfId="0" applyNumberFormat="1" applyFont="1" applyBorder="1" applyAlignment="1" applyProtection="1">
      <alignment horizontal="left" vertical="center" wrapText="1"/>
      <protection locked="0"/>
    </xf>
    <xf numFmtId="0" fontId="67" fillId="0" borderId="28" xfId="0" applyFont="1" applyBorder="1" applyAlignment="1" applyProtection="1">
      <alignment horizontal="left" vertical="center" wrapText="1"/>
      <protection locked="0"/>
    </xf>
    <xf numFmtId="0" fontId="67" fillId="0" borderId="28" xfId="0" applyFont="1" applyBorder="1" applyAlignment="1" applyProtection="1">
      <alignment horizontal="center" vertical="center" wrapText="1"/>
      <protection locked="0"/>
    </xf>
    <xf numFmtId="167" fontId="67" fillId="0" borderId="28" xfId="0" applyNumberFormat="1" applyFont="1" applyBorder="1" applyAlignment="1" applyProtection="1">
      <alignment vertical="center"/>
      <protection locked="0"/>
    </xf>
    <xf numFmtId="4" fontId="67" fillId="4" borderId="28" xfId="0" applyNumberFormat="1" applyFont="1" applyFill="1" applyBorder="1" applyAlignment="1" applyProtection="1">
      <alignment vertical="center"/>
      <protection locked="0"/>
    </xf>
    <xf numFmtId="4" fontId="67" fillId="0" borderId="28" xfId="0" applyNumberFormat="1" applyFont="1" applyBorder="1" applyAlignment="1" applyProtection="1">
      <alignment vertical="center"/>
      <protection locked="0"/>
    </xf>
    <xf numFmtId="0" fontId="67" fillId="0" borderId="0" xfId="0" applyFont="1" applyAlignment="1">
      <alignment vertical="center"/>
    </xf>
    <xf numFmtId="0" fontId="68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 wrapText="1"/>
    </xf>
    <xf numFmtId="167" fontId="67" fillId="0" borderId="0" xfId="0" applyNumberFormat="1" applyFont="1" applyAlignment="1">
      <alignment vertical="center"/>
    </xf>
    <xf numFmtId="0" fontId="67" fillId="0" borderId="0" xfId="0" applyFont="1" applyAlignment="1" applyProtection="1">
      <alignment vertical="center"/>
      <protection locked="0"/>
    </xf>
    <xf numFmtId="0" fontId="69" fillId="0" borderId="28" xfId="0" applyFont="1" applyBorder="1" applyAlignment="1" applyProtection="1">
      <alignment horizontal="center" vertical="center"/>
      <protection locked="0"/>
    </xf>
    <xf numFmtId="49" fontId="69" fillId="0" borderId="28" xfId="0" applyNumberFormat="1" applyFont="1" applyBorder="1" applyAlignment="1" applyProtection="1">
      <alignment horizontal="left" vertical="center" wrapText="1"/>
      <protection locked="0"/>
    </xf>
    <xf numFmtId="0" fontId="69" fillId="0" borderId="28" xfId="0" applyFont="1" applyBorder="1" applyAlignment="1" applyProtection="1">
      <alignment horizontal="left" vertical="center" wrapText="1"/>
      <protection locked="0"/>
    </xf>
    <xf numFmtId="0" fontId="69" fillId="0" borderId="28" xfId="0" applyFont="1" applyBorder="1" applyAlignment="1" applyProtection="1">
      <alignment horizontal="center" vertical="center" wrapText="1"/>
      <protection locked="0"/>
    </xf>
    <xf numFmtId="167" fontId="69" fillId="0" borderId="28" xfId="0" applyNumberFormat="1" applyFont="1" applyBorder="1" applyAlignment="1" applyProtection="1">
      <alignment vertical="center"/>
      <protection locked="0"/>
    </xf>
    <xf numFmtId="4" fontId="69" fillId="4" borderId="28" xfId="0" applyNumberFormat="1" applyFont="1" applyFill="1" applyBorder="1" applyAlignment="1" applyProtection="1">
      <alignment vertical="center"/>
      <protection locked="0"/>
    </xf>
    <xf numFmtId="4" fontId="69" fillId="0" borderId="28" xfId="0" applyNumberFormat="1" applyFont="1" applyBorder="1" applyAlignment="1" applyProtection="1">
      <alignment vertical="center"/>
      <protection locked="0"/>
    </xf>
    <xf numFmtId="0" fontId="0" fillId="0" borderId="0" xfId="0" applyFont="1" applyAlignment="1">
      <alignment vertical="center"/>
    </xf>
    <xf numFmtId="0" fontId="0" fillId="8" borderId="1" xfId="0" applyFont="1" applyFill="1" applyBorder="1" applyAlignment="1" applyProtection="1">
      <alignment horizontal="center" vertical="center"/>
      <protection locked="0"/>
    </xf>
    <xf numFmtId="0" fontId="9" fillId="8" borderId="0" xfId="0" applyFont="1" applyFill="1" applyAlignment="1">
      <alignment vertical="center"/>
    </xf>
    <xf numFmtId="0" fontId="35" fillId="8" borderId="0" xfId="0" applyFont="1" applyFill="1" applyAlignment="1">
      <alignment horizontal="left" vertical="center"/>
    </xf>
    <xf numFmtId="0" fontId="8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36" fillId="8" borderId="1" xfId="0" applyFont="1" applyFill="1" applyBorder="1" applyAlignment="1" applyProtection="1">
      <alignment horizontal="center" vertical="center"/>
      <protection locked="0"/>
    </xf>
    <xf numFmtId="4" fontId="0" fillId="0" borderId="5" xfId="0" applyNumberFormat="1" applyFont="1" applyBorder="1" applyAlignment="1">
      <alignment vertical="center"/>
    </xf>
    <xf numFmtId="4" fontId="7" fillId="0" borderId="5" xfId="0" applyNumberFormat="1" applyFont="1" applyBorder="1" applyAlignment="1"/>
    <xf numFmtId="4" fontId="5" fillId="0" borderId="6" xfId="0" applyNumberFormat="1" applyFont="1" applyBorder="1" applyAlignment="1">
      <alignment vertical="center"/>
    </xf>
    <xf numFmtId="4" fontId="20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0" fillId="5" borderId="10" xfId="0" applyFont="1" applyFill="1" applyBorder="1" applyAlignment="1">
      <alignment vertical="center"/>
    </xf>
    <xf numFmtId="4" fontId="3" fillId="5" borderId="10" xfId="0" applyNumberFormat="1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2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0" fillId="0" borderId="0" xfId="0"/>
    <xf numFmtId="4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vertical="center"/>
    </xf>
    <xf numFmtId="4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/>
    <xf numFmtId="0" fontId="3" fillId="0" borderId="0" xfId="0" applyFont="1" applyBorder="1" applyAlignment="1">
      <alignment horizontal="left" vertical="top" wrapText="1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4" fontId="21" fillId="0" borderId="8" xfId="0" applyNumberFormat="1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31" fillId="2" borderId="0" xfId="1" applyFont="1" applyFill="1" applyAlignment="1">
      <alignment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39" fillId="0" borderId="1" xfId="0" applyFont="1" applyBorder="1" applyAlignment="1" applyProtection="1">
      <alignment horizontal="center" vertical="center" wrapText="1"/>
      <protection locked="0"/>
    </xf>
    <xf numFmtId="0" fontId="41" fillId="0" borderId="1" xfId="0" applyFont="1" applyBorder="1" applyAlignment="1" applyProtection="1">
      <alignment horizontal="left" vertical="top"/>
      <protection locked="0"/>
    </xf>
    <xf numFmtId="0" fontId="41" fillId="0" borderId="1" xfId="0" applyFont="1" applyBorder="1" applyAlignment="1" applyProtection="1">
      <alignment horizontal="left" vertical="center"/>
      <protection locked="0"/>
    </xf>
    <xf numFmtId="0" fontId="41" fillId="0" borderId="1" xfId="0" applyFont="1" applyBorder="1" applyAlignment="1" applyProtection="1">
      <alignment horizontal="left" vertical="center" wrapText="1"/>
      <protection locked="0"/>
    </xf>
    <xf numFmtId="49" fontId="41" fillId="0" borderId="1" xfId="0" applyNumberFormat="1" applyFont="1" applyBorder="1" applyAlignment="1" applyProtection="1">
      <alignment horizontal="left" vertical="center" wrapText="1"/>
      <protection locked="0"/>
    </xf>
    <xf numFmtId="0" fontId="39" fillId="0" borderId="1" xfId="0" applyFont="1" applyBorder="1" applyAlignment="1" applyProtection="1">
      <alignment horizontal="center" vertical="center"/>
      <protection locked="0"/>
    </xf>
    <xf numFmtId="0" fontId="40" fillId="0" borderId="34" xfId="0" applyFont="1" applyBorder="1" applyAlignment="1" applyProtection="1">
      <alignment horizontal="left"/>
      <protection locked="0"/>
    </xf>
    <xf numFmtId="0" fontId="40" fillId="0" borderId="34" xfId="0" applyFont="1" applyBorder="1" applyAlignment="1" applyProtection="1">
      <alignment horizontal="left" wrapText="1"/>
      <protection locked="0"/>
    </xf>
  </cellXfs>
  <cellStyles count="2">
    <cellStyle name="Hypertextový odkaz" xfId="1" builtinId="8"/>
    <cellStyle name="Normální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pro-rozpocty.cz/software-a-data/kros-4-ocenovani-a-rizeni-stavebni-vyroby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pro-rozpocty.cz/software-a-data/kros-4-ocenovani-a-rizeni-stavebni-vyroby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71145" cy="271145"/>
    <xdr:pic>
      <xdr:nvPicPr>
        <xdr:cNvPr id="2" name="Picture 1">
          <a:hlinkClick xmlns:r="http://schemas.openxmlformats.org/officeDocument/2006/relationships" r:id="rId1" tooltip="http://www.pro-rozpocty.cz/software-a-data/kros-4-ocenovani-a-rizeni-stavebni-vyroby/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76860" cy="276860"/>
    <xdr:pic>
      <xdr:nvPicPr>
        <xdr:cNvPr id="2" name="Picture 1">
          <a:hlinkClick xmlns:r="http://schemas.openxmlformats.org/officeDocument/2006/relationships" r:id="rId1" tooltip="http://www.pro-rozpocty.cz/software-a-data/kros-4-ocenovani-a-rizeni-stavebni-vyroby/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54"/>
  <sheetViews>
    <sheetView showGridLines="0" tabSelected="1" view="pageBreakPreview" zoomScaleNormal="100" zoomScaleSheetLayoutView="100" workbookViewId="0">
      <pane ySplit="1" topLeftCell="A12" activePane="bottomLeft" state="frozen"/>
      <selection pane="bottomLeft" activeCell="AN53" sqref="AN53"/>
    </sheetView>
  </sheetViews>
  <sheetFormatPr defaultRowHeight="13.5" x14ac:dyDescent="0.3"/>
  <cols>
    <col min="1" max="1" width="8.33203125" customWidth="1"/>
    <col min="2" max="2" width="1.6640625" customWidth="1"/>
    <col min="3" max="3" width="4.1640625" customWidth="1"/>
    <col min="4" max="33" width="2.6640625" customWidth="1"/>
    <col min="34" max="34" width="3.33203125" customWidth="1"/>
    <col min="35" max="35" width="31.6640625" customWidth="1"/>
    <col min="36" max="37" width="2.5" customWidth="1"/>
    <col min="38" max="38" width="8.33203125" customWidth="1"/>
    <col min="39" max="39" width="3.33203125" customWidth="1"/>
    <col min="40" max="40" width="13.33203125" customWidth="1"/>
    <col min="41" max="41" width="7.5" customWidth="1"/>
    <col min="42" max="42" width="4.1640625" customWidth="1"/>
    <col min="43" max="43" width="15.6640625" customWidth="1"/>
    <col min="44" max="44" width="13.6640625" customWidth="1"/>
    <col min="45" max="47" width="25.83203125" hidden="1" customWidth="1"/>
    <col min="48" max="52" width="21.6640625" hidden="1" customWidth="1"/>
    <col min="53" max="53" width="19.1640625" hidden="1" customWidth="1"/>
    <col min="54" max="54" width="25" hidden="1" customWidth="1"/>
    <col min="55" max="56" width="19.1640625" hidden="1" customWidth="1"/>
    <col min="57" max="57" width="66.5" customWidth="1"/>
    <col min="71" max="91" width="9.33203125" hidden="1"/>
  </cols>
  <sheetData>
    <row r="1" spans="1:74" ht="21.4" customHeight="1" x14ac:dyDescent="0.3">
      <c r="A1" s="16" t="s">
        <v>0</v>
      </c>
      <c r="B1" s="17"/>
      <c r="C1" s="17"/>
      <c r="D1" s="18" t="s">
        <v>1</v>
      </c>
      <c r="E1" s="17"/>
      <c r="F1" s="17"/>
      <c r="G1" s="17"/>
      <c r="H1" s="17"/>
      <c r="I1" s="17"/>
      <c r="J1" s="17"/>
      <c r="K1" s="19" t="s">
        <v>2</v>
      </c>
      <c r="L1" s="19"/>
      <c r="M1" s="19"/>
      <c r="N1" s="19"/>
      <c r="O1" s="19"/>
      <c r="P1" s="19"/>
      <c r="Q1" s="19"/>
      <c r="R1" s="19"/>
      <c r="S1" s="19"/>
      <c r="T1" s="17"/>
      <c r="U1" s="17"/>
      <c r="V1" s="17"/>
      <c r="W1" s="19" t="s">
        <v>3</v>
      </c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20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2" t="s">
        <v>4</v>
      </c>
      <c r="BB1" s="22" t="s">
        <v>5</v>
      </c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T1" s="23" t="s">
        <v>6</v>
      </c>
      <c r="BU1" s="23" t="s">
        <v>6</v>
      </c>
      <c r="BV1" s="23" t="s">
        <v>7</v>
      </c>
    </row>
    <row r="2" spans="1:74" ht="36.950000000000003" customHeight="1" x14ac:dyDescent="0.3">
      <c r="AR2" s="452" t="s">
        <v>8</v>
      </c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  <c r="BS2" s="24" t="s">
        <v>9</v>
      </c>
      <c r="BT2" s="24" t="s">
        <v>10</v>
      </c>
    </row>
    <row r="3" spans="1:74" ht="6.95" customHeight="1" x14ac:dyDescent="0.3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7"/>
      <c r="BS3" s="24" t="s">
        <v>11</v>
      </c>
      <c r="BT3" s="24" t="s">
        <v>12</v>
      </c>
    </row>
    <row r="4" spans="1:74" ht="36.950000000000003" customHeight="1" x14ac:dyDescent="0.3">
      <c r="B4" s="28"/>
      <c r="C4" s="29"/>
      <c r="D4" s="30" t="s">
        <v>13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31"/>
      <c r="AS4" s="32" t="s">
        <v>14</v>
      </c>
      <c r="BE4" s="33" t="s">
        <v>15</v>
      </c>
      <c r="BS4" s="24" t="s">
        <v>16</v>
      </c>
    </row>
    <row r="5" spans="1:74" ht="14.45" customHeight="1" x14ac:dyDescent="0.3">
      <c r="B5" s="28"/>
      <c r="C5" s="29"/>
      <c r="D5" s="34" t="s">
        <v>17</v>
      </c>
      <c r="E5" s="29"/>
      <c r="F5" s="29"/>
      <c r="G5" s="29"/>
      <c r="H5" s="29"/>
      <c r="I5" s="29"/>
      <c r="J5" s="29"/>
      <c r="K5" s="464" t="s">
        <v>18</v>
      </c>
      <c r="L5" s="465"/>
      <c r="M5" s="465"/>
      <c r="N5" s="465"/>
      <c r="O5" s="465"/>
      <c r="P5" s="465"/>
      <c r="Q5" s="465"/>
      <c r="R5" s="465"/>
      <c r="S5" s="465"/>
      <c r="T5" s="465"/>
      <c r="U5" s="465"/>
      <c r="V5" s="465"/>
      <c r="W5" s="465"/>
      <c r="X5" s="465"/>
      <c r="Y5" s="465"/>
      <c r="Z5" s="465"/>
      <c r="AA5" s="465"/>
      <c r="AB5" s="465"/>
      <c r="AC5" s="465"/>
      <c r="AD5" s="465"/>
      <c r="AE5" s="465"/>
      <c r="AF5" s="465"/>
      <c r="AG5" s="465"/>
      <c r="AH5" s="465"/>
      <c r="AI5" s="465"/>
      <c r="AJ5" s="465"/>
      <c r="AK5" s="465"/>
      <c r="AL5" s="465"/>
      <c r="AM5" s="465"/>
      <c r="AN5" s="465"/>
      <c r="AO5" s="465"/>
      <c r="AP5" s="29"/>
      <c r="AQ5" s="31"/>
      <c r="BE5" s="462" t="s">
        <v>19</v>
      </c>
      <c r="BS5" s="24" t="s">
        <v>9</v>
      </c>
    </row>
    <row r="6" spans="1:74" ht="36.950000000000003" customHeight="1" x14ac:dyDescent="0.3">
      <c r="B6" s="28"/>
      <c r="C6" s="29"/>
      <c r="D6" s="36" t="s">
        <v>20</v>
      </c>
      <c r="E6" s="29"/>
      <c r="F6" s="29"/>
      <c r="G6" s="29"/>
      <c r="H6" s="29"/>
      <c r="I6" s="29"/>
      <c r="J6" s="29"/>
      <c r="K6" s="466" t="s">
        <v>21</v>
      </c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  <c r="AM6" s="465"/>
      <c r="AN6" s="465"/>
      <c r="AO6" s="465"/>
      <c r="AP6" s="29"/>
      <c r="AQ6" s="31"/>
      <c r="BE6" s="463"/>
      <c r="BS6" s="24" t="s">
        <v>9</v>
      </c>
    </row>
    <row r="7" spans="1:74" ht="14.45" customHeight="1" x14ac:dyDescent="0.3">
      <c r="B7" s="28"/>
      <c r="C7" s="29"/>
      <c r="D7" s="37" t="s">
        <v>22</v>
      </c>
      <c r="E7" s="29"/>
      <c r="F7" s="29"/>
      <c r="G7" s="29"/>
      <c r="H7" s="29"/>
      <c r="I7" s="29"/>
      <c r="J7" s="29"/>
      <c r="K7" s="35" t="s">
        <v>5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37" t="s">
        <v>23</v>
      </c>
      <c r="AL7" s="29"/>
      <c r="AM7" s="29"/>
      <c r="AN7" s="35" t="s">
        <v>5</v>
      </c>
      <c r="AO7" s="29"/>
      <c r="AP7" s="29"/>
      <c r="AQ7" s="31"/>
      <c r="BE7" s="463"/>
      <c r="BS7" s="24" t="s">
        <v>9</v>
      </c>
    </row>
    <row r="8" spans="1:74" ht="14.45" customHeight="1" x14ac:dyDescent="0.3">
      <c r="B8" s="28"/>
      <c r="C8" s="29"/>
      <c r="D8" s="37" t="s">
        <v>24</v>
      </c>
      <c r="E8" s="29"/>
      <c r="F8" s="29"/>
      <c r="G8" s="29"/>
      <c r="H8" s="29"/>
      <c r="I8" s="29"/>
      <c r="J8" s="29"/>
      <c r="K8" s="35" t="s">
        <v>25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37" t="s">
        <v>26</v>
      </c>
      <c r="AL8" s="29"/>
      <c r="AM8" s="29"/>
      <c r="AN8" s="38" t="s">
        <v>27</v>
      </c>
      <c r="AO8" s="29"/>
      <c r="AP8" s="29"/>
      <c r="AQ8" s="31"/>
      <c r="BE8" s="463"/>
      <c r="BS8" s="24" t="s">
        <v>9</v>
      </c>
    </row>
    <row r="9" spans="1:74" ht="14.45" customHeight="1" x14ac:dyDescent="0.3"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31"/>
      <c r="BE9" s="463"/>
      <c r="BS9" s="24" t="s">
        <v>9</v>
      </c>
    </row>
    <row r="10" spans="1:74" ht="14.45" customHeight="1" x14ac:dyDescent="0.3">
      <c r="B10" s="28"/>
      <c r="C10" s="29"/>
      <c r="D10" s="37" t="s">
        <v>28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37" t="s">
        <v>29</v>
      </c>
      <c r="AL10" s="29"/>
      <c r="AM10" s="29"/>
      <c r="AN10" s="35" t="s">
        <v>5</v>
      </c>
      <c r="AO10" s="29"/>
      <c r="AP10" s="29"/>
      <c r="AQ10" s="31"/>
      <c r="BE10" s="463"/>
      <c r="BS10" s="24" t="s">
        <v>9</v>
      </c>
    </row>
    <row r="11" spans="1:74" ht="18.399999999999999" customHeight="1" x14ac:dyDescent="0.3">
      <c r="B11" s="28"/>
      <c r="C11" s="29"/>
      <c r="D11" s="29"/>
      <c r="E11" s="35" t="s">
        <v>30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37" t="s">
        <v>31</v>
      </c>
      <c r="AL11" s="29"/>
      <c r="AM11" s="29"/>
      <c r="AN11" s="35" t="s">
        <v>5</v>
      </c>
      <c r="AO11" s="29"/>
      <c r="AP11" s="29"/>
      <c r="AQ11" s="31"/>
      <c r="BE11" s="463"/>
      <c r="BS11" s="24" t="s">
        <v>9</v>
      </c>
    </row>
    <row r="12" spans="1:74" ht="6.95" customHeight="1" x14ac:dyDescent="0.3"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31"/>
      <c r="BE12" s="463"/>
      <c r="BS12" s="24" t="s">
        <v>9</v>
      </c>
    </row>
    <row r="13" spans="1:74" ht="14.45" customHeight="1" x14ac:dyDescent="0.3">
      <c r="B13" s="28"/>
      <c r="C13" s="29"/>
      <c r="D13" s="37" t="s">
        <v>32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37" t="s">
        <v>29</v>
      </c>
      <c r="AL13" s="29"/>
      <c r="AM13" s="29"/>
      <c r="AN13" s="39" t="s">
        <v>1193</v>
      </c>
      <c r="AO13" s="29"/>
      <c r="AP13" s="29"/>
      <c r="AQ13" s="31"/>
      <c r="BE13" s="463"/>
      <c r="BS13" s="24" t="s">
        <v>9</v>
      </c>
    </row>
    <row r="14" spans="1:74" ht="15" x14ac:dyDescent="0.3">
      <c r="B14" s="28"/>
      <c r="C14" s="29"/>
      <c r="D14" s="29"/>
      <c r="E14" s="467" t="s">
        <v>1192</v>
      </c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  <c r="AA14" s="468"/>
      <c r="AB14" s="468"/>
      <c r="AC14" s="468"/>
      <c r="AD14" s="468"/>
      <c r="AE14" s="468"/>
      <c r="AF14" s="468"/>
      <c r="AG14" s="468"/>
      <c r="AH14" s="468"/>
      <c r="AI14" s="468"/>
      <c r="AJ14" s="468"/>
      <c r="AK14" s="37" t="s">
        <v>31</v>
      </c>
      <c r="AL14" s="29"/>
      <c r="AM14" s="29"/>
      <c r="AN14" s="39" t="s">
        <v>1194</v>
      </c>
      <c r="AO14" s="29"/>
      <c r="AP14" s="29"/>
      <c r="AQ14" s="31"/>
      <c r="BE14" s="463"/>
      <c r="BS14" s="24" t="s">
        <v>9</v>
      </c>
    </row>
    <row r="15" spans="1:74" ht="6.95" customHeight="1" x14ac:dyDescent="0.3"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31"/>
      <c r="BE15" s="463"/>
      <c r="BS15" s="24" t="s">
        <v>6</v>
      </c>
    </row>
    <row r="16" spans="1:74" ht="14.45" customHeight="1" x14ac:dyDescent="0.3">
      <c r="B16" s="28"/>
      <c r="C16" s="29"/>
      <c r="D16" s="37" t="s">
        <v>33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37" t="s">
        <v>29</v>
      </c>
      <c r="AL16" s="29"/>
      <c r="AM16" s="29"/>
      <c r="AN16" s="35" t="s">
        <v>5</v>
      </c>
      <c r="AO16" s="29"/>
      <c r="AP16" s="29"/>
      <c r="AQ16" s="31"/>
      <c r="BE16" s="463"/>
      <c r="BS16" s="24" t="s">
        <v>6</v>
      </c>
    </row>
    <row r="17" spans="2:71" ht="18.399999999999999" customHeight="1" x14ac:dyDescent="0.3">
      <c r="B17" s="28"/>
      <c r="C17" s="29"/>
      <c r="D17" s="29"/>
      <c r="E17" s="35" t="s">
        <v>34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37" t="s">
        <v>31</v>
      </c>
      <c r="AL17" s="29"/>
      <c r="AM17" s="29"/>
      <c r="AN17" s="35" t="s">
        <v>5</v>
      </c>
      <c r="AO17" s="29"/>
      <c r="AP17" s="29"/>
      <c r="AQ17" s="31"/>
      <c r="BE17" s="463"/>
      <c r="BS17" s="24" t="s">
        <v>35</v>
      </c>
    </row>
    <row r="18" spans="2:71" ht="6.95" customHeight="1" x14ac:dyDescent="0.3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31"/>
      <c r="BE18" s="463"/>
      <c r="BS18" s="24" t="s">
        <v>11</v>
      </c>
    </row>
    <row r="19" spans="2:71" ht="14.45" customHeight="1" x14ac:dyDescent="0.3">
      <c r="B19" s="28"/>
      <c r="C19" s="29"/>
      <c r="D19" s="37" t="s">
        <v>36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31"/>
      <c r="BE19" s="463"/>
      <c r="BS19" s="24" t="s">
        <v>11</v>
      </c>
    </row>
    <row r="20" spans="2:71" ht="16.5" customHeight="1" x14ac:dyDescent="0.3">
      <c r="B20" s="28"/>
      <c r="C20" s="29"/>
      <c r="D20" s="29"/>
      <c r="E20" s="469" t="s">
        <v>5</v>
      </c>
      <c r="F20" s="469"/>
      <c r="G20" s="469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  <c r="AF20" s="469"/>
      <c r="AG20" s="469"/>
      <c r="AH20" s="469"/>
      <c r="AI20" s="469"/>
      <c r="AJ20" s="469"/>
      <c r="AK20" s="469"/>
      <c r="AL20" s="469"/>
      <c r="AM20" s="469"/>
      <c r="AN20" s="469"/>
      <c r="AO20" s="29"/>
      <c r="AP20" s="29"/>
      <c r="AQ20" s="31"/>
      <c r="BE20" s="463"/>
      <c r="BS20" s="24" t="s">
        <v>35</v>
      </c>
    </row>
    <row r="21" spans="2:71" ht="6.95" customHeight="1" x14ac:dyDescent="0.3"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31"/>
      <c r="BE21" s="463"/>
    </row>
    <row r="22" spans="2:71" ht="6.95" customHeight="1" x14ac:dyDescent="0.3">
      <c r="B22" s="28"/>
      <c r="C22" s="2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29"/>
      <c r="AQ22" s="31"/>
      <c r="BE22" s="463"/>
    </row>
    <row r="23" spans="2:71" s="1" customFormat="1" ht="25.9" customHeight="1" x14ac:dyDescent="0.3">
      <c r="B23" s="41"/>
      <c r="C23" s="42"/>
      <c r="D23" s="43" t="s">
        <v>37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70">
        <f>ROUND(AG51,2)</f>
        <v>11088857.439999999</v>
      </c>
      <c r="AL23" s="471"/>
      <c r="AM23" s="471"/>
      <c r="AN23" s="471"/>
      <c r="AO23" s="471"/>
      <c r="AP23" s="42"/>
      <c r="AQ23" s="45"/>
      <c r="BE23" s="463"/>
    </row>
    <row r="24" spans="2:71" s="1" customFormat="1" ht="6.95" customHeight="1" x14ac:dyDescent="0.3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5"/>
      <c r="BE24" s="463"/>
    </row>
    <row r="25" spans="2:71" s="1" customFormat="1" x14ac:dyDescent="0.3"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72" t="s">
        <v>38</v>
      </c>
      <c r="M25" s="472"/>
      <c r="N25" s="472"/>
      <c r="O25" s="472"/>
      <c r="P25" s="42"/>
      <c r="Q25" s="42"/>
      <c r="R25" s="42"/>
      <c r="S25" s="42"/>
      <c r="T25" s="42"/>
      <c r="U25" s="42"/>
      <c r="V25" s="42"/>
      <c r="W25" s="472" t="s">
        <v>39</v>
      </c>
      <c r="X25" s="472"/>
      <c r="Y25" s="472"/>
      <c r="Z25" s="472"/>
      <c r="AA25" s="472"/>
      <c r="AB25" s="472"/>
      <c r="AC25" s="472"/>
      <c r="AD25" s="472"/>
      <c r="AE25" s="472"/>
      <c r="AF25" s="42"/>
      <c r="AG25" s="42"/>
      <c r="AH25" s="42"/>
      <c r="AI25" s="42"/>
      <c r="AJ25" s="42"/>
      <c r="AK25" s="472" t="s">
        <v>40</v>
      </c>
      <c r="AL25" s="472"/>
      <c r="AM25" s="472"/>
      <c r="AN25" s="472"/>
      <c r="AO25" s="472"/>
      <c r="AP25" s="42"/>
      <c r="AQ25" s="45"/>
      <c r="BE25" s="463"/>
    </row>
    <row r="26" spans="2:71" s="2" customFormat="1" ht="14.45" customHeight="1" x14ac:dyDescent="0.3">
      <c r="B26" s="47"/>
      <c r="C26" s="48"/>
      <c r="D26" s="49" t="s">
        <v>41</v>
      </c>
      <c r="E26" s="48"/>
      <c r="F26" s="49" t="s">
        <v>42</v>
      </c>
      <c r="G26" s="48"/>
      <c r="H26" s="48"/>
      <c r="I26" s="48"/>
      <c r="J26" s="48"/>
      <c r="K26" s="48"/>
      <c r="L26" s="438">
        <v>0.21</v>
      </c>
      <c r="M26" s="437"/>
      <c r="N26" s="437"/>
      <c r="O26" s="437"/>
      <c r="P26" s="48"/>
      <c r="Q26" s="48"/>
      <c r="R26" s="48"/>
      <c r="S26" s="48"/>
      <c r="T26" s="48"/>
      <c r="U26" s="48"/>
      <c r="V26" s="48"/>
      <c r="W26" s="436">
        <f>ROUND(AZ51,2)</f>
        <v>11088857.439999999</v>
      </c>
      <c r="X26" s="437"/>
      <c r="Y26" s="437"/>
      <c r="Z26" s="437"/>
      <c r="AA26" s="437"/>
      <c r="AB26" s="437"/>
      <c r="AC26" s="437"/>
      <c r="AD26" s="437"/>
      <c r="AE26" s="437"/>
      <c r="AF26" s="48"/>
      <c r="AG26" s="48"/>
      <c r="AH26" s="48"/>
      <c r="AI26" s="48"/>
      <c r="AJ26" s="48"/>
      <c r="AK26" s="436">
        <f>ROUND(AV51,2)</f>
        <v>2328660.06</v>
      </c>
      <c r="AL26" s="437"/>
      <c r="AM26" s="437"/>
      <c r="AN26" s="437"/>
      <c r="AO26" s="437"/>
      <c r="AP26" s="48"/>
      <c r="AQ26" s="50"/>
      <c r="BE26" s="463"/>
    </row>
    <row r="27" spans="2:71" s="2" customFormat="1" ht="14.45" customHeight="1" x14ac:dyDescent="0.3">
      <c r="B27" s="47"/>
      <c r="C27" s="48"/>
      <c r="D27" s="48"/>
      <c r="E27" s="48"/>
      <c r="F27" s="49" t="s">
        <v>43</v>
      </c>
      <c r="G27" s="48"/>
      <c r="H27" s="48"/>
      <c r="I27" s="48"/>
      <c r="J27" s="48"/>
      <c r="K27" s="48"/>
      <c r="L27" s="438">
        <v>0.15</v>
      </c>
      <c r="M27" s="437"/>
      <c r="N27" s="437"/>
      <c r="O27" s="437"/>
      <c r="P27" s="48"/>
      <c r="Q27" s="48"/>
      <c r="R27" s="48"/>
      <c r="S27" s="48"/>
      <c r="T27" s="48"/>
      <c r="U27" s="48"/>
      <c r="V27" s="48"/>
      <c r="W27" s="436">
        <f>ROUND(BA51,2)</f>
        <v>0</v>
      </c>
      <c r="X27" s="437"/>
      <c r="Y27" s="437"/>
      <c r="Z27" s="437"/>
      <c r="AA27" s="437"/>
      <c r="AB27" s="437"/>
      <c r="AC27" s="437"/>
      <c r="AD27" s="437"/>
      <c r="AE27" s="437"/>
      <c r="AF27" s="48"/>
      <c r="AG27" s="48"/>
      <c r="AH27" s="48"/>
      <c r="AI27" s="48"/>
      <c r="AJ27" s="48"/>
      <c r="AK27" s="436">
        <f>ROUND(AW51,2)</f>
        <v>0</v>
      </c>
      <c r="AL27" s="437"/>
      <c r="AM27" s="437"/>
      <c r="AN27" s="437"/>
      <c r="AO27" s="437"/>
      <c r="AP27" s="48"/>
      <c r="AQ27" s="50"/>
      <c r="BE27" s="463"/>
    </row>
    <row r="28" spans="2:71" s="2" customFormat="1" ht="14.45" hidden="1" customHeight="1" x14ac:dyDescent="0.3">
      <c r="B28" s="47"/>
      <c r="C28" s="48"/>
      <c r="D28" s="48"/>
      <c r="E28" s="48"/>
      <c r="F28" s="49" t="s">
        <v>44</v>
      </c>
      <c r="G28" s="48"/>
      <c r="H28" s="48"/>
      <c r="I28" s="48"/>
      <c r="J28" s="48"/>
      <c r="K28" s="48"/>
      <c r="L28" s="438">
        <v>0.21</v>
      </c>
      <c r="M28" s="437"/>
      <c r="N28" s="437"/>
      <c r="O28" s="437"/>
      <c r="P28" s="48"/>
      <c r="Q28" s="48"/>
      <c r="R28" s="48"/>
      <c r="S28" s="48"/>
      <c r="T28" s="48"/>
      <c r="U28" s="48"/>
      <c r="V28" s="48"/>
      <c r="W28" s="436">
        <f>ROUND(BB51,2)</f>
        <v>0</v>
      </c>
      <c r="X28" s="437"/>
      <c r="Y28" s="437"/>
      <c r="Z28" s="437"/>
      <c r="AA28" s="437"/>
      <c r="AB28" s="437"/>
      <c r="AC28" s="437"/>
      <c r="AD28" s="437"/>
      <c r="AE28" s="437"/>
      <c r="AF28" s="48"/>
      <c r="AG28" s="48"/>
      <c r="AH28" s="48"/>
      <c r="AI28" s="48"/>
      <c r="AJ28" s="48"/>
      <c r="AK28" s="436">
        <v>0</v>
      </c>
      <c r="AL28" s="437"/>
      <c r="AM28" s="437"/>
      <c r="AN28" s="437"/>
      <c r="AO28" s="437"/>
      <c r="AP28" s="48"/>
      <c r="AQ28" s="50"/>
      <c r="BE28" s="463"/>
    </row>
    <row r="29" spans="2:71" s="2" customFormat="1" ht="14.45" hidden="1" customHeight="1" x14ac:dyDescent="0.3">
      <c r="B29" s="47"/>
      <c r="C29" s="48"/>
      <c r="D29" s="48"/>
      <c r="E29" s="48"/>
      <c r="F29" s="49" t="s">
        <v>45</v>
      </c>
      <c r="G29" s="48"/>
      <c r="H29" s="48"/>
      <c r="I29" s="48"/>
      <c r="J29" s="48"/>
      <c r="K29" s="48"/>
      <c r="L29" s="438">
        <v>0.15</v>
      </c>
      <c r="M29" s="437"/>
      <c r="N29" s="437"/>
      <c r="O29" s="437"/>
      <c r="P29" s="48"/>
      <c r="Q29" s="48"/>
      <c r="R29" s="48"/>
      <c r="S29" s="48"/>
      <c r="T29" s="48"/>
      <c r="U29" s="48"/>
      <c r="V29" s="48"/>
      <c r="W29" s="436">
        <f>ROUND(BC51,2)</f>
        <v>0</v>
      </c>
      <c r="X29" s="437"/>
      <c r="Y29" s="437"/>
      <c r="Z29" s="437"/>
      <c r="AA29" s="437"/>
      <c r="AB29" s="437"/>
      <c r="AC29" s="437"/>
      <c r="AD29" s="437"/>
      <c r="AE29" s="437"/>
      <c r="AF29" s="48"/>
      <c r="AG29" s="48"/>
      <c r="AH29" s="48"/>
      <c r="AI29" s="48"/>
      <c r="AJ29" s="48"/>
      <c r="AK29" s="436">
        <v>0</v>
      </c>
      <c r="AL29" s="437"/>
      <c r="AM29" s="437"/>
      <c r="AN29" s="437"/>
      <c r="AO29" s="437"/>
      <c r="AP29" s="48"/>
      <c r="AQ29" s="50"/>
      <c r="BE29" s="463"/>
    </row>
    <row r="30" spans="2:71" s="2" customFormat="1" ht="14.45" hidden="1" customHeight="1" x14ac:dyDescent="0.3">
      <c r="B30" s="47"/>
      <c r="C30" s="48"/>
      <c r="D30" s="48"/>
      <c r="E30" s="48"/>
      <c r="F30" s="49" t="s">
        <v>46</v>
      </c>
      <c r="G30" s="48"/>
      <c r="H30" s="48"/>
      <c r="I30" s="48"/>
      <c r="J30" s="48"/>
      <c r="K30" s="48"/>
      <c r="L30" s="438">
        <v>0</v>
      </c>
      <c r="M30" s="437"/>
      <c r="N30" s="437"/>
      <c r="O30" s="437"/>
      <c r="P30" s="48"/>
      <c r="Q30" s="48"/>
      <c r="R30" s="48"/>
      <c r="S30" s="48"/>
      <c r="T30" s="48"/>
      <c r="U30" s="48"/>
      <c r="V30" s="48"/>
      <c r="W30" s="436">
        <f>ROUND(BD51,2)</f>
        <v>0</v>
      </c>
      <c r="X30" s="437"/>
      <c r="Y30" s="437"/>
      <c r="Z30" s="437"/>
      <c r="AA30" s="437"/>
      <c r="AB30" s="437"/>
      <c r="AC30" s="437"/>
      <c r="AD30" s="437"/>
      <c r="AE30" s="437"/>
      <c r="AF30" s="48"/>
      <c r="AG30" s="48"/>
      <c r="AH30" s="48"/>
      <c r="AI30" s="48"/>
      <c r="AJ30" s="48"/>
      <c r="AK30" s="436">
        <v>0</v>
      </c>
      <c r="AL30" s="437"/>
      <c r="AM30" s="437"/>
      <c r="AN30" s="437"/>
      <c r="AO30" s="437"/>
      <c r="AP30" s="48"/>
      <c r="AQ30" s="50"/>
      <c r="BE30" s="463"/>
    </row>
    <row r="31" spans="2:71" s="1" customFormat="1" ht="6.95" customHeight="1" x14ac:dyDescent="0.3"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5"/>
      <c r="BE31" s="463"/>
    </row>
    <row r="32" spans="2:71" s="1" customFormat="1" ht="25.9" customHeight="1" x14ac:dyDescent="0.3">
      <c r="B32" s="41"/>
      <c r="C32" s="51"/>
      <c r="D32" s="52" t="s">
        <v>47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4" t="s">
        <v>48</v>
      </c>
      <c r="U32" s="53"/>
      <c r="V32" s="53"/>
      <c r="W32" s="53"/>
      <c r="X32" s="439" t="s">
        <v>49</v>
      </c>
      <c r="Y32" s="440"/>
      <c r="Z32" s="440"/>
      <c r="AA32" s="440"/>
      <c r="AB32" s="440"/>
      <c r="AC32" s="53"/>
      <c r="AD32" s="53"/>
      <c r="AE32" s="53"/>
      <c r="AF32" s="53"/>
      <c r="AG32" s="53"/>
      <c r="AH32" s="53"/>
      <c r="AI32" s="53"/>
      <c r="AJ32" s="53"/>
      <c r="AK32" s="441">
        <f>SUM(AK23:AK30)</f>
        <v>13417517.5</v>
      </c>
      <c r="AL32" s="440"/>
      <c r="AM32" s="440"/>
      <c r="AN32" s="440"/>
      <c r="AO32" s="442"/>
      <c r="AP32" s="51"/>
      <c r="AQ32" s="55"/>
      <c r="BE32" s="463"/>
    </row>
    <row r="33" spans="2:56" s="1" customFormat="1" ht="6.95" customHeight="1" x14ac:dyDescent="0.3"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5"/>
    </row>
    <row r="34" spans="2:56" s="1" customFormat="1" ht="6.95" customHeight="1" x14ac:dyDescent="0.3"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8"/>
    </row>
    <row r="38" spans="2:56" s="1" customFormat="1" ht="6.95" customHeight="1" x14ac:dyDescent="0.3"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41"/>
    </row>
    <row r="39" spans="2:56" s="1" customFormat="1" ht="36.950000000000003" customHeight="1" x14ac:dyDescent="0.3">
      <c r="B39" s="41"/>
      <c r="C39" s="61" t="s">
        <v>50</v>
      </c>
      <c r="AR39" s="41"/>
    </row>
    <row r="40" spans="2:56" s="1" customFormat="1" ht="6.95" customHeight="1" x14ac:dyDescent="0.3">
      <c r="B40" s="41"/>
      <c r="AR40" s="41"/>
    </row>
    <row r="41" spans="2:56" s="3" customFormat="1" ht="14.45" customHeight="1" x14ac:dyDescent="0.3">
      <c r="B41" s="62"/>
      <c r="C41" s="63" t="s">
        <v>17</v>
      </c>
      <c r="L41" s="3" t="str">
        <f>K5</f>
        <v>2018_10_26</v>
      </c>
      <c r="AR41" s="62"/>
    </row>
    <row r="42" spans="2:56" s="4" customFormat="1" ht="36.950000000000003" customHeight="1" x14ac:dyDescent="0.3">
      <c r="B42" s="64"/>
      <c r="C42" s="65" t="s">
        <v>20</v>
      </c>
      <c r="L42" s="444" t="str">
        <f>K6</f>
        <v>Akce Pasohlávky</v>
      </c>
      <c r="M42" s="445"/>
      <c r="N42" s="445"/>
      <c r="O42" s="445"/>
      <c r="P42" s="445"/>
      <c r="Q42" s="445"/>
      <c r="R42" s="445"/>
      <c r="S42" s="445"/>
      <c r="T42" s="445"/>
      <c r="U42" s="445"/>
      <c r="V42" s="445"/>
      <c r="W42" s="445"/>
      <c r="X42" s="445"/>
      <c r="Y42" s="445"/>
      <c r="Z42" s="445"/>
      <c r="AA42" s="445"/>
      <c r="AB42" s="445"/>
      <c r="AC42" s="445"/>
      <c r="AD42" s="445"/>
      <c r="AE42" s="445"/>
      <c r="AF42" s="445"/>
      <c r="AG42" s="445"/>
      <c r="AH42" s="445"/>
      <c r="AI42" s="445"/>
      <c r="AJ42" s="445"/>
      <c r="AK42" s="445"/>
      <c r="AL42" s="445"/>
      <c r="AM42" s="445"/>
      <c r="AN42" s="445"/>
      <c r="AO42" s="445"/>
      <c r="AR42" s="64"/>
    </row>
    <row r="43" spans="2:56" s="1" customFormat="1" ht="6.95" customHeight="1" x14ac:dyDescent="0.3">
      <c r="B43" s="41"/>
      <c r="AR43" s="41"/>
    </row>
    <row r="44" spans="2:56" s="1" customFormat="1" ht="15" x14ac:dyDescent="0.3">
      <c r="B44" s="41"/>
      <c r="C44" s="63" t="s">
        <v>24</v>
      </c>
      <c r="L44" s="66" t="str">
        <f>IF(K8="","",K8)</f>
        <v>Pasohlávky</v>
      </c>
      <c r="AI44" s="63" t="s">
        <v>26</v>
      </c>
      <c r="AM44" s="446" t="str">
        <f>IF(AN8= "","",AN8)</f>
        <v>26. 10. 2018</v>
      </c>
      <c r="AN44" s="446"/>
      <c r="AR44" s="41"/>
    </row>
    <row r="45" spans="2:56" s="1" customFormat="1" ht="6.95" customHeight="1" x14ac:dyDescent="0.3">
      <c r="B45" s="41"/>
      <c r="AR45" s="41"/>
    </row>
    <row r="46" spans="2:56" s="1" customFormat="1" ht="15" x14ac:dyDescent="0.3">
      <c r="B46" s="41"/>
      <c r="C46" s="63" t="s">
        <v>28</v>
      </c>
      <c r="L46" s="3" t="str">
        <f>IF(E11= "","",E11)</f>
        <v>UNIFICA a.s., Příkop 834/8, 602 00 Brno</v>
      </c>
      <c r="AI46" s="63" t="s">
        <v>33</v>
      </c>
      <c r="AM46" s="447" t="str">
        <f>IF(E17="","",E17)</f>
        <v>Ing. Arch. Pavel Jura</v>
      </c>
      <c r="AN46" s="447"/>
      <c r="AO46" s="447"/>
      <c r="AP46" s="447"/>
      <c r="AR46" s="41"/>
      <c r="AS46" s="458" t="s">
        <v>51</v>
      </c>
      <c r="AT46" s="459"/>
      <c r="AU46" s="68"/>
      <c r="AV46" s="68"/>
      <c r="AW46" s="68"/>
      <c r="AX46" s="68"/>
      <c r="AY46" s="68"/>
      <c r="AZ46" s="68"/>
      <c r="BA46" s="68"/>
      <c r="BB46" s="68"/>
      <c r="BC46" s="68"/>
      <c r="BD46" s="69"/>
    </row>
    <row r="47" spans="2:56" s="1" customFormat="1" ht="15" x14ac:dyDescent="0.3">
      <c r="B47" s="41"/>
      <c r="C47" s="63" t="s">
        <v>32</v>
      </c>
      <c r="L47" s="3" t="str">
        <f>IF(E14= "Vyplň údaj","",E14)</f>
        <v>LP Staving s.r.o.</v>
      </c>
      <c r="AR47" s="41"/>
      <c r="AS47" s="460"/>
      <c r="AT47" s="461"/>
      <c r="AU47" s="42"/>
      <c r="AV47" s="42"/>
      <c r="AW47" s="42"/>
      <c r="AX47" s="42"/>
      <c r="AY47" s="42"/>
      <c r="AZ47" s="42"/>
      <c r="BA47" s="42"/>
      <c r="BB47" s="42"/>
      <c r="BC47" s="42"/>
      <c r="BD47" s="70"/>
    </row>
    <row r="48" spans="2:56" s="1" customFormat="1" ht="10.9" customHeight="1" x14ac:dyDescent="0.3">
      <c r="B48" s="41"/>
      <c r="AR48" s="41"/>
      <c r="AS48" s="460"/>
      <c r="AT48" s="461"/>
      <c r="AU48" s="42"/>
      <c r="AV48" s="42"/>
      <c r="AW48" s="42"/>
      <c r="AX48" s="42"/>
      <c r="AY48" s="42"/>
      <c r="AZ48" s="42"/>
      <c r="BA48" s="42"/>
      <c r="BB48" s="42"/>
      <c r="BC48" s="42"/>
      <c r="BD48" s="70"/>
    </row>
    <row r="49" spans="1:91" s="1" customFormat="1" ht="29.25" customHeight="1" x14ac:dyDescent="0.3">
      <c r="B49" s="41"/>
      <c r="C49" s="448" t="s">
        <v>52</v>
      </c>
      <c r="D49" s="449"/>
      <c r="E49" s="449"/>
      <c r="F49" s="449"/>
      <c r="G49" s="449"/>
      <c r="H49" s="71"/>
      <c r="I49" s="450" t="s">
        <v>53</v>
      </c>
      <c r="J49" s="449"/>
      <c r="K49" s="449"/>
      <c r="L49" s="449"/>
      <c r="M49" s="449"/>
      <c r="N49" s="449"/>
      <c r="O49" s="449"/>
      <c r="P49" s="449"/>
      <c r="Q49" s="449"/>
      <c r="R49" s="449"/>
      <c r="S49" s="449"/>
      <c r="T49" s="449"/>
      <c r="U49" s="449"/>
      <c r="V49" s="449"/>
      <c r="W49" s="449"/>
      <c r="X49" s="449"/>
      <c r="Y49" s="449"/>
      <c r="Z49" s="449"/>
      <c r="AA49" s="449"/>
      <c r="AB49" s="449"/>
      <c r="AC49" s="449"/>
      <c r="AD49" s="449"/>
      <c r="AE49" s="449"/>
      <c r="AF49" s="449"/>
      <c r="AG49" s="451" t="s">
        <v>54</v>
      </c>
      <c r="AH49" s="449"/>
      <c r="AI49" s="449"/>
      <c r="AJ49" s="449"/>
      <c r="AK49" s="449"/>
      <c r="AL49" s="449"/>
      <c r="AM49" s="449"/>
      <c r="AN49" s="450" t="s">
        <v>55</v>
      </c>
      <c r="AO49" s="449"/>
      <c r="AP49" s="449"/>
      <c r="AQ49" s="72" t="s">
        <v>56</v>
      </c>
      <c r="AR49" s="41"/>
      <c r="AS49" s="73" t="s">
        <v>57</v>
      </c>
      <c r="AT49" s="74" t="s">
        <v>58</v>
      </c>
      <c r="AU49" s="74" t="s">
        <v>59</v>
      </c>
      <c r="AV49" s="74" t="s">
        <v>60</v>
      </c>
      <c r="AW49" s="74" t="s">
        <v>61</v>
      </c>
      <c r="AX49" s="74" t="s">
        <v>62</v>
      </c>
      <c r="AY49" s="74" t="s">
        <v>63</v>
      </c>
      <c r="AZ49" s="74" t="s">
        <v>64</v>
      </c>
      <c r="BA49" s="74" t="s">
        <v>65</v>
      </c>
      <c r="BB49" s="74" t="s">
        <v>66</v>
      </c>
      <c r="BC49" s="74" t="s">
        <v>67</v>
      </c>
      <c r="BD49" s="75" t="s">
        <v>68</v>
      </c>
    </row>
    <row r="50" spans="1:91" s="1" customFormat="1" ht="10.9" customHeight="1" x14ac:dyDescent="0.3">
      <c r="B50" s="41"/>
      <c r="AR50" s="41"/>
      <c r="AS50" s="76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9"/>
    </row>
    <row r="51" spans="1:91" s="4" customFormat="1" ht="32.450000000000003" customHeight="1" x14ac:dyDescent="0.3">
      <c r="B51" s="64"/>
      <c r="C51" s="77" t="s">
        <v>69</v>
      </c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454">
        <f>ROUND(SUM(AG52:AG52),2)</f>
        <v>11088857.439999999</v>
      </c>
      <c r="AH51" s="454"/>
      <c r="AI51" s="454"/>
      <c r="AJ51" s="454"/>
      <c r="AK51" s="454"/>
      <c r="AL51" s="454"/>
      <c r="AM51" s="454"/>
      <c r="AN51" s="455">
        <f>SUM(AG51,AT51)</f>
        <v>13417517.5</v>
      </c>
      <c r="AO51" s="455"/>
      <c r="AP51" s="455"/>
      <c r="AQ51" s="79" t="s">
        <v>5</v>
      </c>
      <c r="AR51" s="64"/>
      <c r="AS51" s="80">
        <f>ROUND(SUM(AS52:AS52),2)</f>
        <v>0</v>
      </c>
      <c r="AT51" s="81">
        <f>ROUND(SUM(AV51:AW51),2)</f>
        <v>2328660.06</v>
      </c>
      <c r="AU51" s="82">
        <f>ROUND(SUM(AU52:AU52),5)</f>
        <v>0</v>
      </c>
      <c r="AV51" s="81">
        <f>ROUND(AZ51*L26,2)</f>
        <v>2328660.06</v>
      </c>
      <c r="AW51" s="81">
        <f>ROUND(BA51*L27,2)</f>
        <v>0</v>
      </c>
      <c r="AX51" s="81">
        <f>ROUND(BB51*L26,2)</f>
        <v>0</v>
      </c>
      <c r="AY51" s="81">
        <f>ROUND(BC51*L27,2)</f>
        <v>0</v>
      </c>
      <c r="AZ51" s="81">
        <f>ROUND(SUM(AZ52:AZ52),2)</f>
        <v>11088857.439999999</v>
      </c>
      <c r="BA51" s="81">
        <f>ROUND(SUM(BA52:BA52),2)</f>
        <v>0</v>
      </c>
      <c r="BB51" s="81">
        <f>ROUND(SUM(BB52:BB52),2)</f>
        <v>0</v>
      </c>
      <c r="BC51" s="81">
        <f>ROUND(SUM(BC52:BC52),2)</f>
        <v>0</v>
      </c>
      <c r="BD51" s="83">
        <f>ROUND(SUM(BD52:BD52),2)</f>
        <v>0</v>
      </c>
      <c r="BS51" s="65" t="s">
        <v>70</v>
      </c>
      <c r="BT51" s="65" t="s">
        <v>71</v>
      </c>
      <c r="BU51" s="84" t="s">
        <v>72</v>
      </c>
      <c r="BV51" s="65" t="s">
        <v>73</v>
      </c>
      <c r="BW51" s="65" t="s">
        <v>7</v>
      </c>
      <c r="BX51" s="65" t="s">
        <v>74</v>
      </c>
      <c r="CL51" s="65" t="s">
        <v>5</v>
      </c>
    </row>
    <row r="52" spans="1:91" s="5" customFormat="1" ht="31.5" customHeight="1" x14ac:dyDescent="0.3">
      <c r="A52" s="85" t="s">
        <v>75</v>
      </c>
      <c r="B52" s="86"/>
      <c r="C52" s="87"/>
      <c r="D52" s="443" t="s">
        <v>76</v>
      </c>
      <c r="E52" s="443"/>
      <c r="F52" s="443"/>
      <c r="G52" s="443"/>
      <c r="H52" s="443"/>
      <c r="I52" s="88"/>
      <c r="J52" s="443" t="s">
        <v>77</v>
      </c>
      <c r="K52" s="443"/>
      <c r="L52" s="443"/>
      <c r="M52" s="443"/>
      <c r="N52" s="443"/>
      <c r="O52" s="443"/>
      <c r="P52" s="443"/>
      <c r="Q52" s="443"/>
      <c r="R52" s="443"/>
      <c r="S52" s="443"/>
      <c r="T52" s="443"/>
      <c r="U52" s="443"/>
      <c r="V52" s="443"/>
      <c r="W52" s="443"/>
      <c r="X52" s="443"/>
      <c r="Y52" s="443"/>
      <c r="Z52" s="443"/>
      <c r="AA52" s="443"/>
      <c r="AB52" s="443"/>
      <c r="AC52" s="443"/>
      <c r="AD52" s="443"/>
      <c r="AE52" s="443"/>
      <c r="AF52" s="443"/>
      <c r="AG52" s="456">
        <f>'Bytový dům - Nájemní bydl...'!J27</f>
        <v>11088857.439999999</v>
      </c>
      <c r="AH52" s="457"/>
      <c r="AI52" s="457"/>
      <c r="AJ52" s="457"/>
      <c r="AK52" s="457"/>
      <c r="AL52" s="457"/>
      <c r="AM52" s="457"/>
      <c r="AN52" s="456">
        <f>AG52*1.21</f>
        <v>13417517.5024</v>
      </c>
      <c r="AO52" s="457"/>
      <c r="AP52" s="457"/>
      <c r="AQ52" s="89" t="s">
        <v>78</v>
      </c>
      <c r="AR52" s="86"/>
      <c r="AS52" s="90">
        <v>0</v>
      </c>
      <c r="AT52" s="91">
        <f>ROUND(SUM(AV52:AW52),2)</f>
        <v>2328660.06</v>
      </c>
      <c r="AU52" s="92">
        <f>'Bytový dům - Nájemní bydl...'!P101</f>
        <v>0</v>
      </c>
      <c r="AV52" s="91">
        <f>'Bytový dům - Nájemní bydl...'!J30</f>
        <v>2328660.0623999997</v>
      </c>
      <c r="AW52" s="91">
        <f>'Bytový dům - Nájemní bydl...'!J31</f>
        <v>0</v>
      </c>
      <c r="AX52" s="91">
        <f>'Bytový dům - Nájemní bydl...'!J32</f>
        <v>0</v>
      </c>
      <c r="AY52" s="91">
        <f>'Bytový dům - Nájemní bydl...'!J33</f>
        <v>0</v>
      </c>
      <c r="AZ52" s="91">
        <f>'Bytový dům - Nájemní bydl...'!F30</f>
        <v>11088857.439999999</v>
      </c>
      <c r="BA52" s="91">
        <f>'Bytový dům - Nájemní bydl...'!F31</f>
        <v>0</v>
      </c>
      <c r="BB52" s="91">
        <f>'Bytový dům - Nájemní bydl...'!F32</f>
        <v>0</v>
      </c>
      <c r="BC52" s="91">
        <f>'Bytový dům - Nájemní bydl...'!F33</f>
        <v>0</v>
      </c>
      <c r="BD52" s="93">
        <f>'Bytový dům - Nájemní bydl...'!F34</f>
        <v>0</v>
      </c>
      <c r="BT52" s="94" t="s">
        <v>79</v>
      </c>
      <c r="BV52" s="94" t="s">
        <v>73</v>
      </c>
      <c r="BW52" s="94" t="s">
        <v>80</v>
      </c>
      <c r="BX52" s="94" t="s">
        <v>7</v>
      </c>
      <c r="CL52" s="94" t="s">
        <v>5</v>
      </c>
      <c r="CM52" s="94" t="s">
        <v>81</v>
      </c>
    </row>
    <row r="53" spans="1:91" s="1" customFormat="1" ht="30" customHeight="1" x14ac:dyDescent="0.3">
      <c r="B53" s="41"/>
      <c r="AR53" s="41"/>
    </row>
    <row r="54" spans="1:91" s="1" customFormat="1" ht="6.95" customHeight="1" x14ac:dyDescent="0.3"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41"/>
    </row>
  </sheetData>
  <mergeCells count="41">
    <mergeCell ref="AR2:BE2"/>
    <mergeCell ref="AG51:AM51"/>
    <mergeCell ref="AN51:AP51"/>
    <mergeCell ref="AN52:AP52"/>
    <mergeCell ref="AG52:AM52"/>
    <mergeCell ref="AS46:AT48"/>
    <mergeCell ref="BE5:BE32"/>
    <mergeCell ref="K5:AO5"/>
    <mergeCell ref="K6:AO6"/>
    <mergeCell ref="E14:AJ14"/>
    <mergeCell ref="E20:AN20"/>
    <mergeCell ref="AK23:AO23"/>
    <mergeCell ref="L25:O25"/>
    <mergeCell ref="W25:AE25"/>
    <mergeCell ref="AK25:AO25"/>
    <mergeCell ref="L26:O26"/>
    <mergeCell ref="D52:H52"/>
    <mergeCell ref="J52:AF52"/>
    <mergeCell ref="L42:AO42"/>
    <mergeCell ref="AM44:AN44"/>
    <mergeCell ref="AM46:AP46"/>
    <mergeCell ref="C49:G49"/>
    <mergeCell ref="I49:AF49"/>
    <mergeCell ref="AG49:AM49"/>
    <mergeCell ref="AN49:AP49"/>
    <mergeCell ref="L30:O30"/>
    <mergeCell ref="W30:AE30"/>
    <mergeCell ref="AK30:AO30"/>
    <mergeCell ref="X32:AB32"/>
    <mergeCell ref="AK32:AO32"/>
    <mergeCell ref="W28:AE28"/>
    <mergeCell ref="AK28:AO28"/>
    <mergeCell ref="L29:O29"/>
    <mergeCell ref="W29:AE29"/>
    <mergeCell ref="AK29:AO29"/>
    <mergeCell ref="L28:O28"/>
    <mergeCell ref="W26:AE26"/>
    <mergeCell ref="AK26:AO26"/>
    <mergeCell ref="L27:O27"/>
    <mergeCell ref="W27:AE27"/>
    <mergeCell ref="AK27:AO27"/>
  </mergeCells>
  <hyperlinks>
    <hyperlink ref="K1:S1" location="C2" display="1) Rekapitulace stavby" xr:uid="{00000000-0004-0000-0000-000000000000}"/>
    <hyperlink ref="W1:AI1" location="C51" display="2) Rekapitulace objektů stavby a soupisů prací" xr:uid="{00000000-0004-0000-0000-000001000000}"/>
    <hyperlink ref="A52" location="'Bytový dům - Nájemní bydl...'!C2" display="/" xr:uid="{00000000-0004-0000-0000-000002000000}"/>
  </hyperlinks>
  <pageMargins left="0.58333330000000005" right="0.58333330000000005" top="0.58333330000000005" bottom="0.58333330000000005" header="0" footer="0"/>
  <pageSetup paperSize="9" fitToHeight="100" orientation="landscape" blackAndWhite="1" r:id="rId1"/>
  <headerFooter>
    <oddFooter>&amp;CStrana &amp;P z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R912"/>
  <sheetViews>
    <sheetView showGridLines="0" topLeftCell="B1" zoomScale="115" zoomScaleNormal="115" workbookViewId="0">
      <pane ySplit="1" topLeftCell="A2" activePane="bottomLeft" state="frozen"/>
      <selection pane="bottomLeft" activeCell="J31" sqref="J31"/>
    </sheetView>
  </sheetViews>
  <sheetFormatPr defaultRowHeight="13.5" x14ac:dyDescent="0.3"/>
  <cols>
    <col min="1" max="1" width="8.33203125" customWidth="1"/>
    <col min="2" max="2" width="1.6640625" customWidth="1"/>
    <col min="3" max="3" width="4.1640625" customWidth="1"/>
    <col min="4" max="4" width="4.33203125" customWidth="1"/>
    <col min="5" max="5" width="17.1640625" customWidth="1"/>
    <col min="6" max="6" width="75" customWidth="1"/>
    <col min="7" max="7" width="8.6640625" customWidth="1"/>
    <col min="8" max="8" width="11.1640625" customWidth="1"/>
    <col min="9" max="9" width="12.6640625" style="95" customWidth="1"/>
    <col min="10" max="10" width="23.5" customWidth="1"/>
    <col min="11" max="11" width="15.5" customWidth="1"/>
    <col min="12" max="12" width="10.33203125" customWidth="1"/>
    <col min="19" max="19" width="8.1640625" customWidth="1"/>
    <col min="20" max="20" width="29.6640625" customWidth="1"/>
    <col min="21" max="21" width="16.33203125" customWidth="1"/>
    <col min="22" max="22" width="12.33203125" customWidth="1"/>
    <col min="23" max="23" width="16.33203125" customWidth="1"/>
    <col min="24" max="24" width="12.33203125" customWidth="1"/>
    <col min="25" max="25" width="15" customWidth="1"/>
    <col min="26" max="26" width="11" customWidth="1"/>
    <col min="27" max="27" width="15" customWidth="1"/>
    <col min="28" max="28" width="16.33203125" customWidth="1"/>
    <col min="29" max="29" width="11" customWidth="1"/>
    <col min="30" max="30" width="15" customWidth="1"/>
    <col min="31" max="31" width="16.33203125" customWidth="1"/>
    <col min="44" max="65" width="9.33203125" hidden="1"/>
  </cols>
  <sheetData>
    <row r="1" spans="1:70" ht="21.75" customHeight="1" x14ac:dyDescent="0.3">
      <c r="A1" s="21"/>
      <c r="B1" s="96"/>
      <c r="C1" s="96"/>
      <c r="D1" s="97" t="s">
        <v>1</v>
      </c>
      <c r="E1" s="96"/>
      <c r="F1" s="98" t="s">
        <v>82</v>
      </c>
      <c r="G1" s="477" t="s">
        <v>83</v>
      </c>
      <c r="H1" s="477"/>
      <c r="I1" s="99"/>
      <c r="J1" s="98" t="s">
        <v>84</v>
      </c>
      <c r="K1" s="97" t="s">
        <v>85</v>
      </c>
      <c r="L1" s="98" t="s">
        <v>86</v>
      </c>
      <c r="M1" s="98"/>
      <c r="N1" s="98"/>
      <c r="O1" s="98"/>
      <c r="P1" s="98"/>
      <c r="Q1" s="98"/>
      <c r="R1" s="98"/>
      <c r="S1" s="98"/>
      <c r="T1" s="98"/>
      <c r="U1" s="20"/>
      <c r="V1" s="20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</row>
    <row r="2" spans="1:70" ht="36.950000000000003" customHeight="1" x14ac:dyDescent="0.3">
      <c r="L2" s="452" t="s">
        <v>8</v>
      </c>
      <c r="M2" s="453"/>
      <c r="N2" s="453"/>
      <c r="O2" s="453"/>
      <c r="P2" s="453"/>
      <c r="Q2" s="453"/>
      <c r="R2" s="453"/>
      <c r="S2" s="453"/>
      <c r="T2" s="453"/>
      <c r="U2" s="453"/>
      <c r="V2" s="453"/>
      <c r="AT2" s="24" t="s">
        <v>80</v>
      </c>
    </row>
    <row r="3" spans="1:70" ht="6.95" customHeight="1" x14ac:dyDescent="0.3">
      <c r="B3" s="25"/>
      <c r="C3" s="26"/>
      <c r="D3" s="26"/>
      <c r="E3" s="26"/>
      <c r="F3" s="26"/>
      <c r="G3" s="26"/>
      <c r="H3" s="26"/>
      <c r="I3" s="100"/>
      <c r="J3" s="26"/>
      <c r="K3" s="27"/>
      <c r="AT3" s="24" t="s">
        <v>81</v>
      </c>
    </row>
    <row r="4" spans="1:70" ht="36.950000000000003" customHeight="1" x14ac:dyDescent="0.3">
      <c r="B4" s="28"/>
      <c r="C4" s="29"/>
      <c r="D4" s="30" t="s">
        <v>87</v>
      </c>
      <c r="E4" s="29"/>
      <c r="F4" s="29"/>
      <c r="G4" s="29"/>
      <c r="H4" s="29"/>
      <c r="I4" s="101"/>
      <c r="J4" s="29"/>
      <c r="K4" s="31"/>
      <c r="M4" s="32" t="s">
        <v>14</v>
      </c>
      <c r="AT4" s="24" t="s">
        <v>6</v>
      </c>
    </row>
    <row r="5" spans="1:70" ht="6.95" customHeight="1" x14ac:dyDescent="0.3">
      <c r="B5" s="28"/>
      <c r="C5" s="29"/>
      <c r="D5" s="29"/>
      <c r="E5" s="29"/>
      <c r="F5" s="29"/>
      <c r="G5" s="29"/>
      <c r="H5" s="29"/>
      <c r="I5" s="101"/>
      <c r="J5" s="29"/>
      <c r="K5" s="31"/>
    </row>
    <row r="6" spans="1:70" ht="15" x14ac:dyDescent="0.3">
      <c r="B6" s="28"/>
      <c r="C6" s="29"/>
      <c r="D6" s="37" t="s">
        <v>20</v>
      </c>
      <c r="E6" s="29"/>
      <c r="F6" s="29"/>
      <c r="G6" s="29"/>
      <c r="H6" s="29"/>
      <c r="I6" s="101"/>
      <c r="J6" s="29"/>
      <c r="K6" s="31"/>
    </row>
    <row r="7" spans="1:70" ht="16.5" customHeight="1" x14ac:dyDescent="0.3">
      <c r="B7" s="28"/>
      <c r="C7" s="29"/>
      <c r="D7" s="29"/>
      <c r="E7" s="478" t="str">
        <f>'Rekapitulace stavby'!K6</f>
        <v>Akce Pasohlávky</v>
      </c>
      <c r="F7" s="479"/>
      <c r="G7" s="479"/>
      <c r="H7" s="479"/>
      <c r="I7" s="101"/>
      <c r="J7" s="29"/>
      <c r="K7" s="31"/>
    </row>
    <row r="8" spans="1:70" s="1" customFormat="1" ht="15" x14ac:dyDescent="0.3">
      <c r="B8" s="41"/>
      <c r="C8" s="42"/>
      <c r="D8" s="37" t="s">
        <v>88</v>
      </c>
      <c r="E8" s="42"/>
      <c r="F8" s="42"/>
      <c r="G8" s="42"/>
      <c r="H8" s="42"/>
      <c r="I8" s="102"/>
      <c r="J8" s="42"/>
      <c r="K8" s="45"/>
    </row>
    <row r="9" spans="1:70" s="1" customFormat="1" ht="36.950000000000003" customHeight="1" x14ac:dyDescent="0.3">
      <c r="B9" s="41"/>
      <c r="C9" s="42"/>
      <c r="D9" s="42"/>
      <c r="E9" s="480" t="s">
        <v>89</v>
      </c>
      <c r="F9" s="481"/>
      <c r="G9" s="481"/>
      <c r="H9" s="481"/>
      <c r="I9" s="102"/>
      <c r="J9" s="42"/>
      <c r="K9" s="45"/>
    </row>
    <row r="10" spans="1:70" s="1" customFormat="1" x14ac:dyDescent="0.3">
      <c r="B10" s="41"/>
      <c r="C10" s="42"/>
      <c r="D10" s="42"/>
      <c r="E10" s="42"/>
      <c r="F10" s="42"/>
      <c r="G10" s="42"/>
      <c r="H10" s="42"/>
      <c r="I10" s="102"/>
      <c r="J10" s="42"/>
      <c r="K10" s="45"/>
    </row>
    <row r="11" spans="1:70" s="1" customFormat="1" ht="14.45" customHeight="1" x14ac:dyDescent="0.3">
      <c r="B11" s="41"/>
      <c r="C11" s="42"/>
      <c r="D11" s="37" t="s">
        <v>22</v>
      </c>
      <c r="E11" s="42"/>
      <c r="F11" s="35" t="s">
        <v>5</v>
      </c>
      <c r="G11" s="42"/>
      <c r="H11" s="42"/>
      <c r="I11" s="103" t="s">
        <v>23</v>
      </c>
      <c r="J11" s="35" t="s">
        <v>5</v>
      </c>
      <c r="K11" s="45"/>
    </row>
    <row r="12" spans="1:70" s="1" customFormat="1" ht="14.45" customHeight="1" x14ac:dyDescent="0.3">
      <c r="B12" s="41"/>
      <c r="C12" s="42"/>
      <c r="D12" s="37" t="s">
        <v>24</v>
      </c>
      <c r="E12" s="42"/>
      <c r="F12" s="35" t="s">
        <v>25</v>
      </c>
      <c r="G12" s="42"/>
      <c r="H12" s="42"/>
      <c r="I12" s="103" t="s">
        <v>26</v>
      </c>
      <c r="J12" s="104" t="str">
        <f>'Rekapitulace stavby'!AN8</f>
        <v>26. 10. 2018</v>
      </c>
      <c r="K12" s="45"/>
    </row>
    <row r="13" spans="1:70" s="1" customFormat="1" ht="10.9" customHeight="1" x14ac:dyDescent="0.3">
      <c r="B13" s="41"/>
      <c r="C13" s="42"/>
      <c r="D13" s="42"/>
      <c r="E13" s="42"/>
      <c r="F13" s="42"/>
      <c r="G13" s="42"/>
      <c r="H13" s="42"/>
      <c r="I13" s="102"/>
      <c r="J13" s="42"/>
      <c r="K13" s="45"/>
    </row>
    <row r="14" spans="1:70" s="1" customFormat="1" ht="14.45" customHeight="1" x14ac:dyDescent="0.3">
      <c r="B14" s="41"/>
      <c r="C14" s="42"/>
      <c r="D14" s="37" t="s">
        <v>28</v>
      </c>
      <c r="E14" s="42"/>
      <c r="F14" s="42"/>
      <c r="G14" s="42"/>
      <c r="H14" s="42"/>
      <c r="I14" s="103" t="s">
        <v>29</v>
      </c>
      <c r="J14" s="35" t="s">
        <v>5</v>
      </c>
      <c r="K14" s="45"/>
    </row>
    <row r="15" spans="1:70" s="1" customFormat="1" ht="18" customHeight="1" x14ac:dyDescent="0.3">
      <c r="B15" s="41"/>
      <c r="C15" s="42"/>
      <c r="D15" s="42"/>
      <c r="E15" s="35" t="s">
        <v>30</v>
      </c>
      <c r="F15" s="42"/>
      <c r="G15" s="42"/>
      <c r="H15" s="42"/>
      <c r="I15" s="103" t="s">
        <v>31</v>
      </c>
      <c r="J15" s="35" t="s">
        <v>5</v>
      </c>
      <c r="K15" s="45"/>
    </row>
    <row r="16" spans="1:70" s="1" customFormat="1" ht="6.95" customHeight="1" x14ac:dyDescent="0.3">
      <c r="B16" s="41"/>
      <c r="C16" s="42"/>
      <c r="D16" s="42"/>
      <c r="E16" s="42"/>
      <c r="F16" s="42"/>
      <c r="G16" s="42"/>
      <c r="H16" s="42"/>
      <c r="I16" s="102"/>
      <c r="J16" s="42"/>
      <c r="K16" s="45"/>
    </row>
    <row r="17" spans="2:11" s="1" customFormat="1" ht="14.45" customHeight="1" x14ac:dyDescent="0.3">
      <c r="B17" s="41"/>
      <c r="C17" s="42"/>
      <c r="D17" s="37" t="s">
        <v>32</v>
      </c>
      <c r="E17" s="42"/>
      <c r="F17" s="42"/>
      <c r="G17" s="42"/>
      <c r="H17" s="42"/>
      <c r="I17" s="103" t="s">
        <v>29</v>
      </c>
      <c r="J17" s="35" t="str">
        <f>IF('Rekapitulace stavby'!AN13="Vyplň údaj","",IF('Rekapitulace stavby'!AN13="","",'Rekapitulace stavby'!AN13))</f>
        <v>292 22 745</v>
      </c>
      <c r="K17" s="45"/>
    </row>
    <row r="18" spans="2:11" s="1" customFormat="1" ht="18" customHeight="1" x14ac:dyDescent="0.3">
      <c r="B18" s="41"/>
      <c r="C18" s="42"/>
      <c r="D18" s="42"/>
      <c r="E18" s="35" t="str">
        <f>IF('Rekapitulace stavby'!E14="Vyplň údaj","",IF('Rekapitulace stavby'!E14="","",'Rekapitulace stavby'!E14))</f>
        <v>LP Staving s.r.o.</v>
      </c>
      <c r="F18" s="42"/>
      <c r="G18" s="42"/>
      <c r="H18" s="42"/>
      <c r="I18" s="103" t="s">
        <v>31</v>
      </c>
      <c r="J18" s="35" t="str">
        <f>IF('Rekapitulace stavby'!AN14="Vyplň údaj","",IF('Rekapitulace stavby'!AN14="","",'Rekapitulace stavby'!AN14))</f>
        <v>CZ29222745</v>
      </c>
      <c r="K18" s="45"/>
    </row>
    <row r="19" spans="2:11" s="1" customFormat="1" ht="6.95" customHeight="1" x14ac:dyDescent="0.3">
      <c r="B19" s="41"/>
      <c r="C19" s="42"/>
      <c r="D19" s="42"/>
      <c r="E19" s="42"/>
      <c r="F19" s="42"/>
      <c r="G19" s="42"/>
      <c r="H19" s="42"/>
      <c r="I19" s="102"/>
      <c r="J19" s="42"/>
      <c r="K19" s="45"/>
    </row>
    <row r="20" spans="2:11" s="1" customFormat="1" ht="14.45" customHeight="1" x14ac:dyDescent="0.3">
      <c r="B20" s="41"/>
      <c r="C20" s="42"/>
      <c r="D20" s="37" t="s">
        <v>33</v>
      </c>
      <c r="E20" s="42"/>
      <c r="F20" s="42"/>
      <c r="G20" s="42"/>
      <c r="H20" s="42"/>
      <c r="I20" s="103" t="s">
        <v>29</v>
      </c>
      <c r="J20" s="35" t="s">
        <v>5</v>
      </c>
      <c r="K20" s="45"/>
    </row>
    <row r="21" spans="2:11" s="1" customFormat="1" ht="18" customHeight="1" x14ac:dyDescent="0.3">
      <c r="B21" s="41"/>
      <c r="C21" s="42"/>
      <c r="D21" s="42"/>
      <c r="E21" s="35" t="s">
        <v>34</v>
      </c>
      <c r="F21" s="42"/>
      <c r="G21" s="42"/>
      <c r="H21" s="42"/>
      <c r="I21" s="103" t="s">
        <v>31</v>
      </c>
      <c r="J21" s="35" t="s">
        <v>5</v>
      </c>
      <c r="K21" s="45"/>
    </row>
    <row r="22" spans="2:11" s="1" customFormat="1" ht="6.95" customHeight="1" x14ac:dyDescent="0.3">
      <c r="B22" s="41"/>
      <c r="C22" s="42"/>
      <c r="D22" s="42"/>
      <c r="E22" s="42"/>
      <c r="F22" s="42"/>
      <c r="G22" s="42"/>
      <c r="H22" s="42"/>
      <c r="I22" s="102"/>
      <c r="J22" s="42"/>
      <c r="K22" s="45"/>
    </row>
    <row r="23" spans="2:11" s="1" customFormat="1" ht="14.45" customHeight="1" x14ac:dyDescent="0.3">
      <c r="B23" s="41"/>
      <c r="C23" s="42"/>
      <c r="D23" s="37" t="s">
        <v>36</v>
      </c>
      <c r="E23" s="42"/>
      <c r="F23" s="42"/>
      <c r="G23" s="42"/>
      <c r="H23" s="42"/>
      <c r="I23" s="102"/>
      <c r="J23" s="42"/>
      <c r="K23" s="45"/>
    </row>
    <row r="24" spans="2:11" s="6" customFormat="1" ht="16.5" customHeight="1" x14ac:dyDescent="0.3">
      <c r="B24" s="105"/>
      <c r="C24" s="106"/>
      <c r="D24" s="106"/>
      <c r="E24" s="469" t="s">
        <v>5</v>
      </c>
      <c r="F24" s="469"/>
      <c r="G24" s="469"/>
      <c r="H24" s="469"/>
      <c r="I24" s="107"/>
      <c r="J24" s="106"/>
      <c r="K24" s="108"/>
    </row>
    <row r="25" spans="2:11" s="1" customFormat="1" ht="6.95" customHeight="1" x14ac:dyDescent="0.3">
      <c r="B25" s="41"/>
      <c r="C25" s="42"/>
      <c r="D25" s="42"/>
      <c r="E25" s="42"/>
      <c r="F25" s="42"/>
      <c r="G25" s="42"/>
      <c r="H25" s="42"/>
      <c r="I25" s="102"/>
      <c r="J25" s="42"/>
      <c r="K25" s="45"/>
    </row>
    <row r="26" spans="2:11" s="1" customFormat="1" ht="6.95" customHeight="1" x14ac:dyDescent="0.3">
      <c r="B26" s="41"/>
      <c r="C26" s="42"/>
      <c r="D26" s="68"/>
      <c r="E26" s="68"/>
      <c r="F26" s="68"/>
      <c r="G26" s="68"/>
      <c r="H26" s="68"/>
      <c r="I26" s="109"/>
      <c r="J26" s="68"/>
      <c r="K26" s="110"/>
    </row>
    <row r="27" spans="2:11" s="1" customFormat="1" ht="25.35" customHeight="1" x14ac:dyDescent="0.3">
      <c r="B27" s="41"/>
      <c r="C27" s="42"/>
      <c r="D27" s="111" t="s">
        <v>37</v>
      </c>
      <c r="E27" s="42"/>
      <c r="F27" s="42"/>
      <c r="G27" s="42"/>
      <c r="H27" s="42"/>
      <c r="I27" s="102"/>
      <c r="J27" s="112">
        <f>ROUND(J101,2)</f>
        <v>11088857.439999999</v>
      </c>
      <c r="K27" s="45"/>
    </row>
    <row r="28" spans="2:11" s="1" customFormat="1" ht="6.95" customHeight="1" x14ac:dyDescent="0.3">
      <c r="B28" s="41"/>
      <c r="C28" s="42"/>
      <c r="D28" s="68"/>
      <c r="E28" s="68"/>
      <c r="F28" s="68"/>
      <c r="G28" s="68"/>
      <c r="H28" s="68"/>
      <c r="I28" s="109"/>
      <c r="J28" s="68"/>
      <c r="K28" s="110"/>
    </row>
    <row r="29" spans="2:11" s="1" customFormat="1" ht="14.45" customHeight="1" x14ac:dyDescent="0.3">
      <c r="B29" s="41"/>
      <c r="C29" s="42"/>
      <c r="D29" s="42"/>
      <c r="E29" s="42"/>
      <c r="F29" s="46" t="s">
        <v>39</v>
      </c>
      <c r="G29" s="42"/>
      <c r="H29" s="42"/>
      <c r="I29" s="113" t="s">
        <v>38</v>
      </c>
      <c r="J29" s="46" t="s">
        <v>40</v>
      </c>
      <c r="K29" s="45"/>
    </row>
    <row r="30" spans="2:11" s="1" customFormat="1" ht="14.45" customHeight="1" x14ac:dyDescent="0.3">
      <c r="B30" s="41"/>
      <c r="C30" s="42"/>
      <c r="D30" s="49" t="s">
        <v>41</v>
      </c>
      <c r="E30" s="49" t="s">
        <v>42</v>
      </c>
      <c r="F30" s="114">
        <f>J27</f>
        <v>11088857.439999999</v>
      </c>
      <c r="G30" s="42"/>
      <c r="H30" s="42"/>
      <c r="I30" s="115">
        <v>0.21</v>
      </c>
      <c r="J30" s="114">
        <f>F30*0.21</f>
        <v>2328660.0623999997</v>
      </c>
      <c r="K30" s="45"/>
    </row>
    <row r="31" spans="2:11" s="1" customFormat="1" ht="14.45" customHeight="1" x14ac:dyDescent="0.3">
      <c r="B31" s="41"/>
      <c r="C31" s="42"/>
      <c r="D31" s="42"/>
      <c r="E31" s="49" t="s">
        <v>43</v>
      </c>
      <c r="F31" s="114">
        <f>ROUND(SUM(BF101:BF911), 2)</f>
        <v>0</v>
      </c>
      <c r="G31" s="42"/>
      <c r="H31" s="42"/>
      <c r="I31" s="115">
        <v>0.15</v>
      </c>
      <c r="J31" s="114">
        <f>ROUND(ROUND((SUM(BF101:BF911)), 2)*I31, 2)</f>
        <v>0</v>
      </c>
      <c r="K31" s="45"/>
    </row>
    <row r="32" spans="2:11" s="1" customFormat="1" ht="14.45" hidden="1" customHeight="1" x14ac:dyDescent="0.3">
      <c r="B32" s="41"/>
      <c r="C32" s="42"/>
      <c r="D32" s="42"/>
      <c r="E32" s="49" t="s">
        <v>44</v>
      </c>
      <c r="F32" s="114">
        <f>ROUND(SUM(BG101:BG911), 2)</f>
        <v>0</v>
      </c>
      <c r="G32" s="42"/>
      <c r="H32" s="42"/>
      <c r="I32" s="115">
        <v>0.21</v>
      </c>
      <c r="J32" s="114">
        <v>0</v>
      </c>
      <c r="K32" s="45"/>
    </row>
    <row r="33" spans="2:11" s="1" customFormat="1" ht="14.45" hidden="1" customHeight="1" x14ac:dyDescent="0.3">
      <c r="B33" s="41"/>
      <c r="C33" s="42"/>
      <c r="D33" s="42"/>
      <c r="E33" s="49" t="s">
        <v>45</v>
      </c>
      <c r="F33" s="114">
        <f>ROUND(SUM(BH101:BH911), 2)</f>
        <v>0</v>
      </c>
      <c r="G33" s="42"/>
      <c r="H33" s="42"/>
      <c r="I33" s="115">
        <v>0.15</v>
      </c>
      <c r="J33" s="114">
        <v>0</v>
      </c>
      <c r="K33" s="45"/>
    </row>
    <row r="34" spans="2:11" s="1" customFormat="1" ht="14.45" hidden="1" customHeight="1" x14ac:dyDescent="0.3">
      <c r="B34" s="41"/>
      <c r="C34" s="42"/>
      <c r="D34" s="42"/>
      <c r="E34" s="49" t="s">
        <v>46</v>
      </c>
      <c r="F34" s="114">
        <f>ROUND(SUM(BI101:BI911), 2)</f>
        <v>0</v>
      </c>
      <c r="G34" s="42"/>
      <c r="H34" s="42"/>
      <c r="I34" s="115">
        <v>0</v>
      </c>
      <c r="J34" s="114">
        <v>0</v>
      </c>
      <c r="K34" s="45"/>
    </row>
    <row r="35" spans="2:11" s="1" customFormat="1" ht="6.95" customHeight="1" x14ac:dyDescent="0.3">
      <c r="B35" s="41"/>
      <c r="C35" s="42"/>
      <c r="D35" s="42"/>
      <c r="E35" s="42"/>
      <c r="F35" s="42"/>
      <c r="G35" s="42"/>
      <c r="H35" s="42"/>
      <c r="I35" s="102"/>
      <c r="J35" s="42"/>
      <c r="K35" s="45"/>
    </row>
    <row r="36" spans="2:11" s="1" customFormat="1" ht="25.35" customHeight="1" x14ac:dyDescent="0.3">
      <c r="B36" s="41"/>
      <c r="C36" s="116"/>
      <c r="D36" s="117" t="s">
        <v>47</v>
      </c>
      <c r="E36" s="71"/>
      <c r="F36" s="71"/>
      <c r="G36" s="118" t="s">
        <v>48</v>
      </c>
      <c r="H36" s="119" t="s">
        <v>49</v>
      </c>
      <c r="I36" s="120"/>
      <c r="J36" s="121">
        <f>SUM(J27:J34)</f>
        <v>13417517.5024</v>
      </c>
      <c r="K36" s="122"/>
    </row>
    <row r="37" spans="2:11" s="1" customFormat="1" ht="14.45" customHeight="1" x14ac:dyDescent="0.3">
      <c r="B37" s="56"/>
      <c r="C37" s="57"/>
      <c r="D37" s="57"/>
      <c r="E37" s="57"/>
      <c r="F37" s="57"/>
      <c r="G37" s="57"/>
      <c r="H37" s="57"/>
      <c r="I37" s="123"/>
      <c r="J37" s="57"/>
      <c r="K37" s="58"/>
    </row>
    <row r="41" spans="2:11" s="1" customFormat="1" ht="6.95" customHeight="1" x14ac:dyDescent="0.3">
      <c r="B41" s="59"/>
      <c r="C41" s="60"/>
      <c r="D41" s="60"/>
      <c r="E41" s="60"/>
      <c r="F41" s="60"/>
      <c r="G41" s="60"/>
      <c r="H41" s="60"/>
      <c r="I41" s="124"/>
      <c r="J41" s="60"/>
      <c r="K41" s="125"/>
    </row>
    <row r="42" spans="2:11" s="1" customFormat="1" ht="36.950000000000003" customHeight="1" x14ac:dyDescent="0.3">
      <c r="B42" s="41"/>
      <c r="C42" s="30" t="s">
        <v>90</v>
      </c>
      <c r="D42" s="42"/>
      <c r="E42" s="42"/>
      <c r="F42" s="42"/>
      <c r="G42" s="42"/>
      <c r="H42" s="42"/>
      <c r="I42" s="102"/>
      <c r="J42" s="42"/>
      <c r="K42" s="45"/>
    </row>
    <row r="43" spans="2:11" s="1" customFormat="1" ht="6.95" customHeight="1" x14ac:dyDescent="0.3">
      <c r="B43" s="41"/>
      <c r="C43" s="42"/>
      <c r="D43" s="42"/>
      <c r="E43" s="42"/>
      <c r="F43" s="42"/>
      <c r="G43" s="42"/>
      <c r="H43" s="42"/>
      <c r="I43" s="102"/>
      <c r="J43" s="42"/>
      <c r="K43" s="45"/>
    </row>
    <row r="44" spans="2:11" s="1" customFormat="1" ht="14.45" customHeight="1" x14ac:dyDescent="0.3">
      <c r="B44" s="41"/>
      <c r="C44" s="37" t="s">
        <v>20</v>
      </c>
      <c r="D44" s="42"/>
      <c r="E44" s="42"/>
      <c r="F44" s="42"/>
      <c r="G44" s="42"/>
      <c r="H44" s="42"/>
      <c r="I44" s="102"/>
      <c r="J44" s="42"/>
      <c r="K44" s="45"/>
    </row>
    <row r="45" spans="2:11" s="1" customFormat="1" ht="16.5" customHeight="1" x14ac:dyDescent="0.3">
      <c r="B45" s="41"/>
      <c r="C45" s="42"/>
      <c r="D45" s="42"/>
      <c r="E45" s="478" t="str">
        <f>E7</f>
        <v>Akce Pasohlávky</v>
      </c>
      <c r="F45" s="479"/>
      <c r="G45" s="479"/>
      <c r="H45" s="479"/>
      <c r="I45" s="102"/>
      <c r="J45" s="42"/>
      <c r="K45" s="45"/>
    </row>
    <row r="46" spans="2:11" s="1" customFormat="1" ht="14.45" customHeight="1" x14ac:dyDescent="0.3">
      <c r="B46" s="41"/>
      <c r="C46" s="37" t="s">
        <v>88</v>
      </c>
      <c r="D46" s="42"/>
      <c r="E46" s="42"/>
      <c r="F46" s="42"/>
      <c r="G46" s="42"/>
      <c r="H46" s="42"/>
      <c r="I46" s="102"/>
      <c r="J46" s="42"/>
      <c r="K46" s="45"/>
    </row>
    <row r="47" spans="2:11" s="1" customFormat="1" ht="17.25" customHeight="1" x14ac:dyDescent="0.3">
      <c r="B47" s="41"/>
      <c r="C47" s="42"/>
      <c r="D47" s="42"/>
      <c r="E47" s="480" t="str">
        <f>E9</f>
        <v>Bytový dům - Nájemní bydlení pro seniory Pasohlávky - bytový dům</v>
      </c>
      <c r="F47" s="481"/>
      <c r="G47" s="481"/>
      <c r="H47" s="481"/>
      <c r="I47" s="102"/>
      <c r="J47" s="42"/>
      <c r="K47" s="45"/>
    </row>
    <row r="48" spans="2:11" s="1" customFormat="1" ht="6.95" customHeight="1" x14ac:dyDescent="0.3">
      <c r="B48" s="41"/>
      <c r="C48" s="42"/>
      <c r="D48" s="42"/>
      <c r="E48" s="42"/>
      <c r="F48" s="42"/>
      <c r="G48" s="42"/>
      <c r="H48" s="42"/>
      <c r="I48" s="102"/>
      <c r="J48" s="42"/>
      <c r="K48" s="45"/>
    </row>
    <row r="49" spans="2:47" s="1" customFormat="1" ht="18" customHeight="1" x14ac:dyDescent="0.3">
      <c r="B49" s="41"/>
      <c r="C49" s="37" t="s">
        <v>24</v>
      </c>
      <c r="D49" s="42"/>
      <c r="E49" s="42"/>
      <c r="F49" s="35" t="str">
        <f>F12</f>
        <v>Pasohlávky</v>
      </c>
      <c r="G49" s="42"/>
      <c r="H49" s="42"/>
      <c r="I49" s="103" t="s">
        <v>26</v>
      </c>
      <c r="J49" s="104" t="str">
        <f>IF(J12="","",J12)</f>
        <v>26. 10. 2018</v>
      </c>
      <c r="K49" s="45"/>
    </row>
    <row r="50" spans="2:47" s="1" customFormat="1" ht="6.95" customHeight="1" x14ac:dyDescent="0.3">
      <c r="B50" s="41"/>
      <c r="C50" s="42"/>
      <c r="D50" s="42"/>
      <c r="E50" s="42"/>
      <c r="F50" s="42"/>
      <c r="G50" s="42"/>
      <c r="H50" s="42"/>
      <c r="I50" s="102"/>
      <c r="J50" s="42"/>
      <c r="K50" s="45"/>
    </row>
    <row r="51" spans="2:47" s="1" customFormat="1" ht="15" x14ac:dyDescent="0.3">
      <c r="B51" s="41"/>
      <c r="C51" s="37" t="s">
        <v>28</v>
      </c>
      <c r="D51" s="42"/>
      <c r="E51" s="42"/>
      <c r="F51" s="35" t="str">
        <f>E15</f>
        <v>UNIFICA a.s., Příkop 834/8, 602 00 Brno</v>
      </c>
      <c r="G51" s="42"/>
      <c r="H51" s="42"/>
      <c r="I51" s="103" t="s">
        <v>33</v>
      </c>
      <c r="J51" s="469" t="str">
        <f>E21</f>
        <v>Ing. Arch. Pavel Jura</v>
      </c>
      <c r="K51" s="45"/>
    </row>
    <row r="52" spans="2:47" s="1" customFormat="1" ht="14.45" customHeight="1" x14ac:dyDescent="0.3">
      <c r="B52" s="41"/>
      <c r="C52" s="37" t="s">
        <v>32</v>
      </c>
      <c r="D52" s="42"/>
      <c r="E52" s="42"/>
      <c r="F52" s="35" t="str">
        <f>IF(E18="","",E18)</f>
        <v>LP Staving s.r.o.</v>
      </c>
      <c r="G52" s="42"/>
      <c r="H52" s="42"/>
      <c r="I52" s="102"/>
      <c r="J52" s="473"/>
      <c r="K52" s="45"/>
    </row>
    <row r="53" spans="2:47" s="1" customFormat="1" ht="10.35" customHeight="1" x14ac:dyDescent="0.3">
      <c r="B53" s="41"/>
      <c r="C53" s="42"/>
      <c r="D53" s="42"/>
      <c r="E53" s="42"/>
      <c r="F53" s="42"/>
      <c r="G53" s="42"/>
      <c r="H53" s="42"/>
      <c r="I53" s="102"/>
      <c r="J53" s="42"/>
      <c r="K53" s="45"/>
    </row>
    <row r="54" spans="2:47" s="1" customFormat="1" ht="29.25" customHeight="1" x14ac:dyDescent="0.3">
      <c r="B54" s="41"/>
      <c r="C54" s="126" t="s">
        <v>91</v>
      </c>
      <c r="D54" s="116"/>
      <c r="E54" s="116"/>
      <c r="F54" s="116"/>
      <c r="G54" s="116"/>
      <c r="H54" s="116"/>
      <c r="I54" s="127"/>
      <c r="J54" s="128" t="s">
        <v>92</v>
      </c>
      <c r="K54" s="129"/>
    </row>
    <row r="55" spans="2:47" s="1" customFormat="1" ht="10.35" customHeight="1" x14ac:dyDescent="0.3">
      <c r="B55" s="41"/>
      <c r="C55" s="42"/>
      <c r="D55" s="42"/>
      <c r="E55" s="42"/>
      <c r="F55" s="42"/>
      <c r="G55" s="42"/>
      <c r="H55" s="42"/>
      <c r="I55" s="102"/>
      <c r="J55" s="42"/>
      <c r="K55" s="45"/>
    </row>
    <row r="56" spans="2:47" s="1" customFormat="1" ht="29.25" customHeight="1" x14ac:dyDescent="0.3">
      <c r="B56" s="41"/>
      <c r="C56" s="130" t="s">
        <v>93</v>
      </c>
      <c r="D56" s="42"/>
      <c r="E56" s="42"/>
      <c r="F56" s="42"/>
      <c r="G56" s="42"/>
      <c r="H56" s="42"/>
      <c r="I56" s="102"/>
      <c r="J56" s="112">
        <f>J101</f>
        <v>11088857.438999999</v>
      </c>
      <c r="K56" s="45"/>
      <c r="AU56" s="24" t="s">
        <v>94</v>
      </c>
    </row>
    <row r="57" spans="2:47" s="7" customFormat="1" ht="24.95" customHeight="1" x14ac:dyDescent="0.3">
      <c r="B57" s="131"/>
      <c r="C57" s="132"/>
      <c r="D57" s="133" t="s">
        <v>95</v>
      </c>
      <c r="E57" s="134"/>
      <c r="F57" s="134"/>
      <c r="G57" s="134"/>
      <c r="H57" s="134"/>
      <c r="I57" s="135"/>
      <c r="J57" s="136">
        <f>SUM(J58:J64)</f>
        <v>3898781.0099999993</v>
      </c>
      <c r="K57" s="435"/>
    </row>
    <row r="58" spans="2:47" s="8" customFormat="1" ht="19.899999999999999" customHeight="1" x14ac:dyDescent="0.3">
      <c r="B58" s="138"/>
      <c r="C58" s="139"/>
      <c r="D58" s="140" t="s">
        <v>96</v>
      </c>
      <c r="E58" s="141"/>
      <c r="F58" s="141"/>
      <c r="G58" s="141"/>
      <c r="H58" s="141"/>
      <c r="I58" s="142"/>
      <c r="J58" s="143">
        <f>J103</f>
        <v>125236.54000000001</v>
      </c>
      <c r="K58" s="144"/>
    </row>
    <row r="59" spans="2:47" s="8" customFormat="1" ht="19.899999999999999" customHeight="1" x14ac:dyDescent="0.3">
      <c r="B59" s="138"/>
      <c r="C59" s="139"/>
      <c r="D59" s="140" t="s">
        <v>97</v>
      </c>
      <c r="E59" s="141"/>
      <c r="F59" s="141"/>
      <c r="G59" s="141"/>
      <c r="H59" s="141"/>
      <c r="I59" s="142"/>
      <c r="J59" s="143">
        <f>J117</f>
        <v>266368.90000000002</v>
      </c>
      <c r="K59" s="144"/>
    </row>
    <row r="60" spans="2:47" s="8" customFormat="1" ht="19.899999999999999" customHeight="1" x14ac:dyDescent="0.3">
      <c r="B60" s="138"/>
      <c r="C60" s="139"/>
      <c r="D60" s="140" t="s">
        <v>98</v>
      </c>
      <c r="E60" s="141"/>
      <c r="F60" s="141"/>
      <c r="G60" s="141"/>
      <c r="H60" s="141"/>
      <c r="I60" s="142"/>
      <c r="J60" s="143">
        <f>J141</f>
        <v>943588.63</v>
      </c>
      <c r="K60" s="144"/>
    </row>
    <row r="61" spans="2:47" s="8" customFormat="1" ht="19.899999999999999" customHeight="1" x14ac:dyDescent="0.3">
      <c r="B61" s="138"/>
      <c r="C61" s="139"/>
      <c r="D61" s="140" t="s">
        <v>99</v>
      </c>
      <c r="E61" s="141"/>
      <c r="F61" s="141"/>
      <c r="G61" s="141"/>
      <c r="H61" s="141"/>
      <c r="I61" s="142"/>
      <c r="J61" s="143">
        <f>J196</f>
        <v>1123782.5399999996</v>
      </c>
      <c r="K61" s="144"/>
    </row>
    <row r="62" spans="2:47" s="8" customFormat="1" ht="19.899999999999999" customHeight="1" x14ac:dyDescent="0.3">
      <c r="B62" s="138"/>
      <c r="C62" s="139"/>
      <c r="D62" s="140" t="s">
        <v>100</v>
      </c>
      <c r="E62" s="141"/>
      <c r="F62" s="141"/>
      <c r="G62" s="141"/>
      <c r="H62" s="141"/>
      <c r="I62" s="142"/>
      <c r="J62" s="143">
        <f>J271</f>
        <v>1159924.23</v>
      </c>
      <c r="K62" s="144"/>
    </row>
    <row r="63" spans="2:47" s="8" customFormat="1" ht="19.899999999999999" customHeight="1" x14ac:dyDescent="0.3">
      <c r="B63" s="138"/>
      <c r="C63" s="139"/>
      <c r="D63" s="140" t="s">
        <v>101</v>
      </c>
      <c r="E63" s="141"/>
      <c r="F63" s="141"/>
      <c r="G63" s="141"/>
      <c r="H63" s="141"/>
      <c r="I63" s="142"/>
      <c r="J63" s="143">
        <f>J455</f>
        <v>178889.16999999998</v>
      </c>
      <c r="K63" s="144"/>
    </row>
    <row r="64" spans="2:47" s="8" customFormat="1" ht="19.899999999999999" customHeight="1" x14ac:dyDescent="0.3">
      <c r="B64" s="138"/>
      <c r="C64" s="139"/>
      <c r="D64" s="140" t="s">
        <v>102</v>
      </c>
      <c r="E64" s="141"/>
      <c r="F64" s="141"/>
      <c r="G64" s="141"/>
      <c r="H64" s="141"/>
      <c r="I64" s="142"/>
      <c r="J64" s="143">
        <f>J483</f>
        <v>100991</v>
      </c>
      <c r="K64" s="144"/>
    </row>
    <row r="65" spans="2:11" s="7" customFormat="1" ht="24.95" customHeight="1" x14ac:dyDescent="0.3">
      <c r="B65" s="131"/>
      <c r="C65" s="132"/>
      <c r="D65" s="133" t="s">
        <v>103</v>
      </c>
      <c r="E65" s="134"/>
      <c r="F65" s="134"/>
      <c r="G65" s="134"/>
      <c r="H65" s="134"/>
      <c r="I65" s="135"/>
      <c r="J65" s="136">
        <f>SUM(J66:J78)</f>
        <v>4138826.429</v>
      </c>
      <c r="K65" s="137"/>
    </row>
    <row r="66" spans="2:11" s="8" customFormat="1" ht="19.899999999999999" customHeight="1" x14ac:dyDescent="0.3">
      <c r="B66" s="138"/>
      <c r="C66" s="139"/>
      <c r="D66" s="140" t="s">
        <v>104</v>
      </c>
      <c r="E66" s="141"/>
      <c r="F66" s="141"/>
      <c r="G66" s="141"/>
      <c r="H66" s="141"/>
      <c r="I66" s="142"/>
      <c r="J66" s="143">
        <f>J486</f>
        <v>109909.04000000001</v>
      </c>
      <c r="K66" s="144"/>
    </row>
    <row r="67" spans="2:11" s="8" customFormat="1" ht="19.899999999999999" customHeight="1" x14ac:dyDescent="0.3">
      <c r="B67" s="138"/>
      <c r="C67" s="139"/>
      <c r="D67" s="140" t="s">
        <v>105</v>
      </c>
      <c r="E67" s="141"/>
      <c r="F67" s="141"/>
      <c r="G67" s="141"/>
      <c r="H67" s="141"/>
      <c r="I67" s="142"/>
      <c r="J67" s="143">
        <f>J547</f>
        <v>95425.709999999992</v>
      </c>
      <c r="K67" s="144"/>
    </row>
    <row r="68" spans="2:11" s="8" customFormat="1" ht="19.899999999999999" customHeight="1" x14ac:dyDescent="0.3">
      <c r="B68" s="138"/>
      <c r="C68" s="139"/>
      <c r="D68" s="140" t="s">
        <v>106</v>
      </c>
      <c r="E68" s="141"/>
      <c r="F68" s="141"/>
      <c r="G68" s="141"/>
      <c r="H68" s="141"/>
      <c r="I68" s="142"/>
      <c r="J68" s="143">
        <f>J596</f>
        <v>246724.78000000006</v>
      </c>
      <c r="K68" s="144"/>
    </row>
    <row r="69" spans="2:11" s="8" customFormat="1" ht="19.899999999999999" customHeight="1" x14ac:dyDescent="0.3">
      <c r="B69" s="138"/>
      <c r="C69" s="139"/>
      <c r="D69" s="140" t="s">
        <v>107</v>
      </c>
      <c r="E69" s="141"/>
      <c r="F69" s="141"/>
      <c r="G69" s="141"/>
      <c r="H69" s="141"/>
      <c r="I69" s="142"/>
      <c r="J69" s="143">
        <f>J638</f>
        <v>404927.57000000007</v>
      </c>
      <c r="K69" s="144"/>
    </row>
    <row r="70" spans="2:11" s="8" customFormat="1" ht="19.899999999999999" customHeight="1" x14ac:dyDescent="0.3">
      <c r="B70" s="138"/>
      <c r="C70" s="139"/>
      <c r="D70" s="140" t="s">
        <v>108</v>
      </c>
      <c r="E70" s="141"/>
      <c r="F70" s="141"/>
      <c r="G70" s="141"/>
      <c r="H70" s="141"/>
      <c r="I70" s="142"/>
      <c r="J70" s="143">
        <f>J689</f>
        <v>213010.18</v>
      </c>
      <c r="K70" s="144"/>
    </row>
    <row r="71" spans="2:11" s="8" customFormat="1" ht="19.899999999999999" customHeight="1" x14ac:dyDescent="0.3">
      <c r="B71" s="138"/>
      <c r="C71" s="139"/>
      <c r="D71" s="140" t="s">
        <v>109</v>
      </c>
      <c r="E71" s="141"/>
      <c r="F71" s="141"/>
      <c r="G71" s="141"/>
      <c r="H71" s="141"/>
      <c r="I71" s="142"/>
      <c r="J71" s="143">
        <f>J703</f>
        <v>295104.43</v>
      </c>
      <c r="K71" s="144"/>
    </row>
    <row r="72" spans="2:11" s="8" customFormat="1" ht="19.899999999999999" customHeight="1" x14ac:dyDescent="0.3">
      <c r="B72" s="138"/>
      <c r="C72" s="139"/>
      <c r="D72" s="140" t="s">
        <v>110</v>
      </c>
      <c r="E72" s="141"/>
      <c r="F72" s="141"/>
      <c r="G72" s="141"/>
      <c r="H72" s="141"/>
      <c r="I72" s="142"/>
      <c r="J72" s="143">
        <f>J729</f>
        <v>15343.300000000001</v>
      </c>
      <c r="K72" s="144"/>
    </row>
    <row r="73" spans="2:11" s="8" customFormat="1" ht="19.899999999999999" customHeight="1" x14ac:dyDescent="0.3">
      <c r="B73" s="138"/>
      <c r="C73" s="139"/>
      <c r="D73" s="140" t="s">
        <v>111</v>
      </c>
      <c r="E73" s="141"/>
      <c r="F73" s="141"/>
      <c r="G73" s="141"/>
      <c r="H73" s="141"/>
      <c r="I73" s="142"/>
      <c r="J73" s="143">
        <f>J735</f>
        <v>107175.86900000001</v>
      </c>
      <c r="K73" s="144"/>
    </row>
    <row r="74" spans="2:11" s="8" customFormat="1" ht="19.899999999999999" customHeight="1" x14ac:dyDescent="0.3">
      <c r="B74" s="138"/>
      <c r="C74" s="139"/>
      <c r="D74" s="140" t="s">
        <v>112</v>
      </c>
      <c r="E74" s="141"/>
      <c r="F74" s="141"/>
      <c r="G74" s="141"/>
      <c r="H74" s="141"/>
      <c r="I74" s="142"/>
      <c r="J74" s="143">
        <f>J761</f>
        <v>1799630.84</v>
      </c>
      <c r="K74" s="144"/>
    </row>
    <row r="75" spans="2:11" s="8" customFormat="1" ht="19.899999999999999" customHeight="1" x14ac:dyDescent="0.3">
      <c r="B75" s="138"/>
      <c r="C75" s="139"/>
      <c r="D75" s="140" t="s">
        <v>113</v>
      </c>
      <c r="E75" s="141"/>
      <c r="F75" s="141"/>
      <c r="G75" s="141"/>
      <c r="H75" s="141"/>
      <c r="I75" s="142"/>
      <c r="J75" s="143">
        <f>J795</f>
        <v>163415.60999999999</v>
      </c>
      <c r="K75" s="144"/>
    </row>
    <row r="76" spans="2:11" s="8" customFormat="1" ht="19.899999999999999" customHeight="1" x14ac:dyDescent="0.3">
      <c r="B76" s="138"/>
      <c r="C76" s="139"/>
      <c r="D76" s="140" t="s">
        <v>114</v>
      </c>
      <c r="E76" s="141"/>
      <c r="F76" s="141"/>
      <c r="G76" s="141"/>
      <c r="H76" s="141"/>
      <c r="I76" s="142"/>
      <c r="J76" s="143">
        <f>J834</f>
        <v>470366.71999999997</v>
      </c>
      <c r="K76" s="144"/>
    </row>
    <row r="77" spans="2:11" s="8" customFormat="1" ht="19.899999999999999" customHeight="1" x14ac:dyDescent="0.3">
      <c r="B77" s="138"/>
      <c r="C77" s="139"/>
      <c r="D77" s="140" t="s">
        <v>115</v>
      </c>
      <c r="E77" s="141"/>
      <c r="F77" s="141"/>
      <c r="G77" s="141"/>
      <c r="H77" s="141"/>
      <c r="I77" s="142"/>
      <c r="J77" s="143">
        <f>J857</f>
        <v>175881.72</v>
      </c>
      <c r="K77" s="144"/>
    </row>
    <row r="78" spans="2:11" s="8" customFormat="1" ht="19.899999999999999" customHeight="1" x14ac:dyDescent="0.3">
      <c r="B78" s="138"/>
      <c r="C78" s="139"/>
      <c r="D78" s="140" t="s">
        <v>116</v>
      </c>
      <c r="E78" s="141"/>
      <c r="F78" s="141"/>
      <c r="G78" s="141"/>
      <c r="H78" s="141"/>
      <c r="I78" s="142"/>
      <c r="J78" s="143">
        <f>J879</f>
        <v>41910.659999999996</v>
      </c>
      <c r="K78" s="144"/>
    </row>
    <row r="79" spans="2:11" s="7" customFormat="1" ht="24.95" customHeight="1" x14ac:dyDescent="0.3">
      <c r="B79" s="131"/>
      <c r="C79" s="132"/>
      <c r="D79" s="133" t="s">
        <v>117</v>
      </c>
      <c r="E79" s="134"/>
      <c r="F79" s="134"/>
      <c r="G79" s="134"/>
      <c r="H79" s="134"/>
      <c r="I79" s="135"/>
      <c r="J79" s="136">
        <f>J900</f>
        <v>3051250</v>
      </c>
      <c r="K79" s="137"/>
    </row>
    <row r="80" spans="2:11" s="7" customFormat="1" ht="24.95" customHeight="1" x14ac:dyDescent="0.3">
      <c r="B80" s="131"/>
      <c r="C80" s="132"/>
      <c r="D80" s="133" t="s">
        <v>118</v>
      </c>
      <c r="E80" s="134"/>
      <c r="F80" s="134"/>
      <c r="G80" s="134"/>
      <c r="H80" s="134"/>
      <c r="I80" s="135"/>
      <c r="J80" s="136">
        <f>J905</f>
        <v>0</v>
      </c>
      <c r="K80" s="137"/>
    </row>
    <row r="81" spans="2:12" s="7" customFormat="1" ht="24.95" customHeight="1" x14ac:dyDescent="0.3">
      <c r="B81" s="131"/>
      <c r="C81" s="132"/>
      <c r="D81" s="133" t="s">
        <v>119</v>
      </c>
      <c r="E81" s="134"/>
      <c r="F81" s="134"/>
      <c r="G81" s="134"/>
      <c r="H81" s="134"/>
      <c r="I81" s="135"/>
      <c r="J81" s="136">
        <f>J909</f>
        <v>0</v>
      </c>
      <c r="K81" s="137"/>
    </row>
    <row r="82" spans="2:12" s="1" customFormat="1" ht="21.75" customHeight="1" x14ac:dyDescent="0.3">
      <c r="B82" s="41"/>
      <c r="C82" s="42"/>
      <c r="D82" s="42"/>
      <c r="E82" s="42"/>
      <c r="F82" s="42"/>
      <c r="G82" s="42"/>
      <c r="H82" s="42"/>
      <c r="I82" s="102"/>
      <c r="J82" s="42"/>
      <c r="K82" s="45"/>
    </row>
    <row r="83" spans="2:12" s="1" customFormat="1" ht="6.95" customHeight="1" x14ac:dyDescent="0.3">
      <c r="B83" s="56"/>
      <c r="C83" s="57"/>
      <c r="D83" s="57"/>
      <c r="E83" s="57"/>
      <c r="F83" s="57"/>
      <c r="G83" s="57"/>
      <c r="H83" s="57"/>
      <c r="I83" s="123"/>
      <c r="J83" s="57"/>
      <c r="K83" s="58"/>
    </row>
    <row r="87" spans="2:12" s="1" customFormat="1" ht="6.95" customHeight="1" x14ac:dyDescent="0.3">
      <c r="B87" s="59"/>
      <c r="C87" s="60"/>
      <c r="D87" s="60"/>
      <c r="E87" s="60"/>
      <c r="F87" s="60"/>
      <c r="G87" s="60"/>
      <c r="H87" s="60"/>
      <c r="I87" s="124"/>
      <c r="J87" s="60"/>
      <c r="K87" s="60"/>
      <c r="L87" s="41"/>
    </row>
    <row r="88" spans="2:12" s="1" customFormat="1" ht="36.950000000000003" customHeight="1" x14ac:dyDescent="0.3">
      <c r="B88" s="41"/>
      <c r="C88" s="61" t="s">
        <v>120</v>
      </c>
      <c r="L88" s="41"/>
    </row>
    <row r="89" spans="2:12" s="1" customFormat="1" ht="6.95" customHeight="1" x14ac:dyDescent="0.3">
      <c r="B89" s="41"/>
      <c r="L89" s="41"/>
    </row>
    <row r="90" spans="2:12" s="1" customFormat="1" ht="14.45" customHeight="1" x14ac:dyDescent="0.3">
      <c r="B90" s="41"/>
      <c r="C90" s="63" t="s">
        <v>20</v>
      </c>
      <c r="L90" s="41"/>
    </row>
    <row r="91" spans="2:12" s="1" customFormat="1" ht="16.5" customHeight="1" x14ac:dyDescent="0.3">
      <c r="B91" s="41"/>
      <c r="E91" s="474" t="str">
        <f>E7</f>
        <v>Akce Pasohlávky</v>
      </c>
      <c r="F91" s="475"/>
      <c r="G91" s="475"/>
      <c r="H91" s="475"/>
      <c r="L91" s="41"/>
    </row>
    <row r="92" spans="2:12" s="1" customFormat="1" ht="14.45" customHeight="1" x14ac:dyDescent="0.3">
      <c r="B92" s="41"/>
      <c r="C92" s="63" t="s">
        <v>88</v>
      </c>
      <c r="L92" s="41"/>
    </row>
    <row r="93" spans="2:12" s="1" customFormat="1" ht="17.25" customHeight="1" x14ac:dyDescent="0.3">
      <c r="B93" s="41"/>
      <c r="E93" s="444" t="str">
        <f>E9</f>
        <v>Bytový dům - Nájemní bydlení pro seniory Pasohlávky - bytový dům</v>
      </c>
      <c r="F93" s="476"/>
      <c r="G93" s="476"/>
      <c r="H93" s="476"/>
      <c r="L93" s="41"/>
    </row>
    <row r="94" spans="2:12" s="1" customFormat="1" ht="6.95" customHeight="1" x14ac:dyDescent="0.3">
      <c r="B94" s="41"/>
      <c r="L94" s="41"/>
    </row>
    <row r="95" spans="2:12" s="1" customFormat="1" ht="18" customHeight="1" x14ac:dyDescent="0.3">
      <c r="B95" s="41"/>
      <c r="C95" s="63" t="s">
        <v>24</v>
      </c>
      <c r="F95" s="145" t="str">
        <f>F12</f>
        <v>Pasohlávky</v>
      </c>
      <c r="I95" s="146" t="s">
        <v>26</v>
      </c>
      <c r="J95" s="67" t="str">
        <f>IF(J12="","",J12)</f>
        <v>26. 10. 2018</v>
      </c>
      <c r="L95" s="41"/>
    </row>
    <row r="96" spans="2:12" s="1" customFormat="1" ht="6.95" customHeight="1" x14ac:dyDescent="0.3">
      <c r="B96" s="41"/>
      <c r="L96" s="41"/>
    </row>
    <row r="97" spans="2:65" s="1" customFormat="1" ht="15" x14ac:dyDescent="0.3">
      <c r="B97" s="41"/>
      <c r="C97" s="63" t="s">
        <v>28</v>
      </c>
      <c r="F97" s="145" t="str">
        <f>E15</f>
        <v>UNIFICA a.s., Příkop 834/8, 602 00 Brno</v>
      </c>
      <c r="I97" s="146" t="s">
        <v>33</v>
      </c>
      <c r="J97" s="145" t="str">
        <f>E21</f>
        <v>Ing. Arch. Pavel Jura</v>
      </c>
      <c r="L97" s="41"/>
    </row>
    <row r="98" spans="2:65" s="1" customFormat="1" ht="14.45" customHeight="1" x14ac:dyDescent="0.3">
      <c r="B98" s="41"/>
      <c r="C98" s="63" t="s">
        <v>32</v>
      </c>
      <c r="F98" s="145" t="str">
        <f>IF(E18="","",E18)</f>
        <v>LP Staving s.r.o.</v>
      </c>
      <c r="L98" s="41"/>
    </row>
    <row r="99" spans="2:65" s="1" customFormat="1" ht="10.35" customHeight="1" x14ac:dyDescent="0.3">
      <c r="B99" s="41"/>
      <c r="L99" s="41"/>
    </row>
    <row r="100" spans="2:65" s="9" customFormat="1" ht="29.25" customHeight="1" x14ac:dyDescent="0.3">
      <c r="B100" s="147"/>
      <c r="C100" s="148" t="s">
        <v>121</v>
      </c>
      <c r="D100" s="149" t="s">
        <v>56</v>
      </c>
      <c r="E100" s="149" t="s">
        <v>52</v>
      </c>
      <c r="F100" s="149" t="s">
        <v>122</v>
      </c>
      <c r="G100" s="149" t="s">
        <v>123</v>
      </c>
      <c r="H100" s="149" t="s">
        <v>124</v>
      </c>
      <c r="I100" s="150" t="s">
        <v>125</v>
      </c>
      <c r="J100" s="149" t="s">
        <v>92</v>
      </c>
      <c r="K100" s="151" t="s">
        <v>126</v>
      </c>
      <c r="L100" s="147"/>
      <c r="M100" s="73" t="s">
        <v>127</v>
      </c>
      <c r="N100" s="74" t="s">
        <v>41</v>
      </c>
      <c r="O100" s="74" t="s">
        <v>128</v>
      </c>
      <c r="P100" s="74" t="s">
        <v>129</v>
      </c>
      <c r="Q100" s="74" t="s">
        <v>130</v>
      </c>
      <c r="R100" s="74" t="s">
        <v>131</v>
      </c>
      <c r="S100" s="74" t="s">
        <v>132</v>
      </c>
      <c r="T100" s="75" t="s">
        <v>133</v>
      </c>
    </row>
    <row r="101" spans="2:65" s="1" customFormat="1" ht="29.25" customHeight="1" x14ac:dyDescent="0.35">
      <c r="B101" s="41"/>
      <c r="C101" s="77" t="s">
        <v>93</v>
      </c>
      <c r="J101" s="152">
        <f>SUM(J102+J485+J900+J905)</f>
        <v>11088857.438999999</v>
      </c>
      <c r="L101" s="41"/>
      <c r="M101" s="76"/>
      <c r="N101" s="68"/>
      <c r="O101" s="68"/>
      <c r="P101" s="153">
        <f>P102+P485+P900+P905+P909</f>
        <v>0</v>
      </c>
      <c r="Q101" s="68"/>
      <c r="R101" s="153">
        <f>R102+R485+R900+R905+R909</f>
        <v>517.82119171814998</v>
      </c>
      <c r="S101" s="68"/>
      <c r="T101" s="154">
        <f>T102+T485+T900+T905+T909</f>
        <v>0</v>
      </c>
      <c r="AT101" s="24" t="s">
        <v>70</v>
      </c>
      <c r="AU101" s="24" t="s">
        <v>94</v>
      </c>
      <c r="BK101" s="155">
        <f>BK102+BK485+BK900+BK905+BK909</f>
        <v>10275000.48</v>
      </c>
    </row>
    <row r="102" spans="2:65" s="10" customFormat="1" ht="37.35" customHeight="1" x14ac:dyDescent="0.35">
      <c r="B102" s="156"/>
      <c r="D102" s="157" t="s">
        <v>70</v>
      </c>
      <c r="E102" s="158" t="s">
        <v>134</v>
      </c>
      <c r="F102" s="158" t="s">
        <v>135</v>
      </c>
      <c r="I102" s="159"/>
      <c r="J102" s="160">
        <f>SUM(J103+J117+J141+J196+J271+J455+J483)</f>
        <v>3898781.0099999993</v>
      </c>
      <c r="L102" s="434"/>
      <c r="M102" s="161"/>
      <c r="N102" s="162"/>
      <c r="O102" s="162"/>
      <c r="P102" s="163">
        <f>P103+P117+P141+P196+P271+P455+P483</f>
        <v>0</v>
      </c>
      <c r="Q102" s="162"/>
      <c r="R102" s="163">
        <f>R103+R117+R141+R196+R271+R455+R483</f>
        <v>479.78859768014996</v>
      </c>
      <c r="S102" s="162"/>
      <c r="T102" s="164">
        <f>T103+T117+T141+T196+T271+T455+T483</f>
        <v>0</v>
      </c>
      <c r="AR102" s="157" t="s">
        <v>79</v>
      </c>
      <c r="AT102" s="165" t="s">
        <v>70</v>
      </c>
      <c r="AU102" s="165" t="s">
        <v>71</v>
      </c>
      <c r="AY102" s="157" t="s">
        <v>136</v>
      </c>
      <c r="BK102" s="166">
        <f>BK103+BK117+BK141+BK196+BK271+BK455+BK483</f>
        <v>3573492.1500000004</v>
      </c>
    </row>
    <row r="103" spans="2:65" s="10" customFormat="1" ht="19.899999999999999" customHeight="1" x14ac:dyDescent="0.3">
      <c r="B103" s="156"/>
      <c r="D103" s="157" t="s">
        <v>70</v>
      </c>
      <c r="E103" s="167" t="s">
        <v>79</v>
      </c>
      <c r="F103" s="167" t="s">
        <v>137</v>
      </c>
      <c r="I103" s="159"/>
      <c r="J103" s="168">
        <f>SUM(J104:J115)</f>
        <v>125236.54000000001</v>
      </c>
      <c r="L103" s="156"/>
      <c r="M103" s="161"/>
      <c r="N103" s="162"/>
      <c r="O103" s="162"/>
      <c r="P103" s="163">
        <f>SUM(P104:P114)</f>
        <v>0</v>
      </c>
      <c r="Q103" s="162"/>
      <c r="R103" s="163">
        <f>SUM(R104:R114)</f>
        <v>0</v>
      </c>
      <c r="S103" s="162"/>
      <c r="T103" s="164">
        <f>SUM(T104:T114)</f>
        <v>0</v>
      </c>
      <c r="AR103" s="157" t="s">
        <v>79</v>
      </c>
      <c r="AT103" s="165" t="s">
        <v>70</v>
      </c>
      <c r="AU103" s="165" t="s">
        <v>79</v>
      </c>
      <c r="AY103" s="157" t="s">
        <v>136</v>
      </c>
      <c r="BK103" s="166">
        <f>SUM(BK104:BK114)</f>
        <v>118276.16</v>
      </c>
    </row>
    <row r="104" spans="2:65" s="1" customFormat="1" ht="16.5" customHeight="1" x14ac:dyDescent="0.3">
      <c r="B104" s="169"/>
      <c r="C104" s="170" t="s">
        <v>79</v>
      </c>
      <c r="D104" s="170" t="s">
        <v>138</v>
      </c>
      <c r="E104" s="171" t="s">
        <v>139</v>
      </c>
      <c r="F104" s="172" t="s">
        <v>140</v>
      </c>
      <c r="G104" s="173" t="s">
        <v>141</v>
      </c>
      <c r="H104" s="313">
        <f>H106</f>
        <v>91.26</v>
      </c>
      <c r="I104" s="175">
        <v>229.99999999999997</v>
      </c>
      <c r="J104" s="176">
        <f>ROUND(I104*H104,2)</f>
        <v>20989.8</v>
      </c>
      <c r="K104" s="172" t="s">
        <v>142</v>
      </c>
      <c r="L104" s="41"/>
      <c r="M104" s="177" t="s">
        <v>5</v>
      </c>
      <c r="N104" s="178" t="s">
        <v>42</v>
      </c>
      <c r="O104" s="42"/>
      <c r="P104" s="179">
        <f>O104*H104</f>
        <v>0</v>
      </c>
      <c r="Q104" s="179">
        <v>0</v>
      </c>
      <c r="R104" s="179">
        <f>Q104*H104</f>
        <v>0</v>
      </c>
      <c r="S104" s="179">
        <v>0</v>
      </c>
      <c r="T104" s="180">
        <f>S104*H104</f>
        <v>0</v>
      </c>
      <c r="AR104" s="24" t="s">
        <v>143</v>
      </c>
      <c r="AT104" s="24" t="s">
        <v>138</v>
      </c>
      <c r="AU104" s="24" t="s">
        <v>81</v>
      </c>
      <c r="AY104" s="24" t="s">
        <v>136</v>
      </c>
      <c r="BE104" s="181">
        <f>IF(N104="základní",J104,0)</f>
        <v>20989.8</v>
      </c>
      <c r="BF104" s="181">
        <f>IF(N104="snížená",J104,0)</f>
        <v>0</v>
      </c>
      <c r="BG104" s="181">
        <f>IF(N104="zákl. přenesená",J104,0)</f>
        <v>0</v>
      </c>
      <c r="BH104" s="181">
        <f>IF(N104="sníž. přenesená",J104,0)</f>
        <v>0</v>
      </c>
      <c r="BI104" s="181">
        <f>IF(N104="nulová",J104,0)</f>
        <v>0</v>
      </c>
      <c r="BJ104" s="24" t="s">
        <v>79</v>
      </c>
      <c r="BK104" s="181">
        <f>ROUND(I104*H104,2)</f>
        <v>20989.8</v>
      </c>
      <c r="BL104" s="24" t="s">
        <v>143</v>
      </c>
      <c r="BM104" s="24" t="s">
        <v>144</v>
      </c>
    </row>
    <row r="105" spans="2:65" s="11" customFormat="1" x14ac:dyDescent="0.3">
      <c r="B105" s="182"/>
      <c r="D105" s="183" t="s">
        <v>145</v>
      </c>
      <c r="E105" s="184" t="s">
        <v>5</v>
      </c>
      <c r="F105" s="185" t="s">
        <v>146</v>
      </c>
      <c r="H105" s="314" t="s">
        <v>5</v>
      </c>
      <c r="I105" s="186">
        <v>0</v>
      </c>
      <c r="L105" s="41"/>
      <c r="M105" s="187"/>
      <c r="N105" s="188"/>
      <c r="O105" s="188"/>
      <c r="P105" s="188"/>
      <c r="Q105" s="188"/>
      <c r="R105" s="188"/>
      <c r="S105" s="188"/>
      <c r="T105" s="189"/>
      <c r="AT105" s="184" t="s">
        <v>145</v>
      </c>
      <c r="AU105" s="184" t="s">
        <v>81</v>
      </c>
      <c r="AV105" s="11" t="s">
        <v>79</v>
      </c>
      <c r="AW105" s="11" t="s">
        <v>35</v>
      </c>
      <c r="AX105" s="11" t="s">
        <v>71</v>
      </c>
      <c r="AY105" s="184" t="s">
        <v>136</v>
      </c>
    </row>
    <row r="106" spans="2:65" s="12" customFormat="1" x14ac:dyDescent="0.3">
      <c r="B106" s="190"/>
      <c r="D106" s="183" t="s">
        <v>145</v>
      </c>
      <c r="E106" s="191" t="s">
        <v>5</v>
      </c>
      <c r="F106" s="312" t="s">
        <v>1195</v>
      </c>
      <c r="G106" s="317"/>
      <c r="H106" s="315">
        <v>91.26</v>
      </c>
      <c r="I106" s="194">
        <v>0</v>
      </c>
      <c r="L106" s="41"/>
      <c r="M106" s="195"/>
      <c r="N106" s="196"/>
      <c r="O106" s="196"/>
      <c r="P106" s="196"/>
      <c r="Q106" s="196"/>
      <c r="R106" s="196"/>
      <c r="S106" s="196"/>
      <c r="T106" s="197"/>
      <c r="AT106" s="191" t="s">
        <v>145</v>
      </c>
      <c r="AU106" s="191" t="s">
        <v>81</v>
      </c>
      <c r="AV106" s="12" t="s">
        <v>81</v>
      </c>
      <c r="AW106" s="12" t="s">
        <v>35</v>
      </c>
      <c r="AX106" s="12" t="s">
        <v>79</v>
      </c>
      <c r="AY106" s="191" t="s">
        <v>136</v>
      </c>
    </row>
    <row r="107" spans="2:65" s="1" customFormat="1" ht="16.5" customHeight="1" x14ac:dyDescent="0.3">
      <c r="B107" s="169"/>
      <c r="C107" s="170" t="s">
        <v>81</v>
      </c>
      <c r="D107" s="170" t="s">
        <v>138</v>
      </c>
      <c r="E107" s="171" t="s">
        <v>147</v>
      </c>
      <c r="F107" s="172" t="s">
        <v>148</v>
      </c>
      <c r="G107" s="173" t="s">
        <v>141</v>
      </c>
      <c r="H107" s="320">
        <f>H104</f>
        <v>91.26</v>
      </c>
      <c r="I107" s="175">
        <v>17.25</v>
      </c>
      <c r="J107" s="176">
        <f>ROUND(I107*H107,2)</f>
        <v>1574.24</v>
      </c>
      <c r="K107" s="172" t="s">
        <v>142</v>
      </c>
      <c r="L107" s="41"/>
      <c r="M107" s="177" t="s">
        <v>5</v>
      </c>
      <c r="N107" s="178" t="s">
        <v>42</v>
      </c>
      <c r="O107" s="42"/>
      <c r="P107" s="179">
        <f>O107*H107</f>
        <v>0</v>
      </c>
      <c r="Q107" s="179">
        <v>0</v>
      </c>
      <c r="R107" s="179">
        <f>Q107*H107</f>
        <v>0</v>
      </c>
      <c r="S107" s="179">
        <v>0</v>
      </c>
      <c r="T107" s="180">
        <f>S107*H107</f>
        <v>0</v>
      </c>
      <c r="AR107" s="24" t="s">
        <v>143</v>
      </c>
      <c r="AT107" s="24" t="s">
        <v>138</v>
      </c>
      <c r="AU107" s="24" t="s">
        <v>81</v>
      </c>
      <c r="AY107" s="24" t="s">
        <v>136</v>
      </c>
      <c r="BE107" s="181">
        <f>IF(N107="základní",J107,0)</f>
        <v>1574.24</v>
      </c>
      <c r="BF107" s="181">
        <f>IF(N107="snížená",J107,0)</f>
        <v>0</v>
      </c>
      <c r="BG107" s="181">
        <f>IF(N107="zákl. přenesená",J107,0)</f>
        <v>0</v>
      </c>
      <c r="BH107" s="181">
        <f>IF(N107="sníž. přenesená",J107,0)</f>
        <v>0</v>
      </c>
      <c r="BI107" s="181">
        <f>IF(N107="nulová",J107,0)</f>
        <v>0</v>
      </c>
      <c r="BJ107" s="24" t="s">
        <v>79</v>
      </c>
      <c r="BK107" s="181">
        <f>ROUND(I107*H107,2)</f>
        <v>1574.24</v>
      </c>
      <c r="BL107" s="24" t="s">
        <v>143</v>
      </c>
      <c r="BM107" s="24" t="s">
        <v>149</v>
      </c>
    </row>
    <row r="108" spans="2:65" s="1" customFormat="1" ht="16.5" customHeight="1" x14ac:dyDescent="0.3">
      <c r="B108" s="169"/>
      <c r="C108" s="170" t="s">
        <v>150</v>
      </c>
      <c r="D108" s="170" t="s">
        <v>138</v>
      </c>
      <c r="E108" s="171" t="s">
        <v>151</v>
      </c>
      <c r="F108" s="172" t="s">
        <v>152</v>
      </c>
      <c r="G108" s="173" t="s">
        <v>141</v>
      </c>
      <c r="H108" s="313">
        <f>H109</f>
        <v>24.230499999999996</v>
      </c>
      <c r="I108" s="175">
        <v>287.5</v>
      </c>
      <c r="J108" s="176">
        <f>ROUND(I108*H108,2)</f>
        <v>6966.27</v>
      </c>
      <c r="K108" s="172" t="s">
        <v>142</v>
      </c>
      <c r="L108" s="41"/>
      <c r="M108" s="177" t="s">
        <v>5</v>
      </c>
      <c r="N108" s="178" t="s">
        <v>42</v>
      </c>
      <c r="O108" s="42"/>
      <c r="P108" s="179">
        <f>O108*H108</f>
        <v>0</v>
      </c>
      <c r="Q108" s="179">
        <v>0</v>
      </c>
      <c r="R108" s="179">
        <f>Q108*H108</f>
        <v>0</v>
      </c>
      <c r="S108" s="179">
        <v>0</v>
      </c>
      <c r="T108" s="180">
        <f>S108*H108</f>
        <v>0</v>
      </c>
      <c r="AR108" s="24" t="s">
        <v>143</v>
      </c>
      <c r="AT108" s="24" t="s">
        <v>138</v>
      </c>
      <c r="AU108" s="24" t="s">
        <v>81</v>
      </c>
      <c r="AY108" s="24" t="s">
        <v>136</v>
      </c>
      <c r="BE108" s="181">
        <f>IF(N108="základní",J108,0)</f>
        <v>6966.27</v>
      </c>
      <c r="BF108" s="181">
        <f>IF(N108="snížená",J108,0)</f>
        <v>0</v>
      </c>
      <c r="BG108" s="181">
        <f>IF(N108="zákl. přenesená",J108,0)</f>
        <v>0</v>
      </c>
      <c r="BH108" s="181">
        <f>IF(N108="sníž. přenesená",J108,0)</f>
        <v>0</v>
      </c>
      <c r="BI108" s="181">
        <f>IF(N108="nulová",J108,0)</f>
        <v>0</v>
      </c>
      <c r="BJ108" s="24" t="s">
        <v>79</v>
      </c>
      <c r="BK108" s="181">
        <f>ROUND(I108*H108,2)</f>
        <v>6966.27</v>
      </c>
      <c r="BL108" s="24" t="s">
        <v>143</v>
      </c>
      <c r="BM108" s="24" t="s">
        <v>153</v>
      </c>
    </row>
    <row r="109" spans="2:65" s="12" customFormat="1" ht="27" x14ac:dyDescent="0.3">
      <c r="B109" s="190"/>
      <c r="D109" s="183" t="s">
        <v>145</v>
      </c>
      <c r="E109" s="191" t="s">
        <v>5</v>
      </c>
      <c r="F109" s="312" t="s">
        <v>1197</v>
      </c>
      <c r="H109" s="315">
        <f>((15.175*0.6*2)+(8.8*0.6*4))*0.5+(1.6*0.2*2+2*0.3*4+1.9*0.2*2+2.4*0.2*2+1.6*0.3+1*0.3+1.2*0.3+0.3*0.3+0.9*0.3+1.5*0.3*2+1.25*0.3)*0.5+1.4*0.6*0.95</f>
        <v>24.230499999999996</v>
      </c>
      <c r="I109" s="194">
        <v>0</v>
      </c>
      <c r="L109" s="41"/>
      <c r="M109" s="195"/>
      <c r="N109" s="196"/>
      <c r="O109" s="196"/>
      <c r="P109" s="196"/>
      <c r="Q109" s="196"/>
      <c r="R109" s="196"/>
      <c r="S109" s="196"/>
      <c r="T109" s="197"/>
      <c r="AT109" s="191" t="s">
        <v>145</v>
      </c>
      <c r="AU109" s="191" t="s">
        <v>81</v>
      </c>
      <c r="AV109" s="12" t="s">
        <v>81</v>
      </c>
      <c r="AW109" s="12" t="s">
        <v>35</v>
      </c>
      <c r="AX109" s="12" t="s">
        <v>79</v>
      </c>
      <c r="AY109" s="191" t="s">
        <v>136</v>
      </c>
    </row>
    <row r="110" spans="2:65" s="1" customFormat="1" ht="16.5" customHeight="1" x14ac:dyDescent="0.3">
      <c r="B110" s="169"/>
      <c r="C110" s="170" t="s">
        <v>143</v>
      </c>
      <c r="D110" s="170" t="s">
        <v>138</v>
      </c>
      <c r="E110" s="171" t="s">
        <v>154</v>
      </c>
      <c r="F110" s="172" t="s">
        <v>155</v>
      </c>
      <c r="G110" s="173" t="s">
        <v>141</v>
      </c>
      <c r="H110" s="320">
        <f>H108</f>
        <v>24.230499999999996</v>
      </c>
      <c r="I110" s="175">
        <v>23</v>
      </c>
      <c r="J110" s="176">
        <f>ROUND(I110*H110,2)</f>
        <v>557.29999999999995</v>
      </c>
      <c r="K110" s="172" t="s">
        <v>142</v>
      </c>
      <c r="L110" s="41"/>
      <c r="M110" s="177" t="s">
        <v>5</v>
      </c>
      <c r="N110" s="178" t="s">
        <v>42</v>
      </c>
      <c r="O110" s="42"/>
      <c r="P110" s="179">
        <f>O110*H110</f>
        <v>0</v>
      </c>
      <c r="Q110" s="179">
        <v>0</v>
      </c>
      <c r="R110" s="179">
        <f>Q110*H110</f>
        <v>0</v>
      </c>
      <c r="S110" s="179">
        <v>0</v>
      </c>
      <c r="T110" s="180">
        <f>S110*H110</f>
        <v>0</v>
      </c>
      <c r="AR110" s="24" t="s">
        <v>143</v>
      </c>
      <c r="AT110" s="24" t="s">
        <v>138</v>
      </c>
      <c r="AU110" s="24" t="s">
        <v>81</v>
      </c>
      <c r="AY110" s="24" t="s">
        <v>136</v>
      </c>
      <c r="BE110" s="181">
        <f>IF(N110="základní",J110,0)</f>
        <v>557.29999999999995</v>
      </c>
      <c r="BF110" s="181">
        <f>IF(N110="snížená",J110,0)</f>
        <v>0</v>
      </c>
      <c r="BG110" s="181">
        <f>IF(N110="zákl. přenesená",J110,0)</f>
        <v>0</v>
      </c>
      <c r="BH110" s="181">
        <f>IF(N110="sníž. přenesená",J110,0)</f>
        <v>0</v>
      </c>
      <c r="BI110" s="181">
        <f>IF(N110="nulová",J110,0)</f>
        <v>0</v>
      </c>
      <c r="BJ110" s="24" t="s">
        <v>79</v>
      </c>
      <c r="BK110" s="181">
        <f>ROUND(I110*H110,2)</f>
        <v>557.29999999999995</v>
      </c>
      <c r="BL110" s="24" t="s">
        <v>143</v>
      </c>
      <c r="BM110" s="24" t="s">
        <v>156</v>
      </c>
    </row>
    <row r="111" spans="2:65" s="1" customFormat="1" ht="16.5" customHeight="1" x14ac:dyDescent="0.3">
      <c r="B111" s="169"/>
      <c r="C111" s="170" t="s">
        <v>157</v>
      </c>
      <c r="D111" s="170" t="s">
        <v>138</v>
      </c>
      <c r="E111" s="171" t="s">
        <v>158</v>
      </c>
      <c r="F111" s="172" t="s">
        <v>159</v>
      </c>
      <c r="G111" s="173" t="s">
        <v>141</v>
      </c>
      <c r="H111" s="320">
        <f>H112</f>
        <v>115.4905</v>
      </c>
      <c r="I111" s="175">
        <v>287.5</v>
      </c>
      <c r="J111" s="176">
        <f>ROUND(I111*H111,2)</f>
        <v>33203.519999999997</v>
      </c>
      <c r="K111" s="172" t="s">
        <v>142</v>
      </c>
      <c r="L111" s="41"/>
      <c r="M111" s="177" t="s">
        <v>5</v>
      </c>
      <c r="N111" s="178" t="s">
        <v>42</v>
      </c>
      <c r="O111" s="42"/>
      <c r="P111" s="179">
        <f>O111*H111</f>
        <v>0</v>
      </c>
      <c r="Q111" s="179">
        <v>0</v>
      </c>
      <c r="R111" s="179">
        <f>Q111*H111</f>
        <v>0</v>
      </c>
      <c r="S111" s="179">
        <v>0</v>
      </c>
      <c r="T111" s="180">
        <f>S111*H111</f>
        <v>0</v>
      </c>
      <c r="AR111" s="24" t="s">
        <v>143</v>
      </c>
      <c r="AT111" s="24" t="s">
        <v>138</v>
      </c>
      <c r="AU111" s="24" t="s">
        <v>81</v>
      </c>
      <c r="AY111" s="24" t="s">
        <v>136</v>
      </c>
      <c r="BE111" s="181">
        <f>IF(N111="základní",J111,0)</f>
        <v>33203.519999999997</v>
      </c>
      <c r="BF111" s="181">
        <f>IF(N111="snížená",J111,0)</f>
        <v>0</v>
      </c>
      <c r="BG111" s="181">
        <f>IF(N111="zákl. přenesená",J111,0)</f>
        <v>0</v>
      </c>
      <c r="BH111" s="181">
        <f>IF(N111="sníž. přenesená",J111,0)</f>
        <v>0</v>
      </c>
      <c r="BI111" s="181">
        <f>IF(N111="nulová",J111,0)</f>
        <v>0</v>
      </c>
      <c r="BJ111" s="24" t="s">
        <v>79</v>
      </c>
      <c r="BK111" s="181">
        <f>ROUND(I111*H111,2)</f>
        <v>33203.519999999997</v>
      </c>
      <c r="BL111" s="24" t="s">
        <v>143</v>
      </c>
      <c r="BM111" s="24" t="s">
        <v>160</v>
      </c>
    </row>
    <row r="112" spans="2:65" s="12" customFormat="1" x14ac:dyDescent="0.3">
      <c r="B112" s="190"/>
      <c r="D112" s="183" t="s">
        <v>145</v>
      </c>
      <c r="E112" s="191" t="s">
        <v>5</v>
      </c>
      <c r="F112" s="312" t="s">
        <v>1198</v>
      </c>
      <c r="H112" s="315">
        <f>H104+H108</f>
        <v>115.4905</v>
      </c>
      <c r="I112" s="194">
        <v>0</v>
      </c>
      <c r="L112" s="41"/>
      <c r="M112" s="195"/>
      <c r="N112" s="196"/>
      <c r="O112" s="196"/>
      <c r="P112" s="196"/>
      <c r="Q112" s="196"/>
      <c r="R112" s="196"/>
      <c r="S112" s="196"/>
      <c r="T112" s="197"/>
      <c r="AT112" s="191" t="s">
        <v>145</v>
      </c>
      <c r="AU112" s="191" t="s">
        <v>81</v>
      </c>
      <c r="AV112" s="12" t="s">
        <v>81</v>
      </c>
      <c r="AW112" s="12" t="s">
        <v>35</v>
      </c>
      <c r="AX112" s="12" t="s">
        <v>79</v>
      </c>
      <c r="AY112" s="191" t="s">
        <v>136</v>
      </c>
    </row>
    <row r="113" spans="2:65" s="1" customFormat="1" ht="16.5" customHeight="1" x14ac:dyDescent="0.3">
      <c r="B113" s="169"/>
      <c r="C113" s="170" t="s">
        <v>161</v>
      </c>
      <c r="D113" s="170" t="s">
        <v>138</v>
      </c>
      <c r="E113" s="171" t="s">
        <v>162</v>
      </c>
      <c r="F113" s="172" t="s">
        <v>163</v>
      </c>
      <c r="G113" s="173" t="s">
        <v>164</v>
      </c>
      <c r="H113" s="313">
        <f>H114</f>
        <v>207.88290000000001</v>
      </c>
      <c r="I113" s="175">
        <v>264.5</v>
      </c>
      <c r="J113" s="176">
        <f>ROUND(I113*H113,2)</f>
        <v>54985.03</v>
      </c>
      <c r="K113" s="172" t="s">
        <v>142</v>
      </c>
      <c r="L113" s="41"/>
      <c r="M113" s="177" t="s">
        <v>5</v>
      </c>
      <c r="N113" s="178" t="s">
        <v>42</v>
      </c>
      <c r="O113" s="42"/>
      <c r="P113" s="179">
        <f>O113*H113</f>
        <v>0</v>
      </c>
      <c r="Q113" s="179">
        <v>0</v>
      </c>
      <c r="R113" s="179">
        <f>Q113*H113</f>
        <v>0</v>
      </c>
      <c r="S113" s="179">
        <v>0</v>
      </c>
      <c r="T113" s="180">
        <f>S113*H113</f>
        <v>0</v>
      </c>
      <c r="AR113" s="24" t="s">
        <v>143</v>
      </c>
      <c r="AT113" s="24" t="s">
        <v>138</v>
      </c>
      <c r="AU113" s="24" t="s">
        <v>81</v>
      </c>
      <c r="AY113" s="24" t="s">
        <v>136</v>
      </c>
      <c r="BE113" s="181">
        <f>IF(N113="základní",J113,0)</f>
        <v>54985.03</v>
      </c>
      <c r="BF113" s="181">
        <f>IF(N113="snížená",J113,0)</f>
        <v>0</v>
      </c>
      <c r="BG113" s="181">
        <f>IF(N113="zákl. přenesená",J113,0)</f>
        <v>0</v>
      </c>
      <c r="BH113" s="181">
        <f>IF(N113="sníž. přenesená",J113,0)</f>
        <v>0</v>
      </c>
      <c r="BI113" s="181">
        <f>IF(N113="nulová",J113,0)</f>
        <v>0</v>
      </c>
      <c r="BJ113" s="24" t="s">
        <v>79</v>
      </c>
      <c r="BK113" s="181">
        <f>ROUND(I113*H113,2)</f>
        <v>54985.03</v>
      </c>
      <c r="BL113" s="24" t="s">
        <v>143</v>
      </c>
      <c r="BM113" s="24" t="s">
        <v>165</v>
      </c>
    </row>
    <row r="114" spans="2:65" s="12" customFormat="1" x14ac:dyDescent="0.3">
      <c r="B114" s="190"/>
      <c r="D114" s="183" t="s">
        <v>145</v>
      </c>
      <c r="E114" s="191" t="s">
        <v>5</v>
      </c>
      <c r="F114" s="312" t="s">
        <v>1196</v>
      </c>
      <c r="H114" s="315">
        <f>H111*1.8</f>
        <v>207.88290000000001</v>
      </c>
      <c r="I114" s="194">
        <v>0</v>
      </c>
      <c r="J114" s="176">
        <f t="shared" ref="J114:J115" si="0">ROUND(I114*H114,2)</f>
        <v>0</v>
      </c>
      <c r="L114" s="41"/>
      <c r="M114" s="195"/>
      <c r="N114" s="196"/>
      <c r="O114" s="196"/>
      <c r="P114" s="196"/>
      <c r="Q114" s="196"/>
      <c r="R114" s="196"/>
      <c r="S114" s="196"/>
      <c r="T114" s="197"/>
      <c r="AT114" s="191" t="s">
        <v>145</v>
      </c>
      <c r="AU114" s="191" t="s">
        <v>81</v>
      </c>
      <c r="AV114" s="12" t="s">
        <v>81</v>
      </c>
      <c r="AW114" s="12" t="s">
        <v>35</v>
      </c>
      <c r="AX114" s="12" t="s">
        <v>79</v>
      </c>
      <c r="AY114" s="191" t="s">
        <v>136</v>
      </c>
    </row>
    <row r="115" spans="2:65" s="310" customFormat="1" ht="16.5" customHeight="1" x14ac:dyDescent="0.3">
      <c r="B115" s="169"/>
      <c r="C115" s="393"/>
      <c r="D115" s="170"/>
      <c r="E115" s="171"/>
      <c r="F115" s="172" t="s">
        <v>1556</v>
      </c>
      <c r="G115" s="173" t="s">
        <v>141</v>
      </c>
      <c r="H115" s="313">
        <f>H116</f>
        <v>24.21</v>
      </c>
      <c r="I115" s="175">
        <v>287.5</v>
      </c>
      <c r="J115" s="176">
        <f t="shared" si="0"/>
        <v>6960.38</v>
      </c>
      <c r="K115" s="172"/>
      <c r="L115" s="41"/>
      <c r="M115" s="177"/>
      <c r="N115" s="178"/>
      <c r="O115" s="311"/>
      <c r="P115" s="179"/>
      <c r="Q115" s="179"/>
      <c r="R115" s="179"/>
      <c r="S115" s="179"/>
      <c r="T115" s="180"/>
      <c r="AR115" s="24"/>
      <c r="AT115" s="24"/>
      <c r="AU115" s="24"/>
      <c r="AY115" s="24"/>
      <c r="BE115" s="181"/>
      <c r="BF115" s="181"/>
      <c r="BG115" s="181"/>
      <c r="BH115" s="181"/>
      <c r="BI115" s="181"/>
      <c r="BJ115" s="24"/>
      <c r="BK115" s="181"/>
      <c r="BL115" s="24"/>
      <c r="BM115" s="24"/>
    </row>
    <row r="116" spans="2:65" s="12" customFormat="1" x14ac:dyDescent="0.3">
      <c r="B116" s="190"/>
      <c r="D116" s="183"/>
      <c r="E116" s="191"/>
      <c r="F116" s="312" t="s">
        <v>1503</v>
      </c>
      <c r="H116" s="315">
        <f>(16.9*2+10*2)*0.45</f>
        <v>24.21</v>
      </c>
      <c r="I116" s="194">
        <v>0</v>
      </c>
      <c r="L116" s="41"/>
      <c r="M116" s="195"/>
      <c r="N116" s="196"/>
      <c r="O116" s="196"/>
      <c r="P116" s="196"/>
      <c r="Q116" s="196"/>
      <c r="R116" s="196"/>
      <c r="S116" s="196"/>
      <c r="T116" s="197"/>
      <c r="AT116" s="191"/>
      <c r="AU116" s="191"/>
      <c r="AY116" s="191"/>
    </row>
    <row r="117" spans="2:65" s="10" customFormat="1" ht="29.85" customHeight="1" x14ac:dyDescent="0.3">
      <c r="B117" s="156"/>
      <c r="D117" s="157" t="s">
        <v>70</v>
      </c>
      <c r="E117" s="167" t="s">
        <v>81</v>
      </c>
      <c r="F117" s="167" t="s">
        <v>166</v>
      </c>
      <c r="I117" s="159">
        <v>0</v>
      </c>
      <c r="J117" s="168">
        <f>SUM(J118:J139)</f>
        <v>266368.90000000002</v>
      </c>
      <c r="L117" s="41"/>
      <c r="M117" s="161"/>
      <c r="N117" s="162"/>
      <c r="O117" s="162"/>
      <c r="P117" s="163">
        <f>SUM(P118:P138)</f>
        <v>0</v>
      </c>
      <c r="Q117" s="162"/>
      <c r="R117" s="163">
        <f>SUM(R118:R138)</f>
        <v>179.39355436139999</v>
      </c>
      <c r="S117" s="162"/>
      <c r="T117" s="164">
        <f>SUM(T118:T138)</f>
        <v>0</v>
      </c>
      <c r="AR117" s="157" t="s">
        <v>79</v>
      </c>
      <c r="AT117" s="165" t="s">
        <v>70</v>
      </c>
      <c r="AU117" s="165" t="s">
        <v>79</v>
      </c>
      <c r="AY117" s="157" t="s">
        <v>136</v>
      </c>
      <c r="BK117" s="166">
        <f>SUM(BK118:BK138)</f>
        <v>263493.90000000002</v>
      </c>
    </row>
    <row r="118" spans="2:65" s="1" customFormat="1" ht="25.5" customHeight="1" x14ac:dyDescent="0.3">
      <c r="B118" s="169"/>
      <c r="C118" s="170" t="s">
        <v>167</v>
      </c>
      <c r="D118" s="170" t="s">
        <v>138</v>
      </c>
      <c r="E118" s="171" t="s">
        <v>168</v>
      </c>
      <c r="F118" s="172" t="s">
        <v>169</v>
      </c>
      <c r="G118" s="173" t="s">
        <v>141</v>
      </c>
      <c r="H118" s="313">
        <f>H119</f>
        <v>28.6875</v>
      </c>
      <c r="I118" s="401">
        <v>1322.5</v>
      </c>
      <c r="J118" s="176">
        <f>ROUND(I118*H118,2)</f>
        <v>37939.22</v>
      </c>
      <c r="K118" s="172" t="s">
        <v>142</v>
      </c>
      <c r="L118" s="41"/>
      <c r="M118" s="177" t="s">
        <v>5</v>
      </c>
      <c r="N118" s="178" t="s">
        <v>42</v>
      </c>
      <c r="O118" s="42"/>
      <c r="P118" s="179">
        <f>O118*H118</f>
        <v>0</v>
      </c>
      <c r="Q118" s="179">
        <v>2.16</v>
      </c>
      <c r="R118" s="179">
        <f>Q118*H118</f>
        <v>61.965000000000003</v>
      </c>
      <c r="S118" s="179">
        <v>0</v>
      </c>
      <c r="T118" s="180">
        <f>S118*H118</f>
        <v>0</v>
      </c>
      <c r="AR118" s="24" t="s">
        <v>143</v>
      </c>
      <c r="AT118" s="24" t="s">
        <v>138</v>
      </c>
      <c r="AU118" s="24" t="s">
        <v>81</v>
      </c>
      <c r="AY118" s="24" t="s">
        <v>136</v>
      </c>
      <c r="BE118" s="181">
        <f>IF(N118="základní",J118,0)</f>
        <v>37939.22</v>
      </c>
      <c r="BF118" s="181">
        <f>IF(N118="snížená",J118,0)</f>
        <v>0</v>
      </c>
      <c r="BG118" s="181">
        <f>IF(N118="zákl. přenesená",J118,0)</f>
        <v>0</v>
      </c>
      <c r="BH118" s="181">
        <f>IF(N118="sníž. přenesená",J118,0)</f>
        <v>0</v>
      </c>
      <c r="BI118" s="181">
        <f>IF(N118="nulová",J118,0)</f>
        <v>0</v>
      </c>
      <c r="BJ118" s="24" t="s">
        <v>79</v>
      </c>
      <c r="BK118" s="181">
        <f>ROUND(I118*H118,2)</f>
        <v>37939.22</v>
      </c>
      <c r="BL118" s="24" t="s">
        <v>143</v>
      </c>
      <c r="BM118" s="24" t="s">
        <v>170</v>
      </c>
    </row>
    <row r="119" spans="2:65" s="12" customFormat="1" x14ac:dyDescent="0.3">
      <c r="B119" s="190"/>
      <c r="D119" s="183" t="s">
        <v>145</v>
      </c>
      <c r="E119" s="191" t="s">
        <v>5</v>
      </c>
      <c r="F119" s="312" t="s">
        <v>1199</v>
      </c>
      <c r="H119" s="315">
        <f>(4.425*9+4.45*9+3.875*9)*0.25</f>
        <v>28.6875</v>
      </c>
      <c r="I119" s="194">
        <v>0</v>
      </c>
      <c r="L119" s="41"/>
      <c r="M119" s="195"/>
      <c r="N119" s="196"/>
      <c r="O119" s="196"/>
      <c r="P119" s="196"/>
      <c r="Q119" s="196"/>
      <c r="R119" s="196"/>
      <c r="S119" s="196"/>
      <c r="T119" s="197"/>
      <c r="AT119" s="191" t="s">
        <v>145</v>
      </c>
      <c r="AU119" s="191" t="s">
        <v>81</v>
      </c>
      <c r="AV119" s="12" t="s">
        <v>81</v>
      </c>
      <c r="AW119" s="12" t="s">
        <v>35</v>
      </c>
      <c r="AX119" s="12" t="s">
        <v>79</v>
      </c>
      <c r="AY119" s="191" t="s">
        <v>136</v>
      </c>
    </row>
    <row r="120" spans="2:65" s="1" customFormat="1" ht="16.5" customHeight="1" x14ac:dyDescent="0.3">
      <c r="B120" s="169"/>
      <c r="C120" s="170" t="s">
        <v>171</v>
      </c>
      <c r="D120" s="170" t="s">
        <v>138</v>
      </c>
      <c r="E120" s="171" t="s">
        <v>172</v>
      </c>
      <c r="F120" s="172" t="s">
        <v>173</v>
      </c>
      <c r="G120" s="173" t="s">
        <v>141</v>
      </c>
      <c r="H120" s="320">
        <f>H122</f>
        <v>16.703999999999997</v>
      </c>
      <c r="I120" s="175">
        <v>3214.2499999999995</v>
      </c>
      <c r="J120" s="176">
        <f>ROUND(I120*H120,2)</f>
        <v>53690.83</v>
      </c>
      <c r="K120" s="172" t="s">
        <v>142</v>
      </c>
      <c r="L120" s="41"/>
      <c r="M120" s="177" t="s">
        <v>5</v>
      </c>
      <c r="N120" s="178" t="s">
        <v>42</v>
      </c>
      <c r="O120" s="42"/>
      <c r="P120" s="179">
        <f>O120*H120</f>
        <v>0</v>
      </c>
      <c r="Q120" s="179">
        <v>2.45329</v>
      </c>
      <c r="R120" s="179">
        <f>Q120*H120</f>
        <v>40.979756159999994</v>
      </c>
      <c r="S120" s="179">
        <v>0</v>
      </c>
      <c r="T120" s="180">
        <f>S120*H120</f>
        <v>0</v>
      </c>
      <c r="AR120" s="24" t="s">
        <v>143</v>
      </c>
      <c r="AT120" s="24" t="s">
        <v>138</v>
      </c>
      <c r="AU120" s="24" t="s">
        <v>81</v>
      </c>
      <c r="AY120" s="24" t="s">
        <v>136</v>
      </c>
      <c r="BE120" s="181">
        <f>IF(N120="základní",J120,0)</f>
        <v>53690.83</v>
      </c>
      <c r="BF120" s="181">
        <f>IF(N120="snížená",J120,0)</f>
        <v>0</v>
      </c>
      <c r="BG120" s="181">
        <f>IF(N120="zákl. přenesená",J120,0)</f>
        <v>0</v>
      </c>
      <c r="BH120" s="181">
        <f>IF(N120="sníž. přenesená",J120,0)</f>
        <v>0</v>
      </c>
      <c r="BI120" s="181">
        <f>IF(N120="nulová",J120,0)</f>
        <v>0</v>
      </c>
      <c r="BJ120" s="24" t="s">
        <v>79</v>
      </c>
      <c r="BK120" s="181">
        <f>ROUND(I120*H120,2)</f>
        <v>53690.83</v>
      </c>
      <c r="BL120" s="24" t="s">
        <v>143</v>
      </c>
      <c r="BM120" s="24" t="s">
        <v>174</v>
      </c>
    </row>
    <row r="121" spans="2:65" s="11" customFormat="1" x14ac:dyDescent="0.3">
      <c r="B121" s="182"/>
      <c r="D121" s="183" t="s">
        <v>145</v>
      </c>
      <c r="E121" s="184" t="s">
        <v>5</v>
      </c>
      <c r="F121" s="185" t="s">
        <v>175</v>
      </c>
      <c r="H121" s="184" t="s">
        <v>5</v>
      </c>
      <c r="I121" s="186">
        <v>0</v>
      </c>
      <c r="L121" s="41"/>
      <c r="M121" s="187"/>
      <c r="N121" s="188"/>
      <c r="O121" s="188"/>
      <c r="P121" s="188"/>
      <c r="Q121" s="188"/>
      <c r="R121" s="188"/>
      <c r="S121" s="188"/>
      <c r="T121" s="189"/>
      <c r="AT121" s="184" t="s">
        <v>145</v>
      </c>
      <c r="AU121" s="184" t="s">
        <v>81</v>
      </c>
      <c r="AV121" s="11" t="s">
        <v>79</v>
      </c>
      <c r="AW121" s="11" t="s">
        <v>35</v>
      </c>
      <c r="AX121" s="11" t="s">
        <v>71</v>
      </c>
      <c r="AY121" s="184" t="s">
        <v>136</v>
      </c>
    </row>
    <row r="122" spans="2:65" s="12" customFormat="1" x14ac:dyDescent="0.3">
      <c r="B122" s="190"/>
      <c r="D122" s="183" t="s">
        <v>145</v>
      </c>
      <c r="E122" s="191" t="s">
        <v>5</v>
      </c>
      <c r="F122" s="312" t="s">
        <v>1200</v>
      </c>
      <c r="H122" s="315">
        <f>14.5*9.6*0.12</f>
        <v>16.703999999999997</v>
      </c>
      <c r="I122" s="194">
        <v>0</v>
      </c>
      <c r="L122" s="41"/>
      <c r="M122" s="195"/>
      <c r="N122" s="196"/>
      <c r="O122" s="196"/>
      <c r="P122" s="196"/>
      <c r="Q122" s="196"/>
      <c r="R122" s="196"/>
      <c r="S122" s="196"/>
      <c r="T122" s="197"/>
      <c r="AT122" s="191" t="s">
        <v>145</v>
      </c>
      <c r="AU122" s="191" t="s">
        <v>81</v>
      </c>
      <c r="AV122" s="12" t="s">
        <v>81</v>
      </c>
      <c r="AW122" s="12" t="s">
        <v>35</v>
      </c>
      <c r="AX122" s="12" t="s">
        <v>79</v>
      </c>
      <c r="AY122" s="191" t="s">
        <v>136</v>
      </c>
    </row>
    <row r="123" spans="2:65" s="1" customFormat="1" ht="16.5" customHeight="1" x14ac:dyDescent="0.3">
      <c r="B123" s="169"/>
      <c r="C123" s="170" t="s">
        <v>176</v>
      </c>
      <c r="D123" s="170" t="s">
        <v>138</v>
      </c>
      <c r="E123" s="171" t="s">
        <v>177</v>
      </c>
      <c r="F123" s="172" t="s">
        <v>178</v>
      </c>
      <c r="G123" s="173" t="s">
        <v>179</v>
      </c>
      <c r="H123" s="319">
        <v>4.82</v>
      </c>
      <c r="I123" s="175">
        <v>2070</v>
      </c>
      <c r="J123" s="176">
        <f>ROUND(I123*H123,2)</f>
        <v>9977.4</v>
      </c>
      <c r="K123" s="172" t="s">
        <v>142</v>
      </c>
      <c r="L123" s="41"/>
      <c r="M123" s="177" t="s">
        <v>5</v>
      </c>
      <c r="N123" s="178" t="s">
        <v>42</v>
      </c>
      <c r="O123" s="42"/>
      <c r="P123" s="179">
        <f>O123*H123</f>
        <v>0</v>
      </c>
      <c r="Q123" s="179">
        <v>2.47E-3</v>
      </c>
      <c r="R123" s="179">
        <f>Q123*H123</f>
        <v>1.19054E-2</v>
      </c>
      <c r="S123" s="179">
        <v>0</v>
      </c>
      <c r="T123" s="180">
        <f>S123*H123</f>
        <v>0</v>
      </c>
      <c r="AR123" s="24" t="s">
        <v>143</v>
      </c>
      <c r="AT123" s="24" t="s">
        <v>138</v>
      </c>
      <c r="AU123" s="24" t="s">
        <v>81</v>
      </c>
      <c r="AY123" s="24" t="s">
        <v>136</v>
      </c>
      <c r="BE123" s="181">
        <f>IF(N123="základní",J123,0)</f>
        <v>9977.4</v>
      </c>
      <c r="BF123" s="181">
        <f>IF(N123="snížená",J123,0)</f>
        <v>0</v>
      </c>
      <c r="BG123" s="181">
        <f>IF(N123="zákl. přenesená",J123,0)</f>
        <v>0</v>
      </c>
      <c r="BH123" s="181">
        <f>IF(N123="sníž. přenesená",J123,0)</f>
        <v>0</v>
      </c>
      <c r="BI123" s="181">
        <f>IF(N123="nulová",J123,0)</f>
        <v>0</v>
      </c>
      <c r="BJ123" s="24" t="s">
        <v>79</v>
      </c>
      <c r="BK123" s="181">
        <f>ROUND(I123*H123,2)</f>
        <v>9977.4</v>
      </c>
      <c r="BL123" s="24" t="s">
        <v>143</v>
      </c>
      <c r="BM123" s="24" t="s">
        <v>180</v>
      </c>
    </row>
    <row r="124" spans="2:65" s="12" customFormat="1" x14ac:dyDescent="0.3">
      <c r="B124" s="190"/>
      <c r="D124" s="183" t="s">
        <v>145</v>
      </c>
      <c r="E124" s="191" t="s">
        <v>5</v>
      </c>
      <c r="F124" s="316" t="s">
        <v>181</v>
      </c>
      <c r="H124" s="318">
        <v>4.82</v>
      </c>
      <c r="I124" s="194">
        <v>0</v>
      </c>
      <c r="L124" s="41"/>
      <c r="M124" s="195"/>
      <c r="N124" s="196"/>
      <c r="O124" s="196"/>
      <c r="P124" s="196"/>
      <c r="Q124" s="196"/>
      <c r="R124" s="196"/>
      <c r="S124" s="196"/>
      <c r="T124" s="197"/>
      <c r="AT124" s="191" t="s">
        <v>145</v>
      </c>
      <c r="AU124" s="191" t="s">
        <v>81</v>
      </c>
      <c r="AV124" s="12" t="s">
        <v>81</v>
      </c>
      <c r="AW124" s="12" t="s">
        <v>35</v>
      </c>
      <c r="AX124" s="12" t="s">
        <v>79</v>
      </c>
      <c r="AY124" s="191" t="s">
        <v>136</v>
      </c>
    </row>
    <row r="125" spans="2:65" s="1" customFormat="1" ht="16.5" customHeight="1" x14ac:dyDescent="0.3">
      <c r="B125" s="169"/>
      <c r="C125" s="170" t="s">
        <v>182</v>
      </c>
      <c r="D125" s="170" t="s">
        <v>138</v>
      </c>
      <c r="E125" s="171" t="s">
        <v>183</v>
      </c>
      <c r="F125" s="172" t="s">
        <v>184</v>
      </c>
      <c r="G125" s="173" t="s">
        <v>179</v>
      </c>
      <c r="H125" s="322">
        <v>4.82</v>
      </c>
      <c r="I125" s="175">
        <v>114.99999999999999</v>
      </c>
      <c r="J125" s="176">
        <f>ROUND(I125*H125,2)</f>
        <v>554.29999999999995</v>
      </c>
      <c r="K125" s="172" t="s">
        <v>142</v>
      </c>
      <c r="L125" s="41"/>
      <c r="M125" s="177" t="s">
        <v>5</v>
      </c>
      <c r="N125" s="178" t="s">
        <v>42</v>
      </c>
      <c r="O125" s="42"/>
      <c r="P125" s="179">
        <f>O125*H125</f>
        <v>0</v>
      </c>
      <c r="Q125" s="179">
        <v>0</v>
      </c>
      <c r="R125" s="179">
        <f>Q125*H125</f>
        <v>0</v>
      </c>
      <c r="S125" s="179">
        <v>0</v>
      </c>
      <c r="T125" s="180">
        <f>S125*H125</f>
        <v>0</v>
      </c>
      <c r="AR125" s="24" t="s">
        <v>143</v>
      </c>
      <c r="AT125" s="24" t="s">
        <v>138</v>
      </c>
      <c r="AU125" s="24" t="s">
        <v>81</v>
      </c>
      <c r="AY125" s="24" t="s">
        <v>136</v>
      </c>
      <c r="BE125" s="181">
        <f>IF(N125="základní",J125,0)</f>
        <v>554.29999999999995</v>
      </c>
      <c r="BF125" s="181">
        <f>IF(N125="snížená",J125,0)</f>
        <v>0</v>
      </c>
      <c r="BG125" s="181">
        <f>IF(N125="zákl. přenesená",J125,0)</f>
        <v>0</v>
      </c>
      <c r="BH125" s="181">
        <f>IF(N125="sníž. přenesená",J125,0)</f>
        <v>0</v>
      </c>
      <c r="BI125" s="181">
        <f>IF(N125="nulová",J125,0)</f>
        <v>0</v>
      </c>
      <c r="BJ125" s="24" t="s">
        <v>79</v>
      </c>
      <c r="BK125" s="181">
        <f>ROUND(I125*H125,2)</f>
        <v>554.29999999999995</v>
      </c>
      <c r="BL125" s="24" t="s">
        <v>143</v>
      </c>
      <c r="BM125" s="24" t="s">
        <v>185</v>
      </c>
    </row>
    <row r="126" spans="2:65" s="1" customFormat="1" ht="16.5" customHeight="1" x14ac:dyDescent="0.3">
      <c r="B126" s="169"/>
      <c r="C126" s="170" t="s">
        <v>186</v>
      </c>
      <c r="D126" s="170" t="s">
        <v>138</v>
      </c>
      <c r="E126" s="171" t="s">
        <v>187</v>
      </c>
      <c r="F126" s="172" t="s">
        <v>1201</v>
      </c>
      <c r="G126" s="173" t="s">
        <v>164</v>
      </c>
      <c r="H126" s="313">
        <f>H127</f>
        <v>0.93959999999999999</v>
      </c>
      <c r="I126" s="175">
        <v>46000</v>
      </c>
      <c r="J126" s="176">
        <f>ROUND(I126*H126,2)</f>
        <v>43221.599999999999</v>
      </c>
      <c r="K126" s="172" t="s">
        <v>142</v>
      </c>
      <c r="L126" s="41"/>
      <c r="M126" s="177" t="s">
        <v>5</v>
      </c>
      <c r="N126" s="178" t="s">
        <v>42</v>
      </c>
      <c r="O126" s="42"/>
      <c r="P126" s="179">
        <f>O126*H126</f>
        <v>0</v>
      </c>
      <c r="Q126" s="179">
        <v>1.0601700000000001</v>
      </c>
      <c r="R126" s="179">
        <f>Q126*H126</f>
        <v>0.99613573200000005</v>
      </c>
      <c r="S126" s="179">
        <v>0</v>
      </c>
      <c r="T126" s="180">
        <f>S126*H126</f>
        <v>0</v>
      </c>
      <c r="AR126" s="24" t="s">
        <v>143</v>
      </c>
      <c r="AT126" s="24" t="s">
        <v>138</v>
      </c>
      <c r="AU126" s="24" t="s">
        <v>81</v>
      </c>
      <c r="AY126" s="24" t="s">
        <v>136</v>
      </c>
      <c r="BE126" s="181">
        <f>IF(N126="základní",J126,0)</f>
        <v>43221.599999999999</v>
      </c>
      <c r="BF126" s="181">
        <f>IF(N126="snížená",J126,0)</f>
        <v>0</v>
      </c>
      <c r="BG126" s="181">
        <f>IF(N126="zákl. přenesená",J126,0)</f>
        <v>0</v>
      </c>
      <c r="BH126" s="181">
        <f>IF(N126="sníž. přenesená",J126,0)</f>
        <v>0</v>
      </c>
      <c r="BI126" s="181">
        <f>IF(N126="nulová",J126,0)</f>
        <v>0</v>
      </c>
      <c r="BJ126" s="24" t="s">
        <v>79</v>
      </c>
      <c r="BK126" s="181">
        <f>ROUND(I126*H126,2)</f>
        <v>43221.599999999999</v>
      </c>
      <c r="BL126" s="24" t="s">
        <v>143</v>
      </c>
      <c r="BM126" s="24" t="s">
        <v>188</v>
      </c>
    </row>
    <row r="127" spans="2:65" s="12" customFormat="1" x14ac:dyDescent="0.3">
      <c r="B127" s="190"/>
      <c r="D127" s="183" t="s">
        <v>145</v>
      </c>
      <c r="E127" s="191" t="s">
        <v>5</v>
      </c>
      <c r="F127" s="312" t="s">
        <v>1557</v>
      </c>
      <c r="H127" s="315">
        <v>0.93959999999999999</v>
      </c>
      <c r="I127" s="194">
        <v>0</v>
      </c>
      <c r="L127" s="41"/>
      <c r="M127" s="195"/>
      <c r="N127" s="196"/>
      <c r="O127" s="196"/>
      <c r="P127" s="196"/>
      <c r="Q127" s="196"/>
      <c r="R127" s="196"/>
      <c r="S127" s="196"/>
      <c r="T127" s="197"/>
      <c r="AT127" s="191" t="s">
        <v>145</v>
      </c>
      <c r="AU127" s="191" t="s">
        <v>81</v>
      </c>
      <c r="AV127" s="12" t="s">
        <v>81</v>
      </c>
      <c r="AW127" s="12" t="s">
        <v>35</v>
      </c>
      <c r="AX127" s="12" t="s">
        <v>79</v>
      </c>
      <c r="AY127" s="191" t="s">
        <v>136</v>
      </c>
    </row>
    <row r="128" spans="2:65" s="1" customFormat="1" ht="16.5" customHeight="1" x14ac:dyDescent="0.3">
      <c r="B128" s="169"/>
      <c r="C128" s="170" t="s">
        <v>189</v>
      </c>
      <c r="D128" s="170" t="s">
        <v>138</v>
      </c>
      <c r="E128" s="171" t="s">
        <v>190</v>
      </c>
      <c r="F128" s="172" t="s">
        <v>191</v>
      </c>
      <c r="G128" s="173" t="s">
        <v>141</v>
      </c>
      <c r="H128" s="313">
        <f>H129</f>
        <v>24.230499999999996</v>
      </c>
      <c r="I128" s="175">
        <v>3156.7499999999995</v>
      </c>
      <c r="J128" s="176">
        <f>ROUND(I128*H128,2)</f>
        <v>76489.63</v>
      </c>
      <c r="K128" s="172" t="s">
        <v>142</v>
      </c>
      <c r="L128" s="41"/>
      <c r="M128" s="177" t="s">
        <v>5</v>
      </c>
      <c r="N128" s="178" t="s">
        <v>42</v>
      </c>
      <c r="O128" s="42"/>
      <c r="P128" s="179">
        <f>O128*H128</f>
        <v>0</v>
      </c>
      <c r="Q128" s="179">
        <v>2.45329</v>
      </c>
      <c r="R128" s="179">
        <f>Q128*H128</f>
        <v>59.444443344999989</v>
      </c>
      <c r="S128" s="179">
        <v>0</v>
      </c>
      <c r="T128" s="180">
        <f>S128*H128</f>
        <v>0</v>
      </c>
      <c r="AR128" s="24" t="s">
        <v>143</v>
      </c>
      <c r="AT128" s="24" t="s">
        <v>138</v>
      </c>
      <c r="AU128" s="24" t="s">
        <v>81</v>
      </c>
      <c r="AY128" s="24" t="s">
        <v>136</v>
      </c>
      <c r="BE128" s="181">
        <f>IF(N128="základní",J128,0)</f>
        <v>76489.63</v>
      </c>
      <c r="BF128" s="181">
        <f>IF(N128="snížená",J128,0)</f>
        <v>0</v>
      </c>
      <c r="BG128" s="181">
        <f>IF(N128="zákl. přenesená",J128,0)</f>
        <v>0</v>
      </c>
      <c r="BH128" s="181">
        <f>IF(N128="sníž. přenesená",J128,0)</f>
        <v>0</v>
      </c>
      <c r="BI128" s="181">
        <f>IF(N128="nulová",J128,0)</f>
        <v>0</v>
      </c>
      <c r="BJ128" s="24" t="s">
        <v>79</v>
      </c>
      <c r="BK128" s="181">
        <f>ROUND(I128*H128,2)</f>
        <v>76489.63</v>
      </c>
      <c r="BL128" s="24" t="s">
        <v>143</v>
      </c>
      <c r="BM128" s="24" t="s">
        <v>192</v>
      </c>
    </row>
    <row r="129" spans="2:65" s="12" customFormat="1" ht="27" x14ac:dyDescent="0.3">
      <c r="B129" s="190"/>
      <c r="D129" s="183" t="s">
        <v>145</v>
      </c>
      <c r="E129" s="191" t="s">
        <v>5</v>
      </c>
      <c r="F129" s="312" t="s">
        <v>1197</v>
      </c>
      <c r="H129" s="315">
        <f>((15.175*0.6*2)+(8.8*0.6*4))*0.5+(1.6*0.2*2+2*0.3*4+1.9*0.2*2+2.4*0.2*2+1.6*0.3+1*0.3+1.2*0.3+0.3*0.3+0.9*0.3+1.5*0.3*2+1.25*0.3)*0.5+1.4*0.6*0.95</f>
        <v>24.230499999999996</v>
      </c>
      <c r="I129" s="194">
        <v>0</v>
      </c>
      <c r="L129" s="41"/>
      <c r="M129" s="195"/>
      <c r="N129" s="196"/>
      <c r="O129" s="196"/>
      <c r="P129" s="196"/>
      <c r="Q129" s="196"/>
      <c r="R129" s="196"/>
      <c r="S129" s="196"/>
      <c r="T129" s="197"/>
      <c r="AT129" s="191" t="s">
        <v>145</v>
      </c>
      <c r="AU129" s="191" t="s">
        <v>81</v>
      </c>
      <c r="AV129" s="12" t="s">
        <v>81</v>
      </c>
      <c r="AW129" s="12" t="s">
        <v>35</v>
      </c>
      <c r="AX129" s="12" t="s">
        <v>79</v>
      </c>
      <c r="AY129" s="191" t="s">
        <v>136</v>
      </c>
    </row>
    <row r="130" spans="2:65" s="1" customFormat="1" ht="16.5" customHeight="1" x14ac:dyDescent="0.3">
      <c r="B130" s="169"/>
      <c r="C130" s="170" t="s">
        <v>193</v>
      </c>
      <c r="D130" s="170" t="s">
        <v>138</v>
      </c>
      <c r="E130" s="171" t="s">
        <v>194</v>
      </c>
      <c r="F130" s="172" t="s">
        <v>195</v>
      </c>
      <c r="G130" s="173" t="s">
        <v>179</v>
      </c>
      <c r="H130" s="320">
        <v>0</v>
      </c>
      <c r="I130" s="175">
        <v>598</v>
      </c>
      <c r="J130" s="176">
        <f>ROUND(I130*H130,2)</f>
        <v>0</v>
      </c>
      <c r="K130" s="172" t="s">
        <v>142</v>
      </c>
      <c r="L130" s="41"/>
      <c r="M130" s="177" t="s">
        <v>5</v>
      </c>
      <c r="N130" s="178" t="s">
        <v>42</v>
      </c>
      <c r="O130" s="42"/>
      <c r="P130" s="179">
        <f>O130*H130</f>
        <v>0</v>
      </c>
      <c r="Q130" s="179">
        <v>2.6900000000000001E-3</v>
      </c>
      <c r="R130" s="179">
        <f>Q130*H130</f>
        <v>0</v>
      </c>
      <c r="S130" s="179">
        <v>0</v>
      </c>
      <c r="T130" s="180">
        <f>S130*H130</f>
        <v>0</v>
      </c>
      <c r="AR130" s="24" t="s">
        <v>143</v>
      </c>
      <c r="AT130" s="24" t="s">
        <v>138</v>
      </c>
      <c r="AU130" s="24" t="s">
        <v>81</v>
      </c>
      <c r="AY130" s="24" t="s">
        <v>136</v>
      </c>
      <c r="BE130" s="181">
        <f>IF(N130="základní",J130,0)</f>
        <v>0</v>
      </c>
      <c r="BF130" s="181">
        <f>IF(N130="snížená",J130,0)</f>
        <v>0</v>
      </c>
      <c r="BG130" s="181">
        <f>IF(N130="zákl. přenesená",J130,0)</f>
        <v>0</v>
      </c>
      <c r="BH130" s="181">
        <f>IF(N130="sníž. přenesená",J130,0)</f>
        <v>0</v>
      </c>
      <c r="BI130" s="181">
        <f>IF(N130="nulová",J130,0)</f>
        <v>0</v>
      </c>
      <c r="BJ130" s="24" t="s">
        <v>79</v>
      </c>
      <c r="BK130" s="181">
        <f>ROUND(I130*H130,2)</f>
        <v>0</v>
      </c>
      <c r="BL130" s="24" t="s">
        <v>143</v>
      </c>
      <c r="BM130" s="24" t="s">
        <v>196</v>
      </c>
    </row>
    <row r="131" spans="2:65" s="12" customFormat="1" ht="27" x14ac:dyDescent="0.3">
      <c r="B131" s="190"/>
      <c r="D131" s="183" t="s">
        <v>145</v>
      </c>
      <c r="E131" s="191" t="s">
        <v>5</v>
      </c>
      <c r="F131" s="312" t="s">
        <v>1202</v>
      </c>
      <c r="H131" s="315">
        <f>(10+15.175+10.55+14.9+0.2*6+0.3*4+55*2+0.25+4.175*2+8.8*6+4.15*2+4.175*2+0.2*12+0.3*8+0.3*4+0.5*2)*0.5</f>
        <v>124.03750000000001</v>
      </c>
      <c r="I131" s="194">
        <v>0</v>
      </c>
      <c r="L131" s="41"/>
      <c r="M131" s="195"/>
      <c r="N131" s="196"/>
      <c r="O131" s="196"/>
      <c r="P131" s="196"/>
      <c r="Q131" s="196"/>
      <c r="R131" s="196"/>
      <c r="S131" s="196"/>
      <c r="T131" s="197"/>
      <c r="AT131" s="191" t="s">
        <v>145</v>
      </c>
      <c r="AU131" s="191" t="s">
        <v>81</v>
      </c>
      <c r="AV131" s="12" t="s">
        <v>81</v>
      </c>
      <c r="AW131" s="12" t="s">
        <v>35</v>
      </c>
      <c r="AX131" s="12" t="s">
        <v>79</v>
      </c>
      <c r="AY131" s="191" t="s">
        <v>136</v>
      </c>
    </row>
    <row r="132" spans="2:65" s="1" customFormat="1" ht="16.5" customHeight="1" x14ac:dyDescent="0.3">
      <c r="B132" s="169"/>
      <c r="C132" s="170" t="s">
        <v>197</v>
      </c>
      <c r="D132" s="170" t="s">
        <v>138</v>
      </c>
      <c r="E132" s="171" t="s">
        <v>198</v>
      </c>
      <c r="F132" s="172" t="s">
        <v>199</v>
      </c>
      <c r="G132" s="173" t="s">
        <v>179</v>
      </c>
      <c r="H132" s="320">
        <f>H130</f>
        <v>0</v>
      </c>
      <c r="I132" s="175">
        <v>103.49999999999999</v>
      </c>
      <c r="J132" s="176">
        <f>ROUND(I132*H132,2)</f>
        <v>0</v>
      </c>
      <c r="K132" s="172" t="s">
        <v>142</v>
      </c>
      <c r="L132" s="41"/>
      <c r="M132" s="177" t="s">
        <v>5</v>
      </c>
      <c r="N132" s="178" t="s">
        <v>42</v>
      </c>
      <c r="O132" s="42"/>
      <c r="P132" s="179">
        <f>O132*H132</f>
        <v>0</v>
      </c>
      <c r="Q132" s="179">
        <v>0</v>
      </c>
      <c r="R132" s="179">
        <f>Q132*H132</f>
        <v>0</v>
      </c>
      <c r="S132" s="179">
        <v>0</v>
      </c>
      <c r="T132" s="180">
        <f>S132*H132</f>
        <v>0</v>
      </c>
      <c r="AR132" s="24" t="s">
        <v>143</v>
      </c>
      <c r="AT132" s="24" t="s">
        <v>138</v>
      </c>
      <c r="AU132" s="24" t="s">
        <v>81</v>
      </c>
      <c r="AY132" s="24" t="s">
        <v>136</v>
      </c>
      <c r="BE132" s="181">
        <f>IF(N132="základní",J132,0)</f>
        <v>0</v>
      </c>
      <c r="BF132" s="181">
        <f>IF(N132="snížená",J132,0)</f>
        <v>0</v>
      </c>
      <c r="BG132" s="181">
        <f>IF(N132="zákl. přenesená",J132,0)</f>
        <v>0</v>
      </c>
      <c r="BH132" s="181">
        <f>IF(N132="sníž. přenesená",J132,0)</f>
        <v>0</v>
      </c>
      <c r="BI132" s="181">
        <f>IF(N132="nulová",J132,0)</f>
        <v>0</v>
      </c>
      <c r="BJ132" s="24" t="s">
        <v>79</v>
      </c>
      <c r="BK132" s="181">
        <f>ROUND(I132*H132,2)</f>
        <v>0</v>
      </c>
      <c r="BL132" s="24" t="s">
        <v>143</v>
      </c>
      <c r="BM132" s="24" t="s">
        <v>200</v>
      </c>
    </row>
    <row r="133" spans="2:65" s="1" customFormat="1" ht="16.5" customHeight="1" x14ac:dyDescent="0.3">
      <c r="B133" s="169"/>
      <c r="C133" s="170" t="s">
        <v>12</v>
      </c>
      <c r="D133" s="170" t="s">
        <v>138</v>
      </c>
      <c r="E133" s="171" t="s">
        <v>201</v>
      </c>
      <c r="F133" s="172" t="s">
        <v>202</v>
      </c>
      <c r="G133" s="173" t="s">
        <v>164</v>
      </c>
      <c r="H133" s="313">
        <f>H134</f>
        <v>3.4320000000000003E-2</v>
      </c>
      <c r="I133" s="175">
        <v>44850</v>
      </c>
      <c r="J133" s="176">
        <f>ROUND(I133*H133,2)</f>
        <v>1539.25</v>
      </c>
      <c r="K133" s="172" t="s">
        <v>142</v>
      </c>
      <c r="L133" s="41"/>
      <c r="M133" s="177" t="s">
        <v>5</v>
      </c>
      <c r="N133" s="178" t="s">
        <v>42</v>
      </c>
      <c r="O133" s="42"/>
      <c r="P133" s="179">
        <f>O133*H133</f>
        <v>0</v>
      </c>
      <c r="Q133" s="179">
        <v>1.0601700000000001</v>
      </c>
      <c r="R133" s="179">
        <f>Q133*H133</f>
        <v>3.6385034400000002E-2</v>
      </c>
      <c r="S133" s="179">
        <v>0</v>
      </c>
      <c r="T133" s="180">
        <f>S133*H133</f>
        <v>0</v>
      </c>
      <c r="AR133" s="24" t="s">
        <v>143</v>
      </c>
      <c r="AT133" s="24" t="s">
        <v>138</v>
      </c>
      <c r="AU133" s="24" t="s">
        <v>81</v>
      </c>
      <c r="AY133" s="24" t="s">
        <v>136</v>
      </c>
      <c r="BE133" s="181">
        <f>IF(N133="základní",J133,0)</f>
        <v>1539.25</v>
      </c>
      <c r="BF133" s="181">
        <f>IF(N133="snížená",J133,0)</f>
        <v>0</v>
      </c>
      <c r="BG133" s="181">
        <f>IF(N133="zákl. přenesená",J133,0)</f>
        <v>0</v>
      </c>
      <c r="BH133" s="181">
        <f>IF(N133="sníž. přenesená",J133,0)</f>
        <v>0</v>
      </c>
      <c r="BI133" s="181">
        <f>IF(N133="nulová",J133,0)</f>
        <v>0</v>
      </c>
      <c r="BJ133" s="24" t="s">
        <v>79</v>
      </c>
      <c r="BK133" s="181">
        <f>ROUND(I133*H133,2)</f>
        <v>1539.25</v>
      </c>
      <c r="BL133" s="24" t="s">
        <v>143</v>
      </c>
      <c r="BM133" s="24" t="s">
        <v>203</v>
      </c>
    </row>
    <row r="134" spans="2:65" s="12" customFormat="1" x14ac:dyDescent="0.3">
      <c r="B134" s="190"/>
      <c r="D134" s="183" t="s">
        <v>145</v>
      </c>
      <c r="E134" s="191" t="s">
        <v>5</v>
      </c>
      <c r="F134" s="312" t="s">
        <v>1204</v>
      </c>
      <c r="H134" s="315">
        <f>(65*4*0.6*0.22)*0.001</f>
        <v>3.4320000000000003E-2</v>
      </c>
      <c r="I134" s="194">
        <v>0</v>
      </c>
      <c r="L134" s="41"/>
      <c r="M134" s="195"/>
      <c r="N134" s="196"/>
      <c r="O134" s="196"/>
      <c r="P134" s="196"/>
      <c r="Q134" s="196"/>
      <c r="R134" s="196"/>
      <c r="S134" s="196"/>
      <c r="T134" s="197"/>
      <c r="AT134" s="191" t="s">
        <v>145</v>
      </c>
      <c r="AU134" s="191" t="s">
        <v>81</v>
      </c>
      <c r="AV134" s="12" t="s">
        <v>81</v>
      </c>
      <c r="AW134" s="12" t="s">
        <v>35</v>
      </c>
      <c r="AX134" s="12" t="s">
        <v>79</v>
      </c>
      <c r="AY134" s="191" t="s">
        <v>136</v>
      </c>
    </row>
    <row r="135" spans="2:65" s="1" customFormat="1" ht="25.5" customHeight="1" x14ac:dyDescent="0.3">
      <c r="B135" s="169"/>
      <c r="C135" s="170" t="s">
        <v>204</v>
      </c>
      <c r="D135" s="170" t="s">
        <v>138</v>
      </c>
      <c r="E135" s="171" t="s">
        <v>205</v>
      </c>
      <c r="F135" s="172" t="s">
        <v>206</v>
      </c>
      <c r="G135" s="173" t="s">
        <v>179</v>
      </c>
      <c r="H135" s="313">
        <f>H136</f>
        <v>16.3125</v>
      </c>
      <c r="I135" s="175">
        <v>1897.4999999999998</v>
      </c>
      <c r="J135" s="176">
        <f>ROUND(I135*H135,2)</f>
        <v>30952.97</v>
      </c>
      <c r="K135" s="172" t="s">
        <v>142</v>
      </c>
      <c r="L135" s="41"/>
      <c r="M135" s="177" t="s">
        <v>5</v>
      </c>
      <c r="N135" s="178" t="s">
        <v>42</v>
      </c>
      <c r="O135" s="42"/>
      <c r="P135" s="179">
        <f>O135*H135</f>
        <v>0</v>
      </c>
      <c r="Q135" s="179">
        <v>0.96611999999999998</v>
      </c>
      <c r="R135" s="179">
        <f>Q135*H135</f>
        <v>15.7598325</v>
      </c>
      <c r="S135" s="179">
        <v>0</v>
      </c>
      <c r="T135" s="180">
        <f>S135*H135</f>
        <v>0</v>
      </c>
      <c r="AR135" s="24" t="s">
        <v>143</v>
      </c>
      <c r="AT135" s="24" t="s">
        <v>138</v>
      </c>
      <c r="AU135" s="24" t="s">
        <v>81</v>
      </c>
      <c r="AY135" s="24" t="s">
        <v>136</v>
      </c>
      <c r="BE135" s="181">
        <f>IF(N135="základní",J135,0)</f>
        <v>30952.97</v>
      </c>
      <c r="BF135" s="181">
        <f>IF(N135="snížená",J135,0)</f>
        <v>0</v>
      </c>
      <c r="BG135" s="181">
        <f>IF(N135="zákl. přenesená",J135,0)</f>
        <v>0</v>
      </c>
      <c r="BH135" s="181">
        <f>IF(N135="sníž. přenesená",J135,0)</f>
        <v>0</v>
      </c>
      <c r="BI135" s="181">
        <f>IF(N135="nulová",J135,0)</f>
        <v>0</v>
      </c>
      <c r="BJ135" s="24" t="s">
        <v>79</v>
      </c>
      <c r="BK135" s="181">
        <f>ROUND(I135*H135,2)</f>
        <v>30952.97</v>
      </c>
      <c r="BL135" s="24" t="s">
        <v>143</v>
      </c>
      <c r="BM135" s="24" t="s">
        <v>207</v>
      </c>
    </row>
    <row r="136" spans="2:65" s="12" customFormat="1" x14ac:dyDescent="0.3">
      <c r="B136" s="190"/>
      <c r="D136" s="183" t="s">
        <v>145</v>
      </c>
      <c r="E136" s="191" t="s">
        <v>5</v>
      </c>
      <c r="F136" s="312" t="s">
        <v>1203</v>
      </c>
      <c r="H136" s="315">
        <f>(14.5*2+9*4+0.25)*0.25</f>
        <v>16.3125</v>
      </c>
      <c r="I136" s="194">
        <v>0</v>
      </c>
      <c r="L136" s="41"/>
      <c r="M136" s="195"/>
      <c r="N136" s="196"/>
      <c r="O136" s="196"/>
      <c r="P136" s="196"/>
      <c r="Q136" s="196"/>
      <c r="R136" s="196"/>
      <c r="S136" s="196"/>
      <c r="T136" s="197"/>
      <c r="AT136" s="191" t="s">
        <v>145</v>
      </c>
      <c r="AU136" s="191" t="s">
        <v>81</v>
      </c>
      <c r="AV136" s="12" t="s">
        <v>81</v>
      </c>
      <c r="AW136" s="12" t="s">
        <v>35</v>
      </c>
      <c r="AX136" s="12" t="s">
        <v>79</v>
      </c>
      <c r="AY136" s="191" t="s">
        <v>136</v>
      </c>
    </row>
    <row r="137" spans="2:65" s="1" customFormat="1" ht="16.5" customHeight="1" x14ac:dyDescent="0.3">
      <c r="B137" s="169"/>
      <c r="C137" s="170" t="s">
        <v>208</v>
      </c>
      <c r="D137" s="170" t="s">
        <v>138</v>
      </c>
      <c r="E137" s="171" t="s">
        <v>209</v>
      </c>
      <c r="F137" s="172" t="s">
        <v>210</v>
      </c>
      <c r="G137" s="173" t="s">
        <v>164</v>
      </c>
      <c r="H137" s="313">
        <f>H138</f>
        <v>0.189</v>
      </c>
      <c r="I137" s="175">
        <v>48299.999999999993</v>
      </c>
      <c r="J137" s="176">
        <f>ROUND(I137*H137,2)</f>
        <v>9128.7000000000007</v>
      </c>
      <c r="K137" s="172" t="s">
        <v>142</v>
      </c>
      <c r="L137" s="41"/>
      <c r="M137" s="177" t="s">
        <v>5</v>
      </c>
      <c r="N137" s="178" t="s">
        <v>42</v>
      </c>
      <c r="O137" s="42"/>
      <c r="P137" s="179">
        <f>O137*H137</f>
        <v>0</v>
      </c>
      <c r="Q137" s="179">
        <v>1.05871</v>
      </c>
      <c r="R137" s="179">
        <f>Q137*H137</f>
        <v>0.20009619000000001</v>
      </c>
      <c r="S137" s="179">
        <v>0</v>
      </c>
      <c r="T137" s="180">
        <f>S137*H137</f>
        <v>0</v>
      </c>
      <c r="AR137" s="24" t="s">
        <v>143</v>
      </c>
      <c r="AT137" s="24" t="s">
        <v>138</v>
      </c>
      <c r="AU137" s="24" t="s">
        <v>81</v>
      </c>
      <c r="AY137" s="24" t="s">
        <v>136</v>
      </c>
      <c r="BE137" s="181">
        <f>IF(N137="základní",J137,0)</f>
        <v>9128.7000000000007</v>
      </c>
      <c r="BF137" s="181">
        <f>IF(N137="snížená",J137,0)</f>
        <v>0</v>
      </c>
      <c r="BG137" s="181">
        <f>IF(N137="zákl. přenesená",J137,0)</f>
        <v>0</v>
      </c>
      <c r="BH137" s="181">
        <f>IF(N137="sníž. přenesená",J137,0)</f>
        <v>0</v>
      </c>
      <c r="BI137" s="181">
        <f>IF(N137="nulová",J137,0)</f>
        <v>0</v>
      </c>
      <c r="BJ137" s="24" t="s">
        <v>79</v>
      </c>
      <c r="BK137" s="181">
        <f>ROUND(I137*H137,2)</f>
        <v>9128.7000000000007</v>
      </c>
      <c r="BL137" s="24" t="s">
        <v>143</v>
      </c>
      <c r="BM137" s="24" t="s">
        <v>211</v>
      </c>
    </row>
    <row r="138" spans="2:65" s="12" customFormat="1" x14ac:dyDescent="0.3">
      <c r="B138" s="190"/>
      <c r="D138" s="183" t="s">
        <v>145</v>
      </c>
      <c r="E138" s="191" t="s">
        <v>5</v>
      </c>
      <c r="F138" s="312" t="s">
        <v>1558</v>
      </c>
      <c r="H138" s="315">
        <v>0.189</v>
      </c>
      <c r="I138" s="194">
        <v>0</v>
      </c>
      <c r="J138" s="176">
        <f t="shared" ref="J138:J139" si="1">ROUND(I138*H138,2)</f>
        <v>0</v>
      </c>
      <c r="L138" s="41"/>
      <c r="M138" s="195"/>
      <c r="N138" s="196"/>
      <c r="O138" s="196"/>
      <c r="P138" s="196"/>
      <c r="Q138" s="196"/>
      <c r="R138" s="196"/>
      <c r="S138" s="196"/>
      <c r="T138" s="197"/>
      <c r="AT138" s="191" t="s">
        <v>145</v>
      </c>
      <c r="AU138" s="191" t="s">
        <v>81</v>
      </c>
      <c r="AV138" s="12" t="s">
        <v>81</v>
      </c>
      <c r="AW138" s="12" t="s">
        <v>35</v>
      </c>
      <c r="AX138" s="12" t="s">
        <v>79</v>
      </c>
      <c r="AY138" s="191" t="s">
        <v>136</v>
      </c>
    </row>
    <row r="139" spans="2:65" s="310" customFormat="1" ht="16.5" customHeight="1" x14ac:dyDescent="0.3">
      <c r="B139" s="169"/>
      <c r="C139" s="393"/>
      <c r="D139" s="170"/>
      <c r="E139" s="171"/>
      <c r="F139" s="172" t="s">
        <v>1504</v>
      </c>
      <c r="G139" s="173" t="s">
        <v>844</v>
      </c>
      <c r="H139" s="313">
        <v>1</v>
      </c>
      <c r="I139" s="175">
        <v>2875</v>
      </c>
      <c r="J139" s="176">
        <f t="shared" si="1"/>
        <v>2875</v>
      </c>
      <c r="K139" s="172"/>
      <c r="L139" s="41"/>
      <c r="M139" s="177"/>
      <c r="N139" s="178"/>
      <c r="O139" s="311"/>
      <c r="P139" s="179"/>
      <c r="Q139" s="179"/>
      <c r="R139" s="179"/>
      <c r="S139" s="179"/>
      <c r="T139" s="180"/>
      <c r="AR139" s="24"/>
      <c r="AT139" s="24"/>
      <c r="AU139" s="24"/>
      <c r="AY139" s="24"/>
      <c r="BE139" s="181"/>
      <c r="BF139" s="181"/>
      <c r="BG139" s="181"/>
      <c r="BH139" s="181"/>
      <c r="BI139" s="181"/>
      <c r="BJ139" s="24"/>
      <c r="BK139" s="181"/>
      <c r="BL139" s="24"/>
      <c r="BM139" s="24"/>
    </row>
    <row r="140" spans="2:65" s="12" customFormat="1" x14ac:dyDescent="0.3">
      <c r="B140" s="190"/>
      <c r="D140" s="183"/>
      <c r="E140" s="191"/>
      <c r="F140" s="312" t="s">
        <v>1505</v>
      </c>
      <c r="H140" s="315">
        <v>1</v>
      </c>
      <c r="I140" s="194">
        <v>0</v>
      </c>
      <c r="L140" s="41"/>
      <c r="M140" s="195"/>
      <c r="N140" s="196"/>
      <c r="O140" s="196"/>
      <c r="P140" s="196"/>
      <c r="Q140" s="196"/>
      <c r="R140" s="196"/>
      <c r="S140" s="196"/>
      <c r="T140" s="197"/>
      <c r="AT140" s="191"/>
      <c r="AU140" s="191"/>
      <c r="AY140" s="191"/>
    </row>
    <row r="141" spans="2:65" s="10" customFormat="1" ht="29.85" customHeight="1" x14ac:dyDescent="0.3">
      <c r="B141" s="156"/>
      <c r="D141" s="157" t="s">
        <v>70</v>
      </c>
      <c r="E141" s="167" t="s">
        <v>150</v>
      </c>
      <c r="F141" s="167" t="s">
        <v>212</v>
      </c>
      <c r="I141" s="159">
        <v>0</v>
      </c>
      <c r="J141" s="168">
        <f>SUM(J142:J194)</f>
        <v>943588.63</v>
      </c>
      <c r="L141" s="41"/>
      <c r="M141" s="161"/>
      <c r="N141" s="162"/>
      <c r="O141" s="162"/>
      <c r="P141" s="163">
        <f>SUM(P142:P195)</f>
        <v>0</v>
      </c>
      <c r="Q141" s="162"/>
      <c r="R141" s="163">
        <f>SUM(R142:R195)</f>
        <v>105.68111055500002</v>
      </c>
      <c r="S141" s="162"/>
      <c r="T141" s="164">
        <f>SUM(T142:T195)</f>
        <v>0</v>
      </c>
      <c r="AR141" s="157" t="s">
        <v>79</v>
      </c>
      <c r="AT141" s="165" t="s">
        <v>70</v>
      </c>
      <c r="AU141" s="165" t="s">
        <v>79</v>
      </c>
      <c r="AY141" s="157" t="s">
        <v>136</v>
      </c>
      <c r="BK141" s="166">
        <f>SUM(BK142:BK195)</f>
        <v>939817.35</v>
      </c>
    </row>
    <row r="142" spans="2:65" s="1" customFormat="1" ht="25.5" customHeight="1" x14ac:dyDescent="0.3">
      <c r="B142" s="169"/>
      <c r="C142" s="170" t="s">
        <v>213</v>
      </c>
      <c r="D142" s="170" t="s">
        <v>138</v>
      </c>
      <c r="E142" s="171" t="s">
        <v>214</v>
      </c>
      <c r="F142" s="172" t="s">
        <v>1559</v>
      </c>
      <c r="G142" s="173" t="s">
        <v>179</v>
      </c>
      <c r="H142" s="320">
        <f>SUM(H145:H166)</f>
        <v>378.78705000000002</v>
      </c>
      <c r="I142" s="175">
        <v>1974.5</v>
      </c>
      <c r="J142" s="176">
        <f>ROUND(I142*H142,2)</f>
        <v>747915.03</v>
      </c>
      <c r="K142" s="172" t="s">
        <v>142</v>
      </c>
      <c r="L142" s="41"/>
      <c r="M142" s="177" t="s">
        <v>5</v>
      </c>
      <c r="N142" s="178" t="s">
        <v>42</v>
      </c>
      <c r="O142" s="42"/>
      <c r="P142" s="179">
        <f>O142*H142</f>
        <v>0</v>
      </c>
      <c r="Q142" s="179">
        <v>0.22158</v>
      </c>
      <c r="R142" s="179">
        <f>Q142*H142</f>
        <v>83.931634539000001</v>
      </c>
      <c r="S142" s="179">
        <v>0</v>
      </c>
      <c r="T142" s="180">
        <f>S142*H142</f>
        <v>0</v>
      </c>
      <c r="AR142" s="24" t="s">
        <v>143</v>
      </c>
      <c r="AT142" s="24" t="s">
        <v>138</v>
      </c>
      <c r="AU142" s="24" t="s">
        <v>81</v>
      </c>
      <c r="AY142" s="24" t="s">
        <v>136</v>
      </c>
      <c r="BE142" s="181">
        <f>IF(N142="základní",J142,0)</f>
        <v>747915.03</v>
      </c>
      <c r="BF142" s="181">
        <f>IF(N142="snížená",J142,0)</f>
        <v>0</v>
      </c>
      <c r="BG142" s="181">
        <f>IF(N142="zákl. přenesená",J142,0)</f>
        <v>0</v>
      </c>
      <c r="BH142" s="181">
        <f>IF(N142="sníž. přenesená",J142,0)</f>
        <v>0</v>
      </c>
      <c r="BI142" s="181">
        <f>IF(N142="nulová",J142,0)</f>
        <v>0</v>
      </c>
      <c r="BJ142" s="24" t="s">
        <v>79</v>
      </c>
      <c r="BK142" s="181">
        <f>ROUND(I142*H142,2)</f>
        <v>747915.03</v>
      </c>
      <c r="BL142" s="24" t="s">
        <v>143</v>
      </c>
      <c r="BM142" s="24" t="s">
        <v>215</v>
      </c>
    </row>
    <row r="143" spans="2:65" s="11" customFormat="1" x14ac:dyDescent="0.3">
      <c r="B143" s="182"/>
      <c r="D143" s="183" t="s">
        <v>145</v>
      </c>
      <c r="E143" s="184" t="s">
        <v>5</v>
      </c>
      <c r="F143" s="185" t="s">
        <v>216</v>
      </c>
      <c r="H143" s="184" t="s">
        <v>5</v>
      </c>
      <c r="I143" s="186">
        <v>0</v>
      </c>
      <c r="L143" s="41"/>
      <c r="M143" s="187"/>
      <c r="N143" s="188"/>
      <c r="O143" s="188"/>
      <c r="P143" s="188"/>
      <c r="Q143" s="188"/>
      <c r="R143" s="188"/>
      <c r="S143" s="188"/>
      <c r="T143" s="189"/>
      <c r="AT143" s="184" t="s">
        <v>145</v>
      </c>
      <c r="AU143" s="184" t="s">
        <v>81</v>
      </c>
      <c r="AV143" s="11" t="s">
        <v>79</v>
      </c>
      <c r="AW143" s="11" t="s">
        <v>35</v>
      </c>
      <c r="AX143" s="11" t="s">
        <v>71</v>
      </c>
      <c r="AY143" s="184" t="s">
        <v>136</v>
      </c>
    </row>
    <row r="144" spans="2:65" s="12" customFormat="1" x14ac:dyDescent="0.3">
      <c r="B144" s="190"/>
      <c r="D144" s="183" t="s">
        <v>145</v>
      </c>
      <c r="E144" s="191" t="s">
        <v>5</v>
      </c>
      <c r="F144" s="312" t="s">
        <v>1205</v>
      </c>
      <c r="H144" s="193"/>
      <c r="I144" s="194">
        <v>0</v>
      </c>
      <c r="L144" s="41"/>
      <c r="M144" s="195"/>
      <c r="N144" s="196"/>
      <c r="O144" s="196"/>
      <c r="P144" s="196"/>
      <c r="Q144" s="196"/>
      <c r="R144" s="196"/>
      <c r="S144" s="196"/>
      <c r="T144" s="197"/>
      <c r="AT144" s="191" t="s">
        <v>145</v>
      </c>
      <c r="AU144" s="191" t="s">
        <v>81</v>
      </c>
      <c r="AV144" s="12" t="s">
        <v>81</v>
      </c>
      <c r="AW144" s="12" t="s">
        <v>35</v>
      </c>
      <c r="AX144" s="12" t="s">
        <v>71</v>
      </c>
      <c r="AY144" s="191" t="s">
        <v>136</v>
      </c>
    </row>
    <row r="145" spans="2:51" s="12" customFormat="1" x14ac:dyDescent="0.3">
      <c r="B145" s="190"/>
      <c r="D145" s="183" t="s">
        <v>145</v>
      </c>
      <c r="E145" s="191" t="s">
        <v>5</v>
      </c>
      <c r="F145" s="312" t="s">
        <v>1206</v>
      </c>
      <c r="H145" s="315">
        <f>(8+1.05+4.2+14.5+3+0.3+3.5)*2.92</f>
        <v>100.886</v>
      </c>
      <c r="I145" s="194">
        <v>0</v>
      </c>
      <c r="L145" s="41"/>
      <c r="M145" s="195"/>
      <c r="N145" s="196"/>
      <c r="O145" s="196"/>
      <c r="P145" s="196"/>
      <c r="Q145" s="196"/>
      <c r="R145" s="196"/>
      <c r="S145" s="196"/>
      <c r="T145" s="197"/>
      <c r="AT145" s="191" t="s">
        <v>145</v>
      </c>
      <c r="AU145" s="191" t="s">
        <v>81</v>
      </c>
      <c r="AV145" s="12" t="s">
        <v>81</v>
      </c>
      <c r="AW145" s="12" t="s">
        <v>35</v>
      </c>
      <c r="AX145" s="12" t="s">
        <v>71</v>
      </c>
      <c r="AY145" s="191" t="s">
        <v>136</v>
      </c>
    </row>
    <row r="146" spans="2:51" s="12" customFormat="1" x14ac:dyDescent="0.3">
      <c r="B146" s="190"/>
      <c r="D146" s="183" t="s">
        <v>145</v>
      </c>
      <c r="E146" s="191" t="s">
        <v>5</v>
      </c>
      <c r="F146" s="326" t="s">
        <v>1207</v>
      </c>
      <c r="H146" s="315">
        <f>-((0.625*0.625)+(1*0.25))*3</f>
        <v>-1.921875</v>
      </c>
      <c r="I146" s="194">
        <v>0</v>
      </c>
      <c r="L146" s="41"/>
      <c r="M146" s="195"/>
      <c r="N146" s="196"/>
      <c r="O146" s="196"/>
      <c r="P146" s="196"/>
      <c r="Q146" s="196"/>
      <c r="R146" s="196"/>
      <c r="S146" s="196"/>
      <c r="T146" s="197"/>
      <c r="AT146" s="191" t="s">
        <v>145</v>
      </c>
      <c r="AU146" s="191" t="s">
        <v>81</v>
      </c>
      <c r="AV146" s="12" t="s">
        <v>81</v>
      </c>
      <c r="AW146" s="12" t="s">
        <v>35</v>
      </c>
      <c r="AX146" s="12" t="s">
        <v>71</v>
      </c>
      <c r="AY146" s="191" t="s">
        <v>136</v>
      </c>
    </row>
    <row r="147" spans="2:51" s="12" customFormat="1" x14ac:dyDescent="0.3">
      <c r="B147" s="190"/>
      <c r="D147" s="183" t="s">
        <v>145</v>
      </c>
      <c r="E147" s="191" t="s">
        <v>5</v>
      </c>
      <c r="F147" s="326" t="s">
        <v>1208</v>
      </c>
      <c r="H147" s="315">
        <f>-((1.05*2.19)+(1.5*0.25))*2</f>
        <v>-5.3490000000000002</v>
      </c>
      <c r="I147" s="194">
        <v>0</v>
      </c>
      <c r="L147" s="41"/>
      <c r="M147" s="195"/>
      <c r="N147" s="196"/>
      <c r="O147" s="196"/>
      <c r="P147" s="196"/>
      <c r="Q147" s="196"/>
      <c r="R147" s="196"/>
      <c r="S147" s="196"/>
      <c r="T147" s="197"/>
      <c r="AT147" s="191" t="s">
        <v>145</v>
      </c>
      <c r="AU147" s="191" t="s">
        <v>81</v>
      </c>
      <c r="AV147" s="12" t="s">
        <v>81</v>
      </c>
      <c r="AW147" s="12" t="s">
        <v>35</v>
      </c>
      <c r="AX147" s="12" t="s">
        <v>71</v>
      </c>
      <c r="AY147" s="191" t="s">
        <v>136</v>
      </c>
    </row>
    <row r="148" spans="2:51" s="12" customFormat="1" x14ac:dyDescent="0.3">
      <c r="B148" s="190"/>
      <c r="D148" s="183" t="s">
        <v>145</v>
      </c>
      <c r="E148" s="191" t="s">
        <v>5</v>
      </c>
      <c r="F148" s="326" t="s">
        <v>1209</v>
      </c>
      <c r="H148" s="193"/>
      <c r="I148" s="194">
        <v>0</v>
      </c>
      <c r="L148" s="41"/>
      <c r="M148" s="195"/>
      <c r="N148" s="196"/>
      <c r="O148" s="196"/>
      <c r="P148" s="196"/>
      <c r="Q148" s="196"/>
      <c r="R148" s="196"/>
      <c r="S148" s="196"/>
      <c r="T148" s="197"/>
      <c r="AT148" s="191" t="s">
        <v>145</v>
      </c>
      <c r="AU148" s="191" t="s">
        <v>81</v>
      </c>
      <c r="AV148" s="12" t="s">
        <v>81</v>
      </c>
      <c r="AW148" s="12" t="s">
        <v>35</v>
      </c>
      <c r="AX148" s="12" t="s">
        <v>71</v>
      </c>
      <c r="AY148" s="191" t="s">
        <v>136</v>
      </c>
    </row>
    <row r="149" spans="2:51" s="12" customFormat="1" x14ac:dyDescent="0.3">
      <c r="B149" s="190"/>
      <c r="D149" s="183" t="s">
        <v>145</v>
      </c>
      <c r="E149" s="191" t="s">
        <v>5</v>
      </c>
      <c r="F149" s="326" t="s">
        <v>1210</v>
      </c>
      <c r="H149" s="315">
        <f>(6.4+5.37+0.75+6.55+14.5+4.05+3.2)*2.79</f>
        <v>113.8878</v>
      </c>
      <c r="I149" s="194">
        <v>0</v>
      </c>
      <c r="L149" s="41"/>
      <c r="M149" s="195"/>
      <c r="N149" s="196"/>
      <c r="O149" s="196"/>
      <c r="P149" s="196"/>
      <c r="Q149" s="196"/>
      <c r="R149" s="196"/>
      <c r="S149" s="196"/>
      <c r="T149" s="197"/>
      <c r="AT149" s="191" t="s">
        <v>145</v>
      </c>
      <c r="AU149" s="191" t="s">
        <v>81</v>
      </c>
      <c r="AV149" s="12" t="s">
        <v>81</v>
      </c>
      <c r="AW149" s="12" t="s">
        <v>35</v>
      </c>
      <c r="AX149" s="12" t="s">
        <v>71</v>
      </c>
      <c r="AY149" s="191" t="s">
        <v>136</v>
      </c>
    </row>
    <row r="150" spans="2:51" s="12" customFormat="1" x14ac:dyDescent="0.3">
      <c r="B150" s="190"/>
      <c r="D150" s="183" t="s">
        <v>145</v>
      </c>
      <c r="E150" s="191" t="s">
        <v>5</v>
      </c>
      <c r="F150" s="326" t="s">
        <v>1211</v>
      </c>
      <c r="G150" s="327"/>
      <c r="H150" s="315">
        <f>-((1.5*1.5)+(1.75*0.25))</f>
        <v>-2.6875</v>
      </c>
      <c r="I150" s="194">
        <v>0</v>
      </c>
      <c r="L150" s="41"/>
      <c r="M150" s="195"/>
      <c r="N150" s="196"/>
      <c r="O150" s="196"/>
      <c r="P150" s="196"/>
      <c r="Q150" s="196"/>
      <c r="R150" s="196"/>
      <c r="S150" s="196"/>
      <c r="T150" s="197"/>
      <c r="AT150" s="191" t="s">
        <v>145</v>
      </c>
      <c r="AU150" s="191" t="s">
        <v>81</v>
      </c>
      <c r="AV150" s="12" t="s">
        <v>81</v>
      </c>
      <c r="AW150" s="12" t="s">
        <v>35</v>
      </c>
      <c r="AX150" s="12" t="s">
        <v>71</v>
      </c>
      <c r="AY150" s="191" t="s">
        <v>136</v>
      </c>
    </row>
    <row r="151" spans="2:51" s="12" customFormat="1" x14ac:dyDescent="0.3">
      <c r="B151" s="190"/>
      <c r="D151" s="183" t="s">
        <v>145</v>
      </c>
      <c r="E151" s="191" t="s">
        <v>5</v>
      </c>
      <c r="F151" s="326" t="s">
        <v>1212</v>
      </c>
      <c r="G151" s="327"/>
      <c r="H151" s="315">
        <f>-((1*1)+(1.25*0.25))</f>
        <v>-1.3125</v>
      </c>
      <c r="I151" s="194">
        <v>0</v>
      </c>
      <c r="L151" s="41"/>
      <c r="M151" s="195"/>
      <c r="N151" s="196"/>
      <c r="O151" s="196"/>
      <c r="P151" s="196"/>
      <c r="Q151" s="196"/>
      <c r="R151" s="196"/>
      <c r="S151" s="196"/>
      <c r="T151" s="197"/>
      <c r="AT151" s="191" t="s">
        <v>145</v>
      </c>
      <c r="AU151" s="191" t="s">
        <v>81</v>
      </c>
      <c r="AV151" s="12" t="s">
        <v>81</v>
      </c>
      <c r="AW151" s="12" t="s">
        <v>35</v>
      </c>
      <c r="AX151" s="12" t="s">
        <v>71</v>
      </c>
      <c r="AY151" s="191" t="s">
        <v>136</v>
      </c>
    </row>
    <row r="152" spans="2:51" s="12" customFormat="1" x14ac:dyDescent="0.3">
      <c r="B152" s="190"/>
      <c r="D152" s="183" t="s">
        <v>145</v>
      </c>
      <c r="E152" s="191" t="s">
        <v>5</v>
      </c>
      <c r="F152" s="326" t="s">
        <v>1207</v>
      </c>
      <c r="G152" s="327"/>
      <c r="H152" s="315">
        <f>-((0.625*0.625)+(1*0.25))*3</f>
        <v>-1.921875</v>
      </c>
      <c r="I152" s="194">
        <v>0</v>
      </c>
      <c r="L152" s="41"/>
      <c r="M152" s="195"/>
      <c r="N152" s="196"/>
      <c r="O152" s="196"/>
      <c r="P152" s="196"/>
      <c r="Q152" s="196"/>
      <c r="R152" s="196"/>
      <c r="S152" s="196"/>
      <c r="T152" s="197"/>
      <c r="AT152" s="191" t="s">
        <v>145</v>
      </c>
      <c r="AU152" s="191" t="s">
        <v>81</v>
      </c>
      <c r="AV152" s="12" t="s">
        <v>81</v>
      </c>
      <c r="AW152" s="12" t="s">
        <v>35</v>
      </c>
      <c r="AX152" s="12" t="s">
        <v>71</v>
      </c>
      <c r="AY152" s="191" t="s">
        <v>136</v>
      </c>
    </row>
    <row r="153" spans="2:51" s="12" customFormat="1" x14ac:dyDescent="0.3">
      <c r="B153" s="190"/>
      <c r="D153" s="183" t="s">
        <v>145</v>
      </c>
      <c r="E153" s="191" t="s">
        <v>5</v>
      </c>
      <c r="F153" s="326" t="s">
        <v>1213</v>
      </c>
      <c r="G153" s="327"/>
      <c r="H153" s="315">
        <f>-((1.05*2.19)+(1.5*0.25))*3</f>
        <v>-8.0235000000000003</v>
      </c>
      <c r="I153" s="194">
        <v>0</v>
      </c>
      <c r="L153" s="41"/>
      <c r="M153" s="195"/>
      <c r="N153" s="196"/>
      <c r="O153" s="196"/>
      <c r="P153" s="196"/>
      <c r="Q153" s="196"/>
      <c r="R153" s="196"/>
      <c r="S153" s="196"/>
      <c r="T153" s="197"/>
      <c r="AT153" s="191" t="s">
        <v>145</v>
      </c>
      <c r="AU153" s="191" t="s">
        <v>81</v>
      </c>
      <c r="AV153" s="12" t="s">
        <v>81</v>
      </c>
      <c r="AW153" s="12" t="s">
        <v>35</v>
      </c>
      <c r="AX153" s="12" t="s">
        <v>71</v>
      </c>
      <c r="AY153" s="191" t="s">
        <v>136</v>
      </c>
    </row>
    <row r="154" spans="2:51" s="12" customFormat="1" x14ac:dyDescent="0.3">
      <c r="B154" s="190"/>
      <c r="D154" s="183" t="s">
        <v>145</v>
      </c>
      <c r="E154" s="191" t="s">
        <v>5</v>
      </c>
      <c r="F154" s="326" t="s">
        <v>1214</v>
      </c>
      <c r="H154" s="193"/>
      <c r="I154" s="194">
        <v>0</v>
      </c>
      <c r="L154" s="41"/>
      <c r="M154" s="195"/>
      <c r="N154" s="196"/>
      <c r="O154" s="196"/>
      <c r="P154" s="196"/>
      <c r="Q154" s="196"/>
      <c r="R154" s="196"/>
      <c r="S154" s="196"/>
      <c r="T154" s="197"/>
      <c r="AT154" s="191" t="s">
        <v>145</v>
      </c>
      <c r="AU154" s="191" t="s">
        <v>81</v>
      </c>
      <c r="AV154" s="12" t="s">
        <v>81</v>
      </c>
      <c r="AW154" s="12" t="s">
        <v>35</v>
      </c>
      <c r="AX154" s="12" t="s">
        <v>71</v>
      </c>
      <c r="AY154" s="191" t="s">
        <v>136</v>
      </c>
    </row>
    <row r="155" spans="2:51" s="12" customFormat="1" x14ac:dyDescent="0.3">
      <c r="B155" s="190"/>
      <c r="D155" s="183" t="s">
        <v>145</v>
      </c>
      <c r="E155" s="191" t="s">
        <v>5</v>
      </c>
      <c r="F155" s="326" t="s">
        <v>1215</v>
      </c>
      <c r="H155" s="193"/>
      <c r="I155" s="194">
        <v>0</v>
      </c>
      <c r="L155" s="41"/>
      <c r="M155" s="195"/>
      <c r="N155" s="196"/>
      <c r="O155" s="196"/>
      <c r="P155" s="196"/>
      <c r="Q155" s="196"/>
      <c r="R155" s="196"/>
      <c r="S155" s="196"/>
      <c r="T155" s="197"/>
      <c r="AT155" s="191" t="s">
        <v>145</v>
      </c>
      <c r="AU155" s="191" t="s">
        <v>81</v>
      </c>
      <c r="AV155" s="12" t="s">
        <v>81</v>
      </c>
      <c r="AW155" s="12" t="s">
        <v>35</v>
      </c>
      <c r="AX155" s="12" t="s">
        <v>71</v>
      </c>
      <c r="AY155" s="191" t="s">
        <v>136</v>
      </c>
    </row>
    <row r="156" spans="2:51" s="12" customFormat="1" x14ac:dyDescent="0.3">
      <c r="B156" s="190"/>
      <c r="D156" s="183" t="s">
        <v>145</v>
      </c>
      <c r="E156" s="191" t="s">
        <v>5</v>
      </c>
      <c r="F156" s="326" t="s">
        <v>1216</v>
      </c>
      <c r="H156" s="315">
        <f>(5*0.195+(5*1)/2)+(9.1*1.16+(9.1*1)/2)+(9.1*0.195+(9.1*1)/2)+(5*1.195+(5*1)/2)</f>
        <v>33.380499999999998</v>
      </c>
      <c r="I156" s="194">
        <v>0</v>
      </c>
      <c r="L156" s="41"/>
      <c r="M156" s="195"/>
      <c r="N156" s="196"/>
      <c r="O156" s="196"/>
      <c r="P156" s="196"/>
      <c r="Q156" s="196"/>
      <c r="R156" s="196"/>
      <c r="S156" s="196"/>
      <c r="T156" s="197"/>
      <c r="AT156" s="191" t="s">
        <v>145</v>
      </c>
      <c r="AU156" s="191" t="s">
        <v>81</v>
      </c>
      <c r="AV156" s="12" t="s">
        <v>81</v>
      </c>
      <c r="AW156" s="12" t="s">
        <v>35</v>
      </c>
      <c r="AX156" s="12" t="s">
        <v>71</v>
      </c>
      <c r="AY156" s="191" t="s">
        <v>136</v>
      </c>
    </row>
    <row r="157" spans="2:51" s="12" customFormat="1" x14ac:dyDescent="0.3">
      <c r="B157" s="190"/>
      <c r="D157" s="183" t="s">
        <v>145</v>
      </c>
      <c r="E157" s="191"/>
      <c r="F157" s="326" t="s">
        <v>1217</v>
      </c>
      <c r="H157" s="315">
        <f>-((1.25*1.25)+(1.5*0.25))</f>
        <v>-1.9375</v>
      </c>
      <c r="I157" s="194">
        <v>0</v>
      </c>
      <c r="L157" s="41"/>
      <c r="M157" s="195"/>
      <c r="N157" s="328"/>
      <c r="O157" s="328"/>
      <c r="P157" s="328"/>
      <c r="Q157" s="328"/>
      <c r="R157" s="328"/>
      <c r="S157" s="328"/>
      <c r="T157" s="197"/>
      <c r="AT157" s="191"/>
      <c r="AU157" s="191"/>
      <c r="AY157" s="191"/>
    </row>
    <row r="158" spans="2:51" s="12" customFormat="1" x14ac:dyDescent="0.3">
      <c r="B158" s="190"/>
      <c r="D158" s="183" t="s">
        <v>145</v>
      </c>
      <c r="E158" s="191"/>
      <c r="F158" s="326" t="s">
        <v>1218</v>
      </c>
      <c r="H158" s="193"/>
      <c r="I158" s="194">
        <v>0</v>
      </c>
      <c r="L158" s="41"/>
      <c r="M158" s="195"/>
      <c r="N158" s="328"/>
      <c r="O158" s="328"/>
      <c r="P158" s="328"/>
      <c r="Q158" s="328"/>
      <c r="R158" s="328"/>
      <c r="S158" s="328"/>
      <c r="T158" s="197"/>
      <c r="AT158" s="191"/>
      <c r="AU158" s="191"/>
      <c r="AY158" s="191"/>
    </row>
    <row r="159" spans="2:51" s="12" customFormat="1" ht="16.5" customHeight="1" x14ac:dyDescent="0.3">
      <c r="B159" s="190"/>
      <c r="D159" s="183" t="s">
        <v>145</v>
      </c>
      <c r="E159" s="191"/>
      <c r="F159" s="326" t="s">
        <v>1220</v>
      </c>
      <c r="H159" s="315">
        <f>(5*2.04+(5*1)/2)+(9.1*3.04+(9.1*1)/2)+(9.1*2.04+(9.1*1)/2)+(5*3.04+(5*1)/2)+(4.5*1.04)*2</f>
        <v>95.088000000000008</v>
      </c>
      <c r="I159" s="194">
        <v>0</v>
      </c>
      <c r="L159" s="41"/>
      <c r="M159" s="195"/>
      <c r="N159" s="328"/>
      <c r="O159" s="328"/>
      <c r="P159" s="328"/>
      <c r="Q159" s="328"/>
      <c r="R159" s="328"/>
      <c r="S159" s="328"/>
      <c r="T159" s="197"/>
      <c r="AT159" s="191"/>
      <c r="AU159" s="191"/>
      <c r="AY159" s="191"/>
    </row>
    <row r="160" spans="2:51" s="12" customFormat="1" x14ac:dyDescent="0.3">
      <c r="B160" s="190"/>
      <c r="D160" s="183" t="s">
        <v>145</v>
      </c>
      <c r="E160" s="191"/>
      <c r="F160" s="326" t="s">
        <v>1219</v>
      </c>
      <c r="H160" s="315">
        <f>-((1.8*2.1)+(2.25*0.25)+(1*1)*2+(1.25*0.25)*2+(1.8*1.8)+(2.25*0.25))</f>
        <v>-10.77</v>
      </c>
      <c r="I160" s="194">
        <v>0</v>
      </c>
      <c r="L160" s="41"/>
      <c r="M160" s="195"/>
      <c r="N160" s="328"/>
      <c r="O160" s="328"/>
      <c r="P160" s="328"/>
      <c r="Q160" s="328"/>
      <c r="R160" s="328"/>
      <c r="S160" s="328"/>
      <c r="T160" s="197"/>
      <c r="AT160" s="191"/>
      <c r="AU160" s="191"/>
      <c r="AY160" s="191"/>
    </row>
    <row r="161" spans="2:65" s="11" customFormat="1" x14ac:dyDescent="0.3">
      <c r="B161" s="182"/>
      <c r="D161" s="183" t="s">
        <v>145</v>
      </c>
      <c r="E161" s="184" t="s">
        <v>5</v>
      </c>
      <c r="F161" s="185" t="s">
        <v>217</v>
      </c>
      <c r="H161" s="184" t="s">
        <v>5</v>
      </c>
      <c r="I161" s="186">
        <v>0</v>
      </c>
      <c r="L161" s="41"/>
      <c r="M161" s="187"/>
      <c r="N161" s="188"/>
      <c r="O161" s="188"/>
      <c r="P161" s="188"/>
      <c r="Q161" s="188"/>
      <c r="R161" s="188"/>
      <c r="S161" s="188"/>
      <c r="T161" s="189"/>
      <c r="AT161" s="184" t="s">
        <v>145</v>
      </c>
      <c r="AU161" s="184" t="s">
        <v>81</v>
      </c>
      <c r="AV161" s="11" t="s">
        <v>79</v>
      </c>
      <c r="AW161" s="11" t="s">
        <v>35</v>
      </c>
      <c r="AX161" s="11" t="s">
        <v>71</v>
      </c>
      <c r="AY161" s="184" t="s">
        <v>136</v>
      </c>
    </row>
    <row r="162" spans="2:65" s="12" customFormat="1" x14ac:dyDescent="0.3">
      <c r="B162" s="190"/>
      <c r="D162" s="183" t="s">
        <v>145</v>
      </c>
      <c r="E162" s="191" t="s">
        <v>5</v>
      </c>
      <c r="F162" s="312" t="s">
        <v>1205</v>
      </c>
      <c r="H162" s="193"/>
      <c r="I162" s="194">
        <v>0</v>
      </c>
      <c r="L162" s="41"/>
      <c r="M162" s="195"/>
      <c r="N162" s="196"/>
      <c r="O162" s="196"/>
      <c r="P162" s="196"/>
      <c r="Q162" s="196"/>
      <c r="R162" s="196"/>
      <c r="S162" s="196"/>
      <c r="T162" s="197"/>
      <c r="AT162" s="191" t="s">
        <v>145</v>
      </c>
      <c r="AU162" s="191" t="s">
        <v>81</v>
      </c>
      <c r="AV162" s="12" t="s">
        <v>81</v>
      </c>
      <c r="AW162" s="12" t="s">
        <v>35</v>
      </c>
      <c r="AX162" s="12" t="s">
        <v>71</v>
      </c>
      <c r="AY162" s="191" t="s">
        <v>136</v>
      </c>
    </row>
    <row r="163" spans="2:65" s="12" customFormat="1" x14ac:dyDescent="0.3">
      <c r="B163" s="190"/>
      <c r="D163" s="183" t="s">
        <v>145</v>
      </c>
      <c r="E163" s="191" t="s">
        <v>5</v>
      </c>
      <c r="F163" s="312" t="s">
        <v>1221</v>
      </c>
      <c r="H163" s="315">
        <f>(1.2+1.7)*2.92</f>
        <v>8.468</v>
      </c>
      <c r="I163" s="194">
        <v>0</v>
      </c>
      <c r="L163" s="41"/>
      <c r="M163" s="195"/>
      <c r="N163" s="196"/>
      <c r="O163" s="196"/>
      <c r="P163" s="196"/>
      <c r="Q163" s="196"/>
      <c r="R163" s="196"/>
      <c r="S163" s="196"/>
      <c r="T163" s="197"/>
      <c r="AT163" s="191" t="s">
        <v>145</v>
      </c>
      <c r="AU163" s="191" t="s">
        <v>81</v>
      </c>
      <c r="AV163" s="12" t="s">
        <v>81</v>
      </c>
      <c r="AW163" s="12" t="s">
        <v>35</v>
      </c>
      <c r="AX163" s="12" t="s">
        <v>71</v>
      </c>
      <c r="AY163" s="191" t="s">
        <v>136</v>
      </c>
    </row>
    <row r="164" spans="2:65" s="12" customFormat="1" x14ac:dyDescent="0.3">
      <c r="B164" s="190"/>
      <c r="D164" s="183" t="s">
        <v>145</v>
      </c>
      <c r="E164" s="191" t="s">
        <v>5</v>
      </c>
      <c r="F164" s="312" t="s">
        <v>1209</v>
      </c>
      <c r="H164" s="193"/>
      <c r="I164" s="194">
        <v>0</v>
      </c>
      <c r="L164" s="41"/>
      <c r="M164" s="195"/>
      <c r="N164" s="196"/>
      <c r="O164" s="196"/>
      <c r="P164" s="196"/>
      <c r="Q164" s="196"/>
      <c r="R164" s="196"/>
      <c r="S164" s="196"/>
      <c r="T164" s="197"/>
      <c r="AT164" s="191" t="s">
        <v>145</v>
      </c>
      <c r="AU164" s="191" t="s">
        <v>81</v>
      </c>
      <c r="AV164" s="12" t="s">
        <v>81</v>
      </c>
      <c r="AW164" s="12" t="s">
        <v>35</v>
      </c>
      <c r="AX164" s="12" t="s">
        <v>71</v>
      </c>
      <c r="AY164" s="191" t="s">
        <v>136</v>
      </c>
    </row>
    <row r="165" spans="2:65" s="12" customFormat="1" x14ac:dyDescent="0.3">
      <c r="B165" s="190"/>
      <c r="D165" s="183" t="s">
        <v>145</v>
      </c>
      <c r="E165" s="191" t="s">
        <v>5</v>
      </c>
      <c r="F165" s="312" t="s">
        <v>1222</v>
      </c>
      <c r="H165" s="315">
        <f>(9.1*2+4.5)*2.79</f>
        <v>63.332999999999998</v>
      </c>
      <c r="I165" s="194">
        <v>0</v>
      </c>
      <c r="L165" s="41"/>
      <c r="M165" s="195"/>
      <c r="N165" s="196"/>
      <c r="O165" s="196"/>
      <c r="P165" s="196"/>
      <c r="Q165" s="196"/>
      <c r="R165" s="196"/>
      <c r="S165" s="196"/>
      <c r="T165" s="197"/>
      <c r="AT165" s="191" t="s">
        <v>145</v>
      </c>
      <c r="AU165" s="191" t="s">
        <v>81</v>
      </c>
      <c r="AV165" s="12" t="s">
        <v>81</v>
      </c>
      <c r="AW165" s="12" t="s">
        <v>35</v>
      </c>
      <c r="AX165" s="12" t="s">
        <v>71</v>
      </c>
      <c r="AY165" s="191" t="s">
        <v>136</v>
      </c>
    </row>
    <row r="166" spans="2:65" s="12" customFormat="1" x14ac:dyDescent="0.3">
      <c r="B166" s="190"/>
      <c r="D166" s="183" t="s">
        <v>145</v>
      </c>
      <c r="E166" s="191" t="s">
        <v>5</v>
      </c>
      <c r="F166" s="326" t="s">
        <v>1223</v>
      </c>
      <c r="H166" s="315">
        <f>-((1*2.02)+1.25*0.25)</f>
        <v>-2.3325</v>
      </c>
      <c r="I166" s="194">
        <v>0</v>
      </c>
      <c r="L166" s="41"/>
      <c r="M166" s="195"/>
      <c r="N166" s="196"/>
      <c r="O166" s="196"/>
      <c r="P166" s="196"/>
      <c r="Q166" s="196"/>
      <c r="R166" s="196"/>
      <c r="S166" s="196"/>
      <c r="T166" s="197"/>
      <c r="AT166" s="191" t="s">
        <v>145</v>
      </c>
      <c r="AU166" s="191" t="s">
        <v>81</v>
      </c>
      <c r="AV166" s="12" t="s">
        <v>81</v>
      </c>
      <c r="AW166" s="12" t="s">
        <v>35</v>
      </c>
      <c r="AX166" s="12" t="s">
        <v>71</v>
      </c>
      <c r="AY166" s="191" t="s">
        <v>136</v>
      </c>
    </row>
    <row r="167" spans="2:65" s="1" customFormat="1" ht="16.5" customHeight="1" x14ac:dyDescent="0.3">
      <c r="B167" s="169"/>
      <c r="C167" s="170" t="s">
        <v>219</v>
      </c>
      <c r="D167" s="170" t="s">
        <v>138</v>
      </c>
      <c r="E167" s="171" t="s">
        <v>220</v>
      </c>
      <c r="F167" s="172" t="s">
        <v>221</v>
      </c>
      <c r="G167" s="173" t="s">
        <v>222</v>
      </c>
      <c r="H167" s="320">
        <v>16</v>
      </c>
      <c r="I167" s="175">
        <v>270.25</v>
      </c>
      <c r="J167" s="176">
        <f>ROUND(I167*H167,2)</f>
        <v>4324</v>
      </c>
      <c r="K167" s="172" t="s">
        <v>142</v>
      </c>
      <c r="L167" s="41"/>
      <c r="M167" s="177" t="s">
        <v>5</v>
      </c>
      <c r="N167" s="178" t="s">
        <v>42</v>
      </c>
      <c r="O167" s="42"/>
      <c r="P167" s="179">
        <f>O167*H167</f>
        <v>0</v>
      </c>
      <c r="Q167" s="179">
        <v>2.2780000000000002E-2</v>
      </c>
      <c r="R167" s="179">
        <f>Q167*H167</f>
        <v>0.36448000000000003</v>
      </c>
      <c r="S167" s="179">
        <v>0</v>
      </c>
      <c r="T167" s="180">
        <f>S167*H167</f>
        <v>0</v>
      </c>
      <c r="AR167" s="24" t="s">
        <v>143</v>
      </c>
      <c r="AT167" s="24" t="s">
        <v>138</v>
      </c>
      <c r="AU167" s="24" t="s">
        <v>81</v>
      </c>
      <c r="AY167" s="24" t="s">
        <v>136</v>
      </c>
      <c r="BE167" s="181">
        <f>IF(N167="základní",J167,0)</f>
        <v>4324</v>
      </c>
      <c r="BF167" s="181">
        <f>IF(N167="snížená",J167,0)</f>
        <v>0</v>
      </c>
      <c r="BG167" s="181">
        <f>IF(N167="zákl. přenesená",J167,0)</f>
        <v>0</v>
      </c>
      <c r="BH167" s="181">
        <f>IF(N167="sníž. přenesená",J167,0)</f>
        <v>0</v>
      </c>
      <c r="BI167" s="181">
        <f>IF(N167="nulová",J167,0)</f>
        <v>0</v>
      </c>
      <c r="BJ167" s="24" t="s">
        <v>79</v>
      </c>
      <c r="BK167" s="181">
        <f>ROUND(I167*H167,2)</f>
        <v>4324</v>
      </c>
      <c r="BL167" s="24" t="s">
        <v>143</v>
      </c>
      <c r="BM167" s="24" t="s">
        <v>223</v>
      </c>
    </row>
    <row r="168" spans="2:65" s="1" customFormat="1" ht="16.5" customHeight="1" x14ac:dyDescent="0.3">
      <c r="B168" s="169"/>
      <c r="C168" s="170" t="s">
        <v>224</v>
      </c>
      <c r="D168" s="170" t="s">
        <v>138</v>
      </c>
      <c r="E168" s="171" t="s">
        <v>225</v>
      </c>
      <c r="F168" s="172" t="s">
        <v>226</v>
      </c>
      <c r="G168" s="173" t="s">
        <v>222</v>
      </c>
      <c r="H168" s="313">
        <f>H169</f>
        <v>18</v>
      </c>
      <c r="I168" s="175">
        <v>402.49999999999994</v>
      </c>
      <c r="J168" s="176">
        <f>ROUND(I168*H168,2)</f>
        <v>7245</v>
      </c>
      <c r="K168" s="172" t="s">
        <v>142</v>
      </c>
      <c r="L168" s="41"/>
      <c r="M168" s="177" t="s">
        <v>5</v>
      </c>
      <c r="N168" s="178" t="s">
        <v>42</v>
      </c>
      <c r="O168" s="42"/>
      <c r="P168" s="179">
        <f>O168*H168</f>
        <v>0</v>
      </c>
      <c r="Q168" s="179">
        <v>3.6549999999999999E-2</v>
      </c>
      <c r="R168" s="179">
        <f>Q168*H168</f>
        <v>0.65789999999999993</v>
      </c>
      <c r="S168" s="179">
        <v>0</v>
      </c>
      <c r="T168" s="180">
        <f>S168*H168</f>
        <v>0</v>
      </c>
      <c r="AR168" s="24" t="s">
        <v>143</v>
      </c>
      <c r="AT168" s="24" t="s">
        <v>138</v>
      </c>
      <c r="AU168" s="24" t="s">
        <v>81</v>
      </c>
      <c r="AY168" s="24" t="s">
        <v>136</v>
      </c>
      <c r="BE168" s="181">
        <f>IF(N168="základní",J168,0)</f>
        <v>7245</v>
      </c>
      <c r="BF168" s="181">
        <f>IF(N168="snížená",J168,0)</f>
        <v>0</v>
      </c>
      <c r="BG168" s="181">
        <f>IF(N168="zákl. přenesená",J168,0)</f>
        <v>0</v>
      </c>
      <c r="BH168" s="181">
        <f>IF(N168="sníž. přenesená",J168,0)</f>
        <v>0</v>
      </c>
      <c r="BI168" s="181">
        <f>IF(N168="nulová",J168,0)</f>
        <v>0</v>
      </c>
      <c r="BJ168" s="24" t="s">
        <v>79</v>
      </c>
      <c r="BK168" s="181">
        <f>ROUND(I168*H168,2)</f>
        <v>7245</v>
      </c>
      <c r="BL168" s="24" t="s">
        <v>143</v>
      </c>
      <c r="BM168" s="24" t="s">
        <v>227</v>
      </c>
    </row>
    <row r="169" spans="2:65" s="12" customFormat="1" x14ac:dyDescent="0.3">
      <c r="B169" s="190"/>
      <c r="D169" s="183" t="s">
        <v>145</v>
      </c>
      <c r="E169" s="191" t="s">
        <v>5</v>
      </c>
      <c r="F169" s="312" t="s">
        <v>1224</v>
      </c>
      <c r="H169" s="315">
        <v>18</v>
      </c>
      <c r="I169" s="194">
        <v>0</v>
      </c>
      <c r="L169" s="41"/>
      <c r="M169" s="195"/>
      <c r="N169" s="196"/>
      <c r="O169" s="196"/>
      <c r="P169" s="196"/>
      <c r="Q169" s="196"/>
      <c r="R169" s="196"/>
      <c r="S169" s="196"/>
      <c r="T169" s="197"/>
      <c r="AT169" s="191" t="s">
        <v>145</v>
      </c>
      <c r="AU169" s="191" t="s">
        <v>81</v>
      </c>
      <c r="AV169" s="12" t="s">
        <v>81</v>
      </c>
      <c r="AW169" s="12" t="s">
        <v>35</v>
      </c>
      <c r="AX169" s="12" t="s">
        <v>79</v>
      </c>
      <c r="AY169" s="191" t="s">
        <v>136</v>
      </c>
    </row>
    <row r="170" spans="2:65" s="1" customFormat="1" ht="16.5" customHeight="1" x14ac:dyDescent="0.3">
      <c r="B170" s="169"/>
      <c r="C170" s="170" t="s">
        <v>10</v>
      </c>
      <c r="D170" s="170" t="s">
        <v>138</v>
      </c>
      <c r="E170" s="171" t="s">
        <v>228</v>
      </c>
      <c r="F170" s="172" t="s">
        <v>229</v>
      </c>
      <c r="G170" s="173" t="s">
        <v>222</v>
      </c>
      <c r="H170" s="313">
        <f>H171</f>
        <v>24</v>
      </c>
      <c r="I170" s="175">
        <v>494.49999999999994</v>
      </c>
      <c r="J170" s="176">
        <f>ROUND(I170*H170,2)</f>
        <v>11868</v>
      </c>
      <c r="K170" s="172" t="s">
        <v>142</v>
      </c>
      <c r="L170" s="41"/>
      <c r="M170" s="177" t="s">
        <v>5</v>
      </c>
      <c r="N170" s="178" t="s">
        <v>42</v>
      </c>
      <c r="O170" s="42"/>
      <c r="P170" s="179">
        <f>O170*H170</f>
        <v>0</v>
      </c>
      <c r="Q170" s="179">
        <v>4.555E-2</v>
      </c>
      <c r="R170" s="179">
        <f>Q170*H170</f>
        <v>1.0931999999999999</v>
      </c>
      <c r="S170" s="179">
        <v>0</v>
      </c>
      <c r="T170" s="180">
        <f>S170*H170</f>
        <v>0</v>
      </c>
      <c r="AR170" s="24" t="s">
        <v>143</v>
      </c>
      <c r="AT170" s="24" t="s">
        <v>138</v>
      </c>
      <c r="AU170" s="24" t="s">
        <v>81</v>
      </c>
      <c r="AY170" s="24" t="s">
        <v>136</v>
      </c>
      <c r="BE170" s="181">
        <f>IF(N170="základní",J170,0)</f>
        <v>11868</v>
      </c>
      <c r="BF170" s="181">
        <f>IF(N170="snížená",J170,0)</f>
        <v>0</v>
      </c>
      <c r="BG170" s="181">
        <f>IF(N170="zákl. přenesená",J170,0)</f>
        <v>0</v>
      </c>
      <c r="BH170" s="181">
        <f>IF(N170="sníž. přenesená",J170,0)</f>
        <v>0</v>
      </c>
      <c r="BI170" s="181">
        <f>IF(N170="nulová",J170,0)</f>
        <v>0</v>
      </c>
      <c r="BJ170" s="24" t="s">
        <v>79</v>
      </c>
      <c r="BK170" s="181">
        <f>ROUND(I170*H170,2)</f>
        <v>11868</v>
      </c>
      <c r="BL170" s="24" t="s">
        <v>143</v>
      </c>
      <c r="BM170" s="24" t="s">
        <v>230</v>
      </c>
    </row>
    <row r="171" spans="2:65" s="12" customFormat="1" x14ac:dyDescent="0.3">
      <c r="B171" s="190"/>
      <c r="D171" s="183" t="s">
        <v>145</v>
      </c>
      <c r="E171" s="191" t="s">
        <v>5</v>
      </c>
      <c r="F171" s="312" t="s">
        <v>1225</v>
      </c>
      <c r="H171" s="315">
        <v>24</v>
      </c>
      <c r="I171" s="194">
        <v>0</v>
      </c>
      <c r="L171" s="41"/>
      <c r="M171" s="195"/>
      <c r="N171" s="196"/>
      <c r="O171" s="196"/>
      <c r="P171" s="196"/>
      <c r="Q171" s="196"/>
      <c r="R171" s="196"/>
      <c r="S171" s="196"/>
      <c r="T171" s="197"/>
      <c r="AT171" s="191" t="s">
        <v>145</v>
      </c>
      <c r="AU171" s="191" t="s">
        <v>81</v>
      </c>
      <c r="AV171" s="12" t="s">
        <v>81</v>
      </c>
      <c r="AW171" s="12" t="s">
        <v>35</v>
      </c>
      <c r="AX171" s="12" t="s">
        <v>79</v>
      </c>
      <c r="AY171" s="191" t="s">
        <v>136</v>
      </c>
    </row>
    <row r="172" spans="2:65" s="1" customFormat="1" ht="16.5" customHeight="1" x14ac:dyDescent="0.3">
      <c r="B172" s="169"/>
      <c r="C172" s="170" t="s">
        <v>231</v>
      </c>
      <c r="D172" s="170" t="s">
        <v>138</v>
      </c>
      <c r="E172" s="171" t="s">
        <v>232</v>
      </c>
      <c r="F172" s="172" t="s">
        <v>233</v>
      </c>
      <c r="G172" s="173" t="s">
        <v>222</v>
      </c>
      <c r="H172" s="313">
        <f>H173</f>
        <v>3</v>
      </c>
      <c r="I172" s="175">
        <v>621</v>
      </c>
      <c r="J172" s="176">
        <f>ROUND(I172*H172,2)</f>
        <v>1863</v>
      </c>
      <c r="K172" s="172" t="s">
        <v>142</v>
      </c>
      <c r="L172" s="41"/>
      <c r="M172" s="177" t="s">
        <v>5</v>
      </c>
      <c r="N172" s="178" t="s">
        <v>42</v>
      </c>
      <c r="O172" s="42"/>
      <c r="P172" s="179">
        <f>O172*H172</f>
        <v>0</v>
      </c>
      <c r="Q172" s="179">
        <v>5.4550000000000001E-2</v>
      </c>
      <c r="R172" s="179">
        <f>Q172*H172</f>
        <v>0.16365000000000002</v>
      </c>
      <c r="S172" s="179">
        <v>0</v>
      </c>
      <c r="T172" s="180">
        <f>S172*H172</f>
        <v>0</v>
      </c>
      <c r="AR172" s="24" t="s">
        <v>143</v>
      </c>
      <c r="AT172" s="24" t="s">
        <v>138</v>
      </c>
      <c r="AU172" s="24" t="s">
        <v>81</v>
      </c>
      <c r="AY172" s="24" t="s">
        <v>136</v>
      </c>
      <c r="BE172" s="181">
        <f>IF(N172="základní",J172,0)</f>
        <v>1863</v>
      </c>
      <c r="BF172" s="181">
        <f>IF(N172="snížená",J172,0)</f>
        <v>0</v>
      </c>
      <c r="BG172" s="181">
        <f>IF(N172="zákl. přenesená",J172,0)</f>
        <v>0</v>
      </c>
      <c r="BH172" s="181">
        <f>IF(N172="sníž. přenesená",J172,0)</f>
        <v>0</v>
      </c>
      <c r="BI172" s="181">
        <f>IF(N172="nulová",J172,0)</f>
        <v>0</v>
      </c>
      <c r="BJ172" s="24" t="s">
        <v>79</v>
      </c>
      <c r="BK172" s="181">
        <f>ROUND(I172*H172,2)</f>
        <v>1863</v>
      </c>
      <c r="BL172" s="24" t="s">
        <v>143</v>
      </c>
      <c r="BM172" s="24" t="s">
        <v>234</v>
      </c>
    </row>
    <row r="173" spans="2:65" s="12" customFormat="1" x14ac:dyDescent="0.3">
      <c r="B173" s="190"/>
      <c r="D173" s="183" t="s">
        <v>145</v>
      </c>
      <c r="E173" s="191" t="s">
        <v>5</v>
      </c>
      <c r="F173" s="312" t="s">
        <v>1226</v>
      </c>
      <c r="H173" s="315">
        <v>3</v>
      </c>
      <c r="I173" s="194">
        <v>0</v>
      </c>
      <c r="L173" s="41"/>
      <c r="M173" s="195"/>
      <c r="N173" s="196"/>
      <c r="O173" s="196"/>
      <c r="P173" s="196"/>
      <c r="Q173" s="196"/>
      <c r="R173" s="196"/>
      <c r="S173" s="196"/>
      <c r="T173" s="197"/>
      <c r="AT173" s="191" t="s">
        <v>145</v>
      </c>
      <c r="AU173" s="191" t="s">
        <v>81</v>
      </c>
      <c r="AV173" s="12" t="s">
        <v>81</v>
      </c>
      <c r="AW173" s="12" t="s">
        <v>35</v>
      </c>
      <c r="AX173" s="12" t="s">
        <v>79</v>
      </c>
      <c r="AY173" s="191" t="s">
        <v>136</v>
      </c>
    </row>
    <row r="174" spans="2:65" s="1" customFormat="1" ht="16.5" customHeight="1" x14ac:dyDescent="0.3">
      <c r="B174" s="169"/>
      <c r="C174" s="170" t="s">
        <v>235</v>
      </c>
      <c r="D174" s="170" t="s">
        <v>138</v>
      </c>
      <c r="E174" s="171" t="s">
        <v>236</v>
      </c>
      <c r="F174" s="172" t="s">
        <v>237</v>
      </c>
      <c r="G174" s="173" t="s">
        <v>222</v>
      </c>
      <c r="H174" s="313">
        <f>H175</f>
        <v>12</v>
      </c>
      <c r="I174" s="175">
        <v>988.99999999999989</v>
      </c>
      <c r="J174" s="176">
        <f>ROUND(I174*H174,2)</f>
        <v>11868</v>
      </c>
      <c r="K174" s="172" t="s">
        <v>142</v>
      </c>
      <c r="L174" s="41"/>
      <c r="M174" s="177" t="s">
        <v>5</v>
      </c>
      <c r="N174" s="178" t="s">
        <v>42</v>
      </c>
      <c r="O174" s="42"/>
      <c r="P174" s="179">
        <f>O174*H174</f>
        <v>0</v>
      </c>
      <c r="Q174" s="179">
        <v>8.1850000000000006E-2</v>
      </c>
      <c r="R174" s="179">
        <f>Q174*H174</f>
        <v>0.98220000000000007</v>
      </c>
      <c r="S174" s="179">
        <v>0</v>
      </c>
      <c r="T174" s="180">
        <f>S174*H174</f>
        <v>0</v>
      </c>
      <c r="AR174" s="24" t="s">
        <v>143</v>
      </c>
      <c r="AT174" s="24" t="s">
        <v>138</v>
      </c>
      <c r="AU174" s="24" t="s">
        <v>81</v>
      </c>
      <c r="AY174" s="24" t="s">
        <v>136</v>
      </c>
      <c r="BE174" s="181">
        <f>IF(N174="základní",J174,0)</f>
        <v>11868</v>
      </c>
      <c r="BF174" s="181">
        <f>IF(N174="snížená",J174,0)</f>
        <v>0</v>
      </c>
      <c r="BG174" s="181">
        <f>IF(N174="zákl. přenesená",J174,0)</f>
        <v>0</v>
      </c>
      <c r="BH174" s="181">
        <f>IF(N174="sníž. přenesená",J174,0)</f>
        <v>0</v>
      </c>
      <c r="BI174" s="181">
        <f>IF(N174="nulová",J174,0)</f>
        <v>0</v>
      </c>
      <c r="BJ174" s="24" t="s">
        <v>79</v>
      </c>
      <c r="BK174" s="181">
        <f>ROUND(I174*H174,2)</f>
        <v>11868</v>
      </c>
      <c r="BL174" s="24" t="s">
        <v>143</v>
      </c>
      <c r="BM174" s="24" t="s">
        <v>238</v>
      </c>
    </row>
    <row r="175" spans="2:65" s="12" customFormat="1" x14ac:dyDescent="0.3">
      <c r="B175" s="190"/>
      <c r="D175" s="183" t="s">
        <v>145</v>
      </c>
      <c r="E175" s="191" t="s">
        <v>5</v>
      </c>
      <c r="F175" s="312" t="s">
        <v>1227</v>
      </c>
      <c r="H175" s="315">
        <v>12</v>
      </c>
      <c r="I175" s="194">
        <v>0</v>
      </c>
      <c r="J175" s="176">
        <f t="shared" ref="J175:J177" si="2">ROUND(I175*H175,2)</f>
        <v>0</v>
      </c>
      <c r="L175" s="41"/>
      <c r="M175" s="195"/>
      <c r="N175" s="196"/>
      <c r="O175" s="196"/>
      <c r="P175" s="196"/>
      <c r="Q175" s="196"/>
      <c r="R175" s="196"/>
      <c r="S175" s="196"/>
      <c r="T175" s="197"/>
      <c r="AT175" s="191" t="s">
        <v>145</v>
      </c>
      <c r="AU175" s="191" t="s">
        <v>81</v>
      </c>
      <c r="AV175" s="12" t="s">
        <v>81</v>
      </c>
      <c r="AW175" s="12" t="s">
        <v>35</v>
      </c>
      <c r="AX175" s="12" t="s">
        <v>79</v>
      </c>
      <c r="AY175" s="191" t="s">
        <v>136</v>
      </c>
    </row>
    <row r="176" spans="2:65" s="310" customFormat="1" ht="16.5" customHeight="1" x14ac:dyDescent="0.3">
      <c r="B176" s="169"/>
      <c r="C176" s="393"/>
      <c r="D176" s="170"/>
      <c r="E176" s="171"/>
      <c r="F176" s="172" t="s">
        <v>1544</v>
      </c>
      <c r="G176" s="173" t="s">
        <v>179</v>
      </c>
      <c r="H176" s="313">
        <f>H177</f>
        <v>19.875</v>
      </c>
      <c r="I176" s="175">
        <v>189.74999999999997</v>
      </c>
      <c r="J176" s="176">
        <f t="shared" si="2"/>
        <v>3771.28</v>
      </c>
      <c r="K176" s="172"/>
      <c r="L176" s="41"/>
      <c r="M176" s="177"/>
      <c r="N176" s="178"/>
      <c r="O176" s="311"/>
      <c r="P176" s="179"/>
      <c r="Q176" s="179"/>
      <c r="R176" s="179"/>
      <c r="S176" s="179"/>
      <c r="T176" s="180"/>
      <c r="AR176" s="24"/>
      <c r="AT176" s="24"/>
      <c r="AU176" s="24"/>
      <c r="AY176" s="24"/>
      <c r="BE176" s="181"/>
      <c r="BF176" s="181"/>
      <c r="BG176" s="181"/>
      <c r="BH176" s="181"/>
      <c r="BI176" s="181"/>
      <c r="BJ176" s="24"/>
      <c r="BK176" s="181"/>
      <c r="BL176" s="24"/>
      <c r="BM176" s="24"/>
    </row>
    <row r="177" spans="2:65" s="12" customFormat="1" x14ac:dyDescent="0.3">
      <c r="B177" s="190"/>
      <c r="D177" s="183"/>
      <c r="E177" s="191"/>
      <c r="F177" s="312" t="s">
        <v>1545</v>
      </c>
      <c r="H177" s="315">
        <f>(18*1+24*1.25+3*1.5+12*2.25)*0.25</f>
        <v>19.875</v>
      </c>
      <c r="I177" s="194">
        <v>0</v>
      </c>
      <c r="J177" s="176">
        <f t="shared" si="2"/>
        <v>0</v>
      </c>
      <c r="L177" s="41"/>
      <c r="M177" s="195"/>
      <c r="N177" s="196"/>
      <c r="O177" s="196"/>
      <c r="P177" s="196"/>
      <c r="Q177" s="196"/>
      <c r="R177" s="196"/>
      <c r="S177" s="196"/>
      <c r="T177" s="197"/>
      <c r="AT177" s="191"/>
      <c r="AU177" s="191"/>
      <c r="AY177" s="191"/>
    </row>
    <row r="178" spans="2:65" s="1" customFormat="1" ht="16.5" customHeight="1" x14ac:dyDescent="0.3">
      <c r="B178" s="169"/>
      <c r="C178" s="170" t="s">
        <v>239</v>
      </c>
      <c r="D178" s="170" t="s">
        <v>138</v>
      </c>
      <c r="E178" s="171" t="s">
        <v>240</v>
      </c>
      <c r="F178" s="172" t="s">
        <v>241</v>
      </c>
      <c r="G178" s="173" t="s">
        <v>179</v>
      </c>
      <c r="H178" s="320">
        <f>SUM(H179:H186)</f>
        <v>178.19110000000003</v>
      </c>
      <c r="I178" s="175">
        <v>690</v>
      </c>
      <c r="J178" s="176">
        <f>ROUND(I178*H178,2)</f>
        <v>122951.86</v>
      </c>
      <c r="K178" s="172" t="s">
        <v>142</v>
      </c>
      <c r="L178" s="41"/>
      <c r="M178" s="177" t="s">
        <v>5</v>
      </c>
      <c r="N178" s="178" t="s">
        <v>42</v>
      </c>
      <c r="O178" s="42"/>
      <c r="P178" s="179">
        <f>O178*H178</f>
        <v>0</v>
      </c>
      <c r="Q178" s="179">
        <v>8.7309999999999999E-2</v>
      </c>
      <c r="R178" s="179">
        <f>Q178*H178</f>
        <v>15.557864941000004</v>
      </c>
      <c r="S178" s="179">
        <v>0</v>
      </c>
      <c r="T178" s="180">
        <f>S178*H178</f>
        <v>0</v>
      </c>
      <c r="AR178" s="24" t="s">
        <v>143</v>
      </c>
      <c r="AT178" s="24" t="s">
        <v>138</v>
      </c>
      <c r="AU178" s="24" t="s">
        <v>81</v>
      </c>
      <c r="AY178" s="24" t="s">
        <v>136</v>
      </c>
      <c r="BE178" s="181">
        <f>IF(N178="základní",J178,0)</f>
        <v>122951.86</v>
      </c>
      <c r="BF178" s="181">
        <f>IF(N178="snížená",J178,0)</f>
        <v>0</v>
      </c>
      <c r="BG178" s="181">
        <f>IF(N178="zákl. přenesená",J178,0)</f>
        <v>0</v>
      </c>
      <c r="BH178" s="181">
        <f>IF(N178="sníž. přenesená",J178,0)</f>
        <v>0</v>
      </c>
      <c r="BI178" s="181">
        <f>IF(N178="nulová",J178,0)</f>
        <v>0</v>
      </c>
      <c r="BJ178" s="24" t="s">
        <v>79</v>
      </c>
      <c r="BK178" s="181">
        <f>ROUND(I178*H178,2)</f>
        <v>122951.86</v>
      </c>
      <c r="BL178" s="24" t="s">
        <v>143</v>
      </c>
      <c r="BM178" s="24" t="s">
        <v>242</v>
      </c>
    </row>
    <row r="179" spans="2:65" s="11" customFormat="1" x14ac:dyDescent="0.3">
      <c r="B179" s="182"/>
      <c r="D179" s="183" t="s">
        <v>145</v>
      </c>
      <c r="E179" s="184" t="s">
        <v>5</v>
      </c>
      <c r="F179" s="312" t="s">
        <v>1205</v>
      </c>
      <c r="G179" s="327"/>
      <c r="H179" s="314" t="s">
        <v>5</v>
      </c>
      <c r="I179" s="186">
        <v>0</v>
      </c>
      <c r="L179" s="41"/>
      <c r="M179" s="187"/>
      <c r="N179" s="188"/>
      <c r="O179" s="188"/>
      <c r="P179" s="188"/>
      <c r="Q179" s="188"/>
      <c r="R179" s="188"/>
      <c r="S179" s="188"/>
      <c r="T179" s="189"/>
      <c r="AT179" s="184" t="s">
        <v>145</v>
      </c>
      <c r="AU179" s="184" t="s">
        <v>81</v>
      </c>
      <c r="AV179" s="11" t="s">
        <v>79</v>
      </c>
      <c r="AW179" s="11" t="s">
        <v>35</v>
      </c>
      <c r="AX179" s="11" t="s">
        <v>71</v>
      </c>
      <c r="AY179" s="184" t="s">
        <v>136</v>
      </c>
    </row>
    <row r="180" spans="2:65" s="12" customFormat="1" x14ac:dyDescent="0.3">
      <c r="B180" s="190"/>
      <c r="D180" s="183" t="s">
        <v>145</v>
      </c>
      <c r="E180" s="191" t="s">
        <v>5</v>
      </c>
      <c r="F180" s="312" t="s">
        <v>1229</v>
      </c>
      <c r="G180" s="327"/>
      <c r="H180" s="315">
        <f>(2.25*2+4.2+1.45+2.14*2+2+2.375*2+4.5+1.05+2.5+1.7*2+3.15+2.25)*2.92</f>
        <v>111.0476</v>
      </c>
      <c r="I180" s="194">
        <v>0</v>
      </c>
      <c r="L180" s="41"/>
      <c r="M180" s="195"/>
      <c r="N180" s="196"/>
      <c r="O180" s="196"/>
      <c r="P180" s="196"/>
      <c r="Q180" s="196"/>
      <c r="R180" s="196"/>
      <c r="S180" s="196"/>
      <c r="T180" s="197"/>
      <c r="AT180" s="191" t="s">
        <v>145</v>
      </c>
      <c r="AU180" s="191" t="s">
        <v>81</v>
      </c>
      <c r="AV180" s="12" t="s">
        <v>81</v>
      </c>
      <c r="AW180" s="12" t="s">
        <v>35</v>
      </c>
      <c r="AX180" s="12" t="s">
        <v>71</v>
      </c>
      <c r="AY180" s="191" t="s">
        <v>136</v>
      </c>
    </row>
    <row r="181" spans="2:65" s="12" customFormat="1" x14ac:dyDescent="0.3">
      <c r="B181" s="190"/>
      <c r="D181" s="183" t="s">
        <v>145</v>
      </c>
      <c r="E181" s="191" t="s">
        <v>5</v>
      </c>
      <c r="F181" s="326" t="s">
        <v>1230</v>
      </c>
      <c r="G181" s="327"/>
      <c r="H181" s="315">
        <f>-((0.9*2.03*5)+(1*2.03)+(0.8*2.03)*3)</f>
        <v>-16.036999999999999</v>
      </c>
      <c r="I181" s="194">
        <v>0</v>
      </c>
      <c r="L181" s="41"/>
      <c r="M181" s="195"/>
      <c r="N181" s="196"/>
      <c r="O181" s="196"/>
      <c r="P181" s="196"/>
      <c r="Q181" s="196"/>
      <c r="R181" s="196"/>
      <c r="S181" s="196"/>
      <c r="T181" s="197"/>
      <c r="AT181" s="191" t="s">
        <v>145</v>
      </c>
      <c r="AU181" s="191" t="s">
        <v>81</v>
      </c>
      <c r="AV181" s="12" t="s">
        <v>81</v>
      </c>
      <c r="AW181" s="12" t="s">
        <v>35</v>
      </c>
      <c r="AX181" s="12" t="s">
        <v>71</v>
      </c>
      <c r="AY181" s="191" t="s">
        <v>136</v>
      </c>
    </row>
    <row r="182" spans="2:65" s="12" customFormat="1" x14ac:dyDescent="0.3">
      <c r="B182" s="190"/>
      <c r="D182" s="183" t="s">
        <v>145</v>
      </c>
      <c r="E182" s="191" t="s">
        <v>5</v>
      </c>
      <c r="F182" s="326" t="s">
        <v>1209</v>
      </c>
      <c r="G182" s="327"/>
      <c r="H182" s="315"/>
      <c r="I182" s="194">
        <v>0</v>
      </c>
      <c r="L182" s="41"/>
      <c r="M182" s="195"/>
      <c r="N182" s="196"/>
      <c r="O182" s="196"/>
      <c r="P182" s="196"/>
      <c r="Q182" s="196"/>
      <c r="R182" s="196"/>
      <c r="S182" s="196"/>
      <c r="T182" s="197"/>
      <c r="AT182" s="191" t="s">
        <v>145</v>
      </c>
      <c r="AU182" s="191" t="s">
        <v>81</v>
      </c>
      <c r="AV182" s="12" t="s">
        <v>81</v>
      </c>
      <c r="AW182" s="12" t="s">
        <v>35</v>
      </c>
      <c r="AX182" s="12" t="s">
        <v>71</v>
      </c>
      <c r="AY182" s="191" t="s">
        <v>136</v>
      </c>
    </row>
    <row r="183" spans="2:65" s="11" customFormat="1" x14ac:dyDescent="0.3">
      <c r="B183" s="182"/>
      <c r="D183" s="183" t="s">
        <v>145</v>
      </c>
      <c r="E183" s="184" t="s">
        <v>5</v>
      </c>
      <c r="F183" s="326" t="s">
        <v>1231</v>
      </c>
      <c r="G183" s="327"/>
      <c r="H183" s="332">
        <f>(4.5+2.1+4.5+2.1+3.75+3.5+2.1)*2.79</f>
        <v>62.914500000000004</v>
      </c>
      <c r="I183" s="186">
        <v>0</v>
      </c>
      <c r="L183" s="41"/>
      <c r="M183" s="187"/>
      <c r="N183" s="188"/>
      <c r="O183" s="188"/>
      <c r="P183" s="188"/>
      <c r="Q183" s="188"/>
      <c r="R183" s="188"/>
      <c r="S183" s="188"/>
      <c r="T183" s="189"/>
      <c r="AT183" s="184" t="s">
        <v>145</v>
      </c>
      <c r="AU183" s="184" t="s">
        <v>81</v>
      </c>
      <c r="AV183" s="11" t="s">
        <v>79</v>
      </c>
      <c r="AW183" s="11" t="s">
        <v>35</v>
      </c>
      <c r="AX183" s="11" t="s">
        <v>71</v>
      </c>
      <c r="AY183" s="184" t="s">
        <v>136</v>
      </c>
    </row>
    <row r="184" spans="2:65" s="12" customFormat="1" x14ac:dyDescent="0.3">
      <c r="B184" s="190"/>
      <c r="D184" s="183" t="s">
        <v>145</v>
      </c>
      <c r="E184" s="191" t="s">
        <v>5</v>
      </c>
      <c r="F184" s="326" t="s">
        <v>1232</v>
      </c>
      <c r="H184" s="315">
        <f>-((1*2.03)*2+(0.9*2.03)+(0.8*2.03)*3)</f>
        <v>-10.759</v>
      </c>
      <c r="I184" s="194">
        <v>0</v>
      </c>
      <c r="L184" s="41"/>
      <c r="M184" s="195"/>
      <c r="N184" s="196"/>
      <c r="O184" s="196"/>
      <c r="P184" s="196"/>
      <c r="Q184" s="196"/>
      <c r="R184" s="196"/>
      <c r="S184" s="196"/>
      <c r="T184" s="197"/>
      <c r="AT184" s="191" t="s">
        <v>145</v>
      </c>
      <c r="AU184" s="191" t="s">
        <v>81</v>
      </c>
      <c r="AV184" s="12" t="s">
        <v>81</v>
      </c>
      <c r="AW184" s="12" t="s">
        <v>35</v>
      </c>
      <c r="AX184" s="12" t="s">
        <v>71</v>
      </c>
      <c r="AY184" s="191" t="s">
        <v>136</v>
      </c>
    </row>
    <row r="185" spans="2:65" s="12" customFormat="1" x14ac:dyDescent="0.3">
      <c r="B185" s="190"/>
      <c r="D185" s="183" t="s">
        <v>145</v>
      </c>
      <c r="E185" s="191" t="s">
        <v>5</v>
      </c>
      <c r="F185" s="326" t="s">
        <v>1214</v>
      </c>
      <c r="G185" s="327"/>
      <c r="H185" s="315"/>
      <c r="I185" s="194">
        <v>0</v>
      </c>
      <c r="L185" s="41"/>
      <c r="M185" s="195"/>
      <c r="N185" s="196"/>
      <c r="O185" s="196"/>
      <c r="P185" s="196"/>
      <c r="Q185" s="196"/>
      <c r="R185" s="196"/>
      <c r="S185" s="196"/>
      <c r="T185" s="197"/>
      <c r="AT185" s="191" t="s">
        <v>145</v>
      </c>
      <c r="AU185" s="191" t="s">
        <v>81</v>
      </c>
      <c r="AV185" s="12" t="s">
        <v>81</v>
      </c>
      <c r="AW185" s="12" t="s">
        <v>35</v>
      </c>
      <c r="AX185" s="12" t="s">
        <v>71</v>
      </c>
      <c r="AY185" s="191" t="s">
        <v>136</v>
      </c>
    </row>
    <row r="186" spans="2:65" s="12" customFormat="1" x14ac:dyDescent="0.3">
      <c r="B186" s="190"/>
      <c r="D186" s="183" t="s">
        <v>145</v>
      </c>
      <c r="E186" s="191" t="s">
        <v>5</v>
      </c>
      <c r="F186" s="326" t="s">
        <v>1233</v>
      </c>
      <c r="G186" s="327"/>
      <c r="H186" s="315">
        <f>(4.5+2.1)*4+(1.1+0.75)*2.5</f>
        <v>31.024999999999999</v>
      </c>
      <c r="I186" s="194">
        <v>0</v>
      </c>
      <c r="L186" s="41"/>
      <c r="M186" s="195"/>
      <c r="N186" s="196"/>
      <c r="O186" s="196"/>
      <c r="P186" s="196"/>
      <c r="Q186" s="196"/>
      <c r="R186" s="196"/>
      <c r="S186" s="196"/>
      <c r="T186" s="197"/>
      <c r="AT186" s="191" t="s">
        <v>145</v>
      </c>
      <c r="AU186" s="191" t="s">
        <v>81</v>
      </c>
      <c r="AV186" s="12" t="s">
        <v>81</v>
      </c>
      <c r="AW186" s="12" t="s">
        <v>35</v>
      </c>
      <c r="AX186" s="12" t="s">
        <v>71</v>
      </c>
      <c r="AY186" s="191" t="s">
        <v>136</v>
      </c>
    </row>
    <row r="187" spans="2:65" s="1" customFormat="1" ht="16.5" customHeight="1" x14ac:dyDescent="0.3">
      <c r="B187" s="169"/>
      <c r="C187" s="170" t="s">
        <v>246</v>
      </c>
      <c r="D187" s="170" t="s">
        <v>138</v>
      </c>
      <c r="E187" s="171" t="s">
        <v>247</v>
      </c>
      <c r="F187" s="172" t="s">
        <v>248</v>
      </c>
      <c r="G187" s="173" t="s">
        <v>249</v>
      </c>
      <c r="H187" s="320">
        <f>SUM(H189:H191)</f>
        <v>60.58</v>
      </c>
      <c r="I187" s="175">
        <v>51.749999999999993</v>
      </c>
      <c r="J187" s="176">
        <f>ROUND(I187*H187,2)</f>
        <v>3135.02</v>
      </c>
      <c r="K187" s="172" t="s">
        <v>142</v>
      </c>
      <c r="L187" s="41"/>
      <c r="M187" s="177" t="s">
        <v>5</v>
      </c>
      <c r="N187" s="178" t="s">
        <v>42</v>
      </c>
      <c r="O187" s="42"/>
      <c r="P187" s="179">
        <f>O187*H187</f>
        <v>0</v>
      </c>
      <c r="Q187" s="179">
        <v>8.0000000000000007E-5</v>
      </c>
      <c r="R187" s="179">
        <f>Q187*H187</f>
        <v>4.8463999999999998E-3</v>
      </c>
      <c r="S187" s="179">
        <v>0</v>
      </c>
      <c r="T187" s="180">
        <f>S187*H187</f>
        <v>0</v>
      </c>
      <c r="AR187" s="24" t="s">
        <v>143</v>
      </c>
      <c r="AT187" s="24" t="s">
        <v>138</v>
      </c>
      <c r="AU187" s="24" t="s">
        <v>81</v>
      </c>
      <c r="AY187" s="24" t="s">
        <v>136</v>
      </c>
      <c r="BE187" s="181">
        <f>IF(N187="základní",J187,0)</f>
        <v>3135.02</v>
      </c>
      <c r="BF187" s="181">
        <f>IF(N187="snížená",J187,0)</f>
        <v>0</v>
      </c>
      <c r="BG187" s="181">
        <f>IF(N187="zákl. přenesená",J187,0)</f>
        <v>0</v>
      </c>
      <c r="BH187" s="181">
        <f>IF(N187="sníž. přenesená",J187,0)</f>
        <v>0</v>
      </c>
      <c r="BI187" s="181">
        <f>IF(N187="nulová",J187,0)</f>
        <v>0</v>
      </c>
      <c r="BJ187" s="24" t="s">
        <v>79</v>
      </c>
      <c r="BK187" s="181">
        <f>ROUND(I187*H187,2)</f>
        <v>3135.02</v>
      </c>
      <c r="BL187" s="24" t="s">
        <v>143</v>
      </c>
      <c r="BM187" s="24" t="s">
        <v>250</v>
      </c>
    </row>
    <row r="188" spans="2:65" s="11" customFormat="1" x14ac:dyDescent="0.3">
      <c r="B188" s="182"/>
      <c r="D188" s="183" t="s">
        <v>145</v>
      </c>
      <c r="E188" s="184" t="s">
        <v>5</v>
      </c>
      <c r="F188" s="312" t="s">
        <v>243</v>
      </c>
      <c r="G188" s="327"/>
      <c r="H188" s="314" t="s">
        <v>5</v>
      </c>
      <c r="I188" s="186">
        <v>0</v>
      </c>
      <c r="L188" s="41"/>
      <c r="M188" s="187"/>
      <c r="N188" s="188"/>
      <c r="O188" s="188"/>
      <c r="P188" s="188"/>
      <c r="Q188" s="188"/>
      <c r="R188" s="188"/>
      <c r="S188" s="188"/>
      <c r="T188" s="189"/>
      <c r="AT188" s="184" t="s">
        <v>145</v>
      </c>
      <c r="AU188" s="184" t="s">
        <v>81</v>
      </c>
      <c r="AV188" s="11" t="s">
        <v>79</v>
      </c>
      <c r="AW188" s="11" t="s">
        <v>35</v>
      </c>
      <c r="AX188" s="11" t="s">
        <v>71</v>
      </c>
      <c r="AY188" s="184" t="s">
        <v>136</v>
      </c>
    </row>
    <row r="189" spans="2:65" s="12" customFormat="1" x14ac:dyDescent="0.3">
      <c r="B189" s="190"/>
      <c r="D189" s="183" t="s">
        <v>145</v>
      </c>
      <c r="E189" s="191" t="s">
        <v>5</v>
      </c>
      <c r="F189" s="312" t="s">
        <v>1228</v>
      </c>
      <c r="G189" s="327"/>
      <c r="H189" s="315">
        <f>2.25*2+4.2+1.45+2.14*2+2+2.375*2+4.5+1.05+2.5+1.7*2+3.15+2.25</f>
        <v>38.03</v>
      </c>
      <c r="I189" s="194">
        <v>0</v>
      </c>
      <c r="L189" s="41"/>
      <c r="M189" s="195"/>
      <c r="N189" s="196"/>
      <c r="O189" s="196"/>
      <c r="P189" s="196"/>
      <c r="Q189" s="196"/>
      <c r="R189" s="196"/>
      <c r="S189" s="196"/>
      <c r="T189" s="197"/>
      <c r="AT189" s="191" t="s">
        <v>145</v>
      </c>
      <c r="AU189" s="191" t="s">
        <v>81</v>
      </c>
      <c r="AV189" s="12" t="s">
        <v>81</v>
      </c>
      <c r="AW189" s="12" t="s">
        <v>35</v>
      </c>
      <c r="AX189" s="12" t="s">
        <v>71</v>
      </c>
      <c r="AY189" s="191" t="s">
        <v>136</v>
      </c>
    </row>
    <row r="190" spans="2:65" s="11" customFormat="1" x14ac:dyDescent="0.3">
      <c r="B190" s="182"/>
      <c r="D190" s="183" t="s">
        <v>145</v>
      </c>
      <c r="E190" s="184" t="s">
        <v>5</v>
      </c>
      <c r="F190" s="312" t="s">
        <v>244</v>
      </c>
      <c r="G190" s="327"/>
      <c r="H190" s="314" t="s">
        <v>5</v>
      </c>
      <c r="I190" s="186">
        <v>0</v>
      </c>
      <c r="L190" s="41"/>
      <c r="M190" s="187"/>
      <c r="N190" s="188"/>
      <c r="O190" s="188"/>
      <c r="P190" s="188"/>
      <c r="Q190" s="188"/>
      <c r="R190" s="188"/>
      <c r="S190" s="188"/>
      <c r="T190" s="189"/>
      <c r="AT190" s="184" t="s">
        <v>145</v>
      </c>
      <c r="AU190" s="184" t="s">
        <v>81</v>
      </c>
      <c r="AV190" s="11" t="s">
        <v>79</v>
      </c>
      <c r="AW190" s="11" t="s">
        <v>35</v>
      </c>
      <c r="AX190" s="11" t="s">
        <v>71</v>
      </c>
      <c r="AY190" s="184" t="s">
        <v>136</v>
      </c>
    </row>
    <row r="191" spans="2:65" s="12" customFormat="1" x14ac:dyDescent="0.3">
      <c r="B191" s="190"/>
      <c r="D191" s="183" t="s">
        <v>145</v>
      </c>
      <c r="E191" s="191" t="s">
        <v>5</v>
      </c>
      <c r="F191" s="312" t="s">
        <v>1234</v>
      </c>
      <c r="G191" s="327"/>
      <c r="H191" s="315">
        <f>4.5+2.1+4.5+2.1+3.75+3.5+2.1</f>
        <v>22.55</v>
      </c>
      <c r="I191" s="194">
        <v>0</v>
      </c>
      <c r="L191" s="41"/>
      <c r="M191" s="195"/>
      <c r="N191" s="196"/>
      <c r="O191" s="196"/>
      <c r="P191" s="196"/>
      <c r="Q191" s="196"/>
      <c r="R191" s="196"/>
      <c r="S191" s="196"/>
      <c r="T191" s="197"/>
      <c r="AT191" s="191" t="s">
        <v>145</v>
      </c>
      <c r="AU191" s="191" t="s">
        <v>81</v>
      </c>
      <c r="AV191" s="12" t="s">
        <v>81</v>
      </c>
      <c r="AW191" s="12" t="s">
        <v>35</v>
      </c>
      <c r="AX191" s="12" t="s">
        <v>71</v>
      </c>
      <c r="AY191" s="191" t="s">
        <v>136</v>
      </c>
    </row>
    <row r="192" spans="2:65" s="1" customFormat="1" ht="16.5" customHeight="1" x14ac:dyDescent="0.3">
      <c r="B192" s="169"/>
      <c r="C192" s="170" t="s">
        <v>251</v>
      </c>
      <c r="D192" s="170" t="s">
        <v>138</v>
      </c>
      <c r="E192" s="171" t="s">
        <v>252</v>
      </c>
      <c r="F192" s="172" t="s">
        <v>253</v>
      </c>
      <c r="G192" s="173" t="s">
        <v>249</v>
      </c>
      <c r="H192" s="320">
        <f>H193</f>
        <v>80.209999999999994</v>
      </c>
      <c r="I192" s="175">
        <v>51.749999999999993</v>
      </c>
      <c r="J192" s="176">
        <f>ROUND(I192*H192,2)</f>
        <v>4150.87</v>
      </c>
      <c r="K192" s="172" t="s">
        <v>142</v>
      </c>
      <c r="L192" s="41"/>
      <c r="M192" s="177" t="s">
        <v>5</v>
      </c>
      <c r="N192" s="178" t="s">
        <v>42</v>
      </c>
      <c r="O192" s="42"/>
      <c r="P192" s="179">
        <f>O192*H192</f>
        <v>0</v>
      </c>
      <c r="Q192" s="179">
        <v>1.2E-4</v>
      </c>
      <c r="R192" s="179">
        <f>Q192*H192</f>
        <v>9.6251999999999987E-3</v>
      </c>
      <c r="S192" s="179">
        <v>0</v>
      </c>
      <c r="T192" s="180">
        <f>S192*H192</f>
        <v>0</v>
      </c>
      <c r="AR192" s="24" t="s">
        <v>143</v>
      </c>
      <c r="AT192" s="24" t="s">
        <v>138</v>
      </c>
      <c r="AU192" s="24" t="s">
        <v>81</v>
      </c>
      <c r="AY192" s="24" t="s">
        <v>136</v>
      </c>
      <c r="BE192" s="181">
        <f>IF(N192="základní",J192,0)</f>
        <v>4150.87</v>
      </c>
      <c r="BF192" s="181">
        <f>IF(N192="snížená",J192,0)</f>
        <v>0</v>
      </c>
      <c r="BG192" s="181">
        <f>IF(N192="zákl. přenesená",J192,0)</f>
        <v>0</v>
      </c>
      <c r="BH192" s="181">
        <f>IF(N192="sníž. přenesená",J192,0)</f>
        <v>0</v>
      </c>
      <c r="BI192" s="181">
        <f>IF(N192="nulová",J192,0)</f>
        <v>0</v>
      </c>
      <c r="BJ192" s="24" t="s">
        <v>79</v>
      </c>
      <c r="BK192" s="181">
        <f>ROUND(I192*H192,2)</f>
        <v>4150.87</v>
      </c>
      <c r="BL192" s="24" t="s">
        <v>143</v>
      </c>
      <c r="BM192" s="24" t="s">
        <v>254</v>
      </c>
    </row>
    <row r="193" spans="2:65" s="12" customFormat="1" x14ac:dyDescent="0.3">
      <c r="B193" s="190"/>
      <c r="D193" s="183" t="s">
        <v>145</v>
      </c>
      <c r="E193" s="191" t="s">
        <v>5</v>
      </c>
      <c r="F193" s="312" t="s">
        <v>1235</v>
      </c>
      <c r="G193" s="327"/>
      <c r="H193" s="315">
        <f>2.92*15+2.79*9+2.1*3+2.5*2</f>
        <v>80.209999999999994</v>
      </c>
      <c r="I193" s="194">
        <v>0</v>
      </c>
      <c r="L193" s="41"/>
      <c r="M193" s="195"/>
      <c r="N193" s="196"/>
      <c r="O193" s="196"/>
      <c r="P193" s="196"/>
      <c r="Q193" s="196"/>
      <c r="R193" s="196"/>
      <c r="S193" s="196"/>
      <c r="T193" s="197"/>
      <c r="AT193" s="191" t="s">
        <v>145</v>
      </c>
      <c r="AU193" s="191" t="s">
        <v>81</v>
      </c>
      <c r="AV193" s="12" t="s">
        <v>81</v>
      </c>
      <c r="AW193" s="12" t="s">
        <v>35</v>
      </c>
      <c r="AX193" s="12" t="s">
        <v>79</v>
      </c>
      <c r="AY193" s="191" t="s">
        <v>136</v>
      </c>
    </row>
    <row r="194" spans="2:65" s="1" customFormat="1" ht="16.5" customHeight="1" x14ac:dyDescent="0.3">
      <c r="B194" s="169"/>
      <c r="C194" s="170" t="s">
        <v>255</v>
      </c>
      <c r="D194" s="170" t="s">
        <v>138</v>
      </c>
      <c r="E194" s="171" t="s">
        <v>256</v>
      </c>
      <c r="F194" s="172" t="s">
        <v>257</v>
      </c>
      <c r="G194" s="173" t="s">
        <v>179</v>
      </c>
      <c r="H194" s="313">
        <f>H195</f>
        <v>27.1355</v>
      </c>
      <c r="I194" s="175">
        <v>902.74999999999989</v>
      </c>
      <c r="J194" s="176">
        <f>ROUND(I194*H194,2)</f>
        <v>24496.57</v>
      </c>
      <c r="K194" s="172" t="s">
        <v>142</v>
      </c>
      <c r="L194" s="41"/>
      <c r="M194" s="177" t="s">
        <v>5</v>
      </c>
      <c r="N194" s="178" t="s">
        <v>42</v>
      </c>
      <c r="O194" s="42"/>
      <c r="P194" s="179">
        <f>O194*H194</f>
        <v>0</v>
      </c>
      <c r="Q194" s="179">
        <v>0.10745</v>
      </c>
      <c r="R194" s="179">
        <f>Q194*H194</f>
        <v>2.9157094750000003</v>
      </c>
      <c r="S194" s="179">
        <v>0</v>
      </c>
      <c r="T194" s="180">
        <f>S194*H194</f>
        <v>0</v>
      </c>
      <c r="AR194" s="24" t="s">
        <v>143</v>
      </c>
      <c r="AT194" s="24" t="s">
        <v>138</v>
      </c>
      <c r="AU194" s="24" t="s">
        <v>81</v>
      </c>
      <c r="AY194" s="24" t="s">
        <v>136</v>
      </c>
      <c r="BE194" s="181">
        <f>IF(N194="základní",J194,0)</f>
        <v>24496.57</v>
      </c>
      <c r="BF194" s="181">
        <f>IF(N194="snížená",J194,0)</f>
        <v>0</v>
      </c>
      <c r="BG194" s="181">
        <f>IF(N194="zákl. přenesená",J194,0)</f>
        <v>0</v>
      </c>
      <c r="BH194" s="181">
        <f>IF(N194="sníž. přenesená",J194,0)</f>
        <v>0</v>
      </c>
      <c r="BI194" s="181">
        <f>IF(N194="nulová",J194,0)</f>
        <v>0</v>
      </c>
      <c r="BJ194" s="24" t="s">
        <v>79</v>
      </c>
      <c r="BK194" s="181">
        <f>ROUND(I194*H194,2)</f>
        <v>24496.57</v>
      </c>
      <c r="BL194" s="24" t="s">
        <v>143</v>
      </c>
      <c r="BM194" s="24" t="s">
        <v>258</v>
      </c>
    </row>
    <row r="195" spans="2:65" s="12" customFormat="1" x14ac:dyDescent="0.3">
      <c r="B195" s="190"/>
      <c r="D195" s="183" t="s">
        <v>145</v>
      </c>
      <c r="E195" s="191" t="s">
        <v>5</v>
      </c>
      <c r="F195" s="312" t="s">
        <v>1236</v>
      </c>
      <c r="H195" s="315">
        <f>1*1.2+0.95*1.2+0.95*2.92+0.95*1.2*2+(2.45*2.79)*2+1.45*2.79+0.675*3</f>
        <v>27.1355</v>
      </c>
      <c r="I195" s="194">
        <v>0</v>
      </c>
      <c r="L195" s="41"/>
      <c r="M195" s="195"/>
      <c r="N195" s="196"/>
      <c r="O195" s="196"/>
      <c r="P195" s="196"/>
      <c r="Q195" s="196"/>
      <c r="R195" s="196"/>
      <c r="S195" s="196"/>
      <c r="T195" s="197"/>
      <c r="AT195" s="191" t="s">
        <v>145</v>
      </c>
      <c r="AU195" s="191" t="s">
        <v>81</v>
      </c>
      <c r="AV195" s="12" t="s">
        <v>81</v>
      </c>
      <c r="AW195" s="12" t="s">
        <v>35</v>
      </c>
      <c r="AX195" s="12" t="s">
        <v>79</v>
      </c>
      <c r="AY195" s="191" t="s">
        <v>136</v>
      </c>
    </row>
    <row r="196" spans="2:65" s="10" customFormat="1" ht="29.85" customHeight="1" x14ac:dyDescent="0.3">
      <c r="B196" s="156"/>
      <c r="D196" s="157" t="s">
        <v>70</v>
      </c>
      <c r="E196" s="167" t="s">
        <v>143</v>
      </c>
      <c r="F196" s="167" t="s">
        <v>259</v>
      </c>
      <c r="I196" s="159">
        <v>0</v>
      </c>
      <c r="J196" s="168">
        <f>SUM(J197:J270)</f>
        <v>1123782.5399999996</v>
      </c>
      <c r="L196" s="41"/>
      <c r="M196" s="161"/>
      <c r="N196" s="162"/>
      <c r="O196" s="162"/>
      <c r="P196" s="163">
        <f>SUM(P197:P251)</f>
        <v>0</v>
      </c>
      <c r="Q196" s="162"/>
      <c r="R196" s="163">
        <f>SUM(R197:R251)</f>
        <v>160.06481504374995</v>
      </c>
      <c r="S196" s="162"/>
      <c r="T196" s="164">
        <f>SUM(T197:T251)</f>
        <v>0</v>
      </c>
      <c r="AR196" s="157" t="s">
        <v>79</v>
      </c>
      <c r="AT196" s="165" t="s">
        <v>70</v>
      </c>
      <c r="AU196" s="165" t="s">
        <v>79</v>
      </c>
      <c r="AY196" s="157" t="s">
        <v>136</v>
      </c>
      <c r="BK196" s="166">
        <f>SUM(BK197:BK251)</f>
        <v>960408.10999999987</v>
      </c>
    </row>
    <row r="197" spans="2:65" s="1" customFormat="1" ht="16.5" customHeight="1" x14ac:dyDescent="0.3">
      <c r="B197" s="169"/>
      <c r="C197" s="170" t="s">
        <v>260</v>
      </c>
      <c r="D197" s="170" t="s">
        <v>138</v>
      </c>
      <c r="E197" s="171" t="s">
        <v>261</v>
      </c>
      <c r="F197" s="172" t="s">
        <v>262</v>
      </c>
      <c r="G197" s="173" t="s">
        <v>141</v>
      </c>
      <c r="H197" s="320">
        <f>H199+H202+H205+H207+H200</f>
        <v>55.479874999999993</v>
      </c>
      <c r="I197" s="175">
        <v>3472.9999999999995</v>
      </c>
      <c r="J197" s="176">
        <f>ROUND(I197*H197,2)</f>
        <v>192681.61</v>
      </c>
      <c r="K197" s="172" t="s">
        <v>142</v>
      </c>
      <c r="L197" s="41"/>
      <c r="M197" s="177" t="s">
        <v>5</v>
      </c>
      <c r="N197" s="178" t="s">
        <v>42</v>
      </c>
      <c r="O197" s="42"/>
      <c r="P197" s="179">
        <f>O197*H197</f>
        <v>0</v>
      </c>
      <c r="Q197" s="179">
        <v>2.45343</v>
      </c>
      <c r="R197" s="179">
        <f>Q197*H197</f>
        <v>136.11598972124997</v>
      </c>
      <c r="S197" s="179">
        <v>0</v>
      </c>
      <c r="T197" s="180">
        <f>S197*H197</f>
        <v>0</v>
      </c>
      <c r="AR197" s="24" t="s">
        <v>143</v>
      </c>
      <c r="AT197" s="24" t="s">
        <v>138</v>
      </c>
      <c r="AU197" s="24" t="s">
        <v>81</v>
      </c>
      <c r="AY197" s="24" t="s">
        <v>136</v>
      </c>
      <c r="BE197" s="181">
        <f>IF(N197="základní",J197,0)</f>
        <v>192681.61</v>
      </c>
      <c r="BF197" s="181">
        <f>IF(N197="snížená",J197,0)</f>
        <v>0</v>
      </c>
      <c r="BG197" s="181">
        <f>IF(N197="zákl. přenesená",J197,0)</f>
        <v>0</v>
      </c>
      <c r="BH197" s="181">
        <f>IF(N197="sníž. přenesená",J197,0)</f>
        <v>0</v>
      </c>
      <c r="BI197" s="181">
        <f>IF(N197="nulová",J197,0)</f>
        <v>0</v>
      </c>
      <c r="BJ197" s="24" t="s">
        <v>79</v>
      </c>
      <c r="BK197" s="181">
        <f>ROUND(I197*H197,2)</f>
        <v>192681.61</v>
      </c>
      <c r="BL197" s="24" t="s">
        <v>143</v>
      </c>
      <c r="BM197" s="24" t="s">
        <v>263</v>
      </c>
    </row>
    <row r="198" spans="2:65" s="11" customFormat="1" x14ac:dyDescent="0.3">
      <c r="B198" s="182"/>
      <c r="D198" s="183" t="s">
        <v>145</v>
      </c>
      <c r="E198" s="184" t="s">
        <v>5</v>
      </c>
      <c r="F198" s="312" t="s">
        <v>264</v>
      </c>
      <c r="H198" s="184" t="s">
        <v>5</v>
      </c>
      <c r="I198" s="186">
        <v>0</v>
      </c>
      <c r="L198" s="41"/>
      <c r="M198" s="187"/>
      <c r="N198" s="188"/>
      <c r="O198" s="188"/>
      <c r="P198" s="188"/>
      <c r="Q198" s="188"/>
      <c r="R198" s="188"/>
      <c r="S198" s="188"/>
      <c r="T198" s="189"/>
      <c r="AT198" s="184" t="s">
        <v>145</v>
      </c>
      <c r="AU198" s="184" t="s">
        <v>81</v>
      </c>
      <c r="AV198" s="11" t="s">
        <v>79</v>
      </c>
      <c r="AW198" s="11" t="s">
        <v>35</v>
      </c>
      <c r="AX198" s="11" t="s">
        <v>71</v>
      </c>
      <c r="AY198" s="184" t="s">
        <v>136</v>
      </c>
    </row>
    <row r="199" spans="2:65" s="12" customFormat="1" x14ac:dyDescent="0.3">
      <c r="B199" s="190"/>
      <c r="D199" s="183" t="s">
        <v>145</v>
      </c>
      <c r="E199" s="191" t="s">
        <v>5</v>
      </c>
      <c r="F199" s="312" t="s">
        <v>1237</v>
      </c>
      <c r="H199" s="315">
        <f>14.5*9.6*0.18</f>
        <v>25.055999999999997</v>
      </c>
      <c r="I199" s="194">
        <v>0</v>
      </c>
      <c r="L199" s="41"/>
      <c r="M199" s="195"/>
      <c r="N199" s="196"/>
      <c r="O199" s="196"/>
      <c r="P199" s="196"/>
      <c r="Q199" s="196"/>
      <c r="R199" s="196"/>
      <c r="S199" s="196"/>
      <c r="T199" s="197"/>
      <c r="AT199" s="191" t="s">
        <v>145</v>
      </c>
      <c r="AU199" s="191" t="s">
        <v>81</v>
      </c>
      <c r="AV199" s="12" t="s">
        <v>81</v>
      </c>
      <c r="AW199" s="12" t="s">
        <v>35</v>
      </c>
      <c r="AX199" s="12" t="s">
        <v>71</v>
      </c>
      <c r="AY199" s="191" t="s">
        <v>136</v>
      </c>
    </row>
    <row r="200" spans="2:65" s="12" customFormat="1" x14ac:dyDescent="0.3">
      <c r="B200" s="190"/>
      <c r="D200" s="183"/>
      <c r="E200" s="333" t="s">
        <v>1246</v>
      </c>
      <c r="F200" s="312" t="s">
        <v>1247</v>
      </c>
      <c r="H200" s="315">
        <f>(9.6*4+14.5*2+5)*0.25*0.5</f>
        <v>9.0500000000000007</v>
      </c>
      <c r="I200" s="194">
        <v>0</v>
      </c>
      <c r="L200" s="41"/>
      <c r="M200" s="195"/>
      <c r="N200" s="328"/>
      <c r="O200" s="328"/>
      <c r="P200" s="328"/>
      <c r="Q200" s="328"/>
      <c r="R200" s="328"/>
      <c r="S200" s="328"/>
      <c r="T200" s="197"/>
      <c r="AT200" s="191"/>
      <c r="AU200" s="191"/>
      <c r="AY200" s="191"/>
    </row>
    <row r="201" spans="2:65" s="11" customFormat="1" x14ac:dyDescent="0.3">
      <c r="B201" s="182"/>
      <c r="D201" s="183" t="s">
        <v>145</v>
      </c>
      <c r="E201" s="184" t="s">
        <v>5</v>
      </c>
      <c r="F201" s="185" t="s">
        <v>265</v>
      </c>
      <c r="H201" s="184" t="s">
        <v>5</v>
      </c>
      <c r="I201" s="186">
        <v>0</v>
      </c>
      <c r="L201" s="41"/>
      <c r="M201" s="187"/>
      <c r="N201" s="188"/>
      <c r="O201" s="188"/>
      <c r="P201" s="188"/>
      <c r="Q201" s="188"/>
      <c r="R201" s="188"/>
      <c r="S201" s="188"/>
      <c r="T201" s="189"/>
      <c r="AT201" s="184" t="s">
        <v>145</v>
      </c>
      <c r="AU201" s="184" t="s">
        <v>81</v>
      </c>
      <c r="AV201" s="11" t="s">
        <v>79</v>
      </c>
      <c r="AW201" s="11" t="s">
        <v>35</v>
      </c>
      <c r="AX201" s="11" t="s">
        <v>71</v>
      </c>
      <c r="AY201" s="184" t="s">
        <v>136</v>
      </c>
    </row>
    <row r="202" spans="2:65" s="12" customFormat="1" x14ac:dyDescent="0.3">
      <c r="B202" s="190"/>
      <c r="D202" s="183" t="s">
        <v>145</v>
      </c>
      <c r="E202" s="191" t="s">
        <v>5</v>
      </c>
      <c r="F202" s="312" t="s">
        <v>1238</v>
      </c>
      <c r="H202" s="315">
        <f>9.75*9.6*0.18</f>
        <v>16.847999999999999</v>
      </c>
      <c r="I202" s="194">
        <v>0</v>
      </c>
      <c r="L202" s="41"/>
      <c r="M202" s="195"/>
      <c r="N202" s="196"/>
      <c r="O202" s="196"/>
      <c r="P202" s="196"/>
      <c r="Q202" s="196"/>
      <c r="R202" s="196"/>
      <c r="S202" s="196"/>
      <c r="T202" s="197"/>
      <c r="AT202" s="191" t="s">
        <v>145</v>
      </c>
      <c r="AU202" s="191" t="s">
        <v>81</v>
      </c>
      <c r="AV202" s="12" t="s">
        <v>81</v>
      </c>
      <c r="AW202" s="12" t="s">
        <v>35</v>
      </c>
      <c r="AX202" s="12" t="s">
        <v>71</v>
      </c>
      <c r="AY202" s="191" t="s">
        <v>136</v>
      </c>
    </row>
    <row r="203" spans="2:65" s="12" customFormat="1" x14ac:dyDescent="0.3">
      <c r="B203" s="190"/>
      <c r="D203" s="183" t="s">
        <v>145</v>
      </c>
      <c r="E203" s="333" t="s">
        <v>1239</v>
      </c>
      <c r="F203" s="192" t="s">
        <v>266</v>
      </c>
      <c r="H203" s="193">
        <v>2.42</v>
      </c>
      <c r="I203" s="194">
        <v>0</v>
      </c>
      <c r="L203" s="41"/>
      <c r="M203" s="195"/>
      <c r="N203" s="196"/>
      <c r="O203" s="196"/>
      <c r="P203" s="196"/>
      <c r="Q203" s="196"/>
      <c r="R203" s="196"/>
      <c r="S203" s="196"/>
      <c r="T203" s="197"/>
      <c r="AT203" s="191" t="s">
        <v>145</v>
      </c>
      <c r="AU203" s="191" t="s">
        <v>81</v>
      </c>
      <c r="AV203" s="12" t="s">
        <v>81</v>
      </c>
      <c r="AW203" s="12" t="s">
        <v>35</v>
      </c>
      <c r="AX203" s="12" t="s">
        <v>71</v>
      </c>
      <c r="AY203" s="191" t="s">
        <v>136</v>
      </c>
    </row>
    <row r="204" spans="2:65" s="11" customFormat="1" x14ac:dyDescent="0.3">
      <c r="B204" s="182"/>
      <c r="D204" s="183" t="s">
        <v>145</v>
      </c>
      <c r="E204" s="184" t="s">
        <v>5</v>
      </c>
      <c r="F204" s="185" t="s">
        <v>267</v>
      </c>
      <c r="H204" s="184" t="s">
        <v>5</v>
      </c>
      <c r="I204" s="186">
        <v>0</v>
      </c>
      <c r="L204" s="41"/>
      <c r="M204" s="187"/>
      <c r="N204" s="188"/>
      <c r="O204" s="188"/>
      <c r="P204" s="188"/>
      <c r="Q204" s="188"/>
      <c r="R204" s="188"/>
      <c r="S204" s="188"/>
      <c r="T204" s="189"/>
      <c r="AT204" s="184" t="s">
        <v>145</v>
      </c>
      <c r="AU204" s="184" t="s">
        <v>81</v>
      </c>
      <c r="AV204" s="11" t="s">
        <v>79</v>
      </c>
      <c r="AW204" s="11" t="s">
        <v>35</v>
      </c>
      <c r="AX204" s="11" t="s">
        <v>71</v>
      </c>
      <c r="AY204" s="184" t="s">
        <v>136</v>
      </c>
    </row>
    <row r="205" spans="2:65" s="12" customFormat="1" x14ac:dyDescent="0.3">
      <c r="B205" s="190"/>
      <c r="D205" s="183" t="s">
        <v>145</v>
      </c>
      <c r="E205" s="191" t="s">
        <v>5</v>
      </c>
      <c r="F205" s="312" t="s">
        <v>1241</v>
      </c>
      <c r="H205" s="315">
        <f>1.75*0.18*2.7*3</f>
        <v>2.5514999999999999</v>
      </c>
      <c r="I205" s="194">
        <v>0</v>
      </c>
      <c r="L205" s="41"/>
      <c r="M205" s="195"/>
      <c r="N205" s="196"/>
      <c r="O205" s="196"/>
      <c r="P205" s="196"/>
      <c r="Q205" s="196"/>
      <c r="R205" s="196"/>
      <c r="S205" s="196"/>
      <c r="T205" s="197"/>
      <c r="AT205" s="191" t="s">
        <v>145</v>
      </c>
      <c r="AU205" s="191" t="s">
        <v>81</v>
      </c>
      <c r="AV205" s="12" t="s">
        <v>81</v>
      </c>
      <c r="AW205" s="12" t="s">
        <v>35</v>
      </c>
      <c r="AX205" s="12" t="s">
        <v>71</v>
      </c>
      <c r="AY205" s="191" t="s">
        <v>136</v>
      </c>
    </row>
    <row r="206" spans="2:65" s="11" customFormat="1" x14ac:dyDescent="0.3">
      <c r="B206" s="182"/>
      <c r="D206" s="183" t="s">
        <v>145</v>
      </c>
      <c r="E206" s="184" t="s">
        <v>5</v>
      </c>
      <c r="F206" s="185" t="s">
        <v>268</v>
      </c>
      <c r="H206" s="184" t="s">
        <v>5</v>
      </c>
      <c r="I206" s="186">
        <v>0</v>
      </c>
      <c r="L206" s="41"/>
      <c r="M206" s="187"/>
      <c r="N206" s="188"/>
      <c r="O206" s="188"/>
      <c r="P206" s="188"/>
      <c r="Q206" s="188"/>
      <c r="R206" s="188"/>
      <c r="S206" s="188"/>
      <c r="T206" s="189"/>
      <c r="AT206" s="184" t="s">
        <v>145</v>
      </c>
      <c r="AU206" s="184" t="s">
        <v>81</v>
      </c>
      <c r="AV206" s="11" t="s">
        <v>79</v>
      </c>
      <c r="AW206" s="11" t="s">
        <v>35</v>
      </c>
      <c r="AX206" s="11" t="s">
        <v>71</v>
      </c>
      <c r="AY206" s="184" t="s">
        <v>136</v>
      </c>
    </row>
    <row r="207" spans="2:65" s="12" customFormat="1" x14ac:dyDescent="0.3">
      <c r="B207" s="190"/>
      <c r="D207" s="183" t="s">
        <v>145</v>
      </c>
      <c r="E207" s="191" t="s">
        <v>5</v>
      </c>
      <c r="F207" s="312" t="s">
        <v>1240</v>
      </c>
      <c r="H207" s="315">
        <f>8.775*1.25*0.18</f>
        <v>1.974375</v>
      </c>
      <c r="I207" s="194">
        <v>0</v>
      </c>
      <c r="L207" s="41"/>
      <c r="M207" s="195"/>
      <c r="N207" s="196"/>
      <c r="O207" s="196"/>
      <c r="P207" s="196"/>
      <c r="Q207" s="196"/>
      <c r="R207" s="196"/>
      <c r="S207" s="196"/>
      <c r="T207" s="197"/>
      <c r="AT207" s="191" t="s">
        <v>145</v>
      </c>
      <c r="AU207" s="191" t="s">
        <v>81</v>
      </c>
      <c r="AV207" s="12" t="s">
        <v>81</v>
      </c>
      <c r="AW207" s="12" t="s">
        <v>35</v>
      </c>
      <c r="AX207" s="12" t="s">
        <v>71</v>
      </c>
      <c r="AY207" s="191" t="s">
        <v>136</v>
      </c>
    </row>
    <row r="208" spans="2:65" s="13" customFormat="1" x14ac:dyDescent="0.3">
      <c r="B208" s="198"/>
      <c r="D208" s="183" t="s">
        <v>145</v>
      </c>
      <c r="E208" s="199" t="s">
        <v>5</v>
      </c>
      <c r="F208" s="200"/>
      <c r="H208" s="201"/>
      <c r="I208" s="202">
        <v>0</v>
      </c>
      <c r="L208" s="41"/>
      <c r="M208" s="203"/>
      <c r="N208" s="204"/>
      <c r="O208" s="204"/>
      <c r="P208" s="204"/>
      <c r="Q208" s="204"/>
      <c r="R208" s="204"/>
      <c r="S208" s="204"/>
      <c r="T208" s="205"/>
      <c r="AT208" s="199" t="s">
        <v>145</v>
      </c>
      <c r="AU208" s="199" t="s">
        <v>81</v>
      </c>
      <c r="AV208" s="13" t="s">
        <v>143</v>
      </c>
      <c r="AW208" s="13" t="s">
        <v>35</v>
      </c>
      <c r="AX208" s="13" t="s">
        <v>79</v>
      </c>
      <c r="AY208" s="199" t="s">
        <v>136</v>
      </c>
    </row>
    <row r="209" spans="2:65" s="1" customFormat="1" ht="16.5" customHeight="1" x14ac:dyDescent="0.3">
      <c r="B209" s="169"/>
      <c r="C209" s="170" t="s">
        <v>269</v>
      </c>
      <c r="D209" s="170" t="s">
        <v>138</v>
      </c>
      <c r="E209" s="171" t="s">
        <v>270</v>
      </c>
      <c r="F209" s="172" t="s">
        <v>271</v>
      </c>
      <c r="G209" s="173" t="s">
        <v>179</v>
      </c>
      <c r="H209" s="320">
        <f>SUM(H211:H220)</f>
        <v>299.52125000000001</v>
      </c>
      <c r="I209" s="175">
        <v>690</v>
      </c>
      <c r="J209" s="176">
        <f>ROUND(I209*H209,2)</f>
        <v>206669.66</v>
      </c>
      <c r="K209" s="172" t="s">
        <v>142</v>
      </c>
      <c r="L209" s="41"/>
      <c r="M209" s="177" t="s">
        <v>5</v>
      </c>
      <c r="N209" s="178" t="s">
        <v>42</v>
      </c>
      <c r="O209" s="42"/>
      <c r="P209" s="179">
        <f>O209*H209</f>
        <v>0</v>
      </c>
      <c r="Q209" s="179">
        <v>5.3299999999999997E-3</v>
      </c>
      <c r="R209" s="179">
        <f>Q209*H209</f>
        <v>1.5964482625</v>
      </c>
      <c r="S209" s="179">
        <v>0</v>
      </c>
      <c r="T209" s="180">
        <f>S209*H209</f>
        <v>0</v>
      </c>
      <c r="AR209" s="24" t="s">
        <v>143</v>
      </c>
      <c r="AT209" s="24" t="s">
        <v>138</v>
      </c>
      <c r="AU209" s="24" t="s">
        <v>81</v>
      </c>
      <c r="AY209" s="24" t="s">
        <v>136</v>
      </c>
      <c r="BE209" s="181">
        <f>IF(N209="základní",J209,0)</f>
        <v>206669.66</v>
      </c>
      <c r="BF209" s="181">
        <f>IF(N209="snížená",J209,0)</f>
        <v>0</v>
      </c>
      <c r="BG209" s="181">
        <f>IF(N209="zákl. přenesená",J209,0)</f>
        <v>0</v>
      </c>
      <c r="BH209" s="181">
        <f>IF(N209="sníž. přenesená",J209,0)</f>
        <v>0</v>
      </c>
      <c r="BI209" s="181">
        <f>IF(N209="nulová",J209,0)</f>
        <v>0</v>
      </c>
      <c r="BJ209" s="24" t="s">
        <v>79</v>
      </c>
      <c r="BK209" s="181">
        <f>ROUND(I209*H209,2)</f>
        <v>206669.66</v>
      </c>
      <c r="BL209" s="24" t="s">
        <v>143</v>
      </c>
      <c r="BM209" s="24" t="s">
        <v>272</v>
      </c>
    </row>
    <row r="210" spans="2:65" s="11" customFormat="1" x14ac:dyDescent="0.3">
      <c r="B210" s="182"/>
      <c r="D210" s="183" t="s">
        <v>145</v>
      </c>
      <c r="E210" s="184" t="s">
        <v>5</v>
      </c>
      <c r="F210" s="185" t="s">
        <v>264</v>
      </c>
      <c r="H210" s="184" t="s">
        <v>5</v>
      </c>
      <c r="I210" s="186">
        <v>0</v>
      </c>
      <c r="J210" s="176"/>
      <c r="L210" s="41"/>
      <c r="M210" s="187"/>
      <c r="N210" s="188"/>
      <c r="O210" s="188"/>
      <c r="P210" s="188"/>
      <c r="Q210" s="188"/>
      <c r="R210" s="188"/>
      <c r="S210" s="188"/>
      <c r="T210" s="189"/>
      <c r="AT210" s="184" t="s">
        <v>145</v>
      </c>
      <c r="AU210" s="184" t="s">
        <v>81</v>
      </c>
      <c r="AV210" s="11" t="s">
        <v>79</v>
      </c>
      <c r="AW210" s="11" t="s">
        <v>35</v>
      </c>
      <c r="AX210" s="11" t="s">
        <v>71</v>
      </c>
      <c r="AY210" s="184" t="s">
        <v>136</v>
      </c>
    </row>
    <row r="211" spans="2:65" s="12" customFormat="1" x14ac:dyDescent="0.3">
      <c r="B211" s="190"/>
      <c r="D211" s="183" t="s">
        <v>145</v>
      </c>
      <c r="E211" s="191" t="s">
        <v>5</v>
      </c>
      <c r="F211" s="312" t="s">
        <v>273</v>
      </c>
      <c r="G211" s="327"/>
      <c r="H211" s="315">
        <v>139.19999999999999</v>
      </c>
      <c r="I211" s="194">
        <v>0</v>
      </c>
      <c r="J211" s="176"/>
      <c r="L211" s="41"/>
      <c r="M211" s="195"/>
      <c r="N211" s="196"/>
      <c r="O211" s="196"/>
      <c r="P211" s="196"/>
      <c r="Q211" s="196"/>
      <c r="R211" s="196"/>
      <c r="S211" s="196"/>
      <c r="T211" s="197"/>
      <c r="AT211" s="191" t="s">
        <v>145</v>
      </c>
      <c r="AU211" s="191" t="s">
        <v>81</v>
      </c>
      <c r="AV211" s="12" t="s">
        <v>81</v>
      </c>
      <c r="AW211" s="12" t="s">
        <v>35</v>
      </c>
      <c r="AX211" s="12" t="s">
        <v>71</v>
      </c>
      <c r="AY211" s="191" t="s">
        <v>136</v>
      </c>
    </row>
    <row r="212" spans="2:65" s="12" customFormat="1" x14ac:dyDescent="0.3">
      <c r="B212" s="190"/>
      <c r="D212" s="334"/>
      <c r="E212" s="333" t="s">
        <v>1246</v>
      </c>
      <c r="F212" s="312" t="s">
        <v>1248</v>
      </c>
      <c r="G212" s="327"/>
      <c r="H212" s="315">
        <f>(9.6*4+14.5*2+5)*0.5</f>
        <v>36.200000000000003</v>
      </c>
      <c r="I212" s="194">
        <v>0</v>
      </c>
      <c r="J212" s="176"/>
      <c r="L212" s="41"/>
      <c r="M212" s="195"/>
      <c r="N212" s="328"/>
      <c r="O212" s="328"/>
      <c r="P212" s="328"/>
      <c r="Q212" s="328"/>
      <c r="R212" s="328"/>
      <c r="S212" s="328"/>
      <c r="T212" s="197"/>
      <c r="AT212" s="191"/>
      <c r="AU212" s="191"/>
      <c r="AY212" s="191"/>
    </row>
    <row r="213" spans="2:65" s="11" customFormat="1" x14ac:dyDescent="0.3">
      <c r="B213" s="182"/>
      <c r="D213" s="183" t="s">
        <v>145</v>
      </c>
      <c r="E213" s="184" t="s">
        <v>5</v>
      </c>
      <c r="F213" s="185" t="s">
        <v>265</v>
      </c>
      <c r="H213" s="184" t="s">
        <v>5</v>
      </c>
      <c r="I213" s="186">
        <v>0</v>
      </c>
      <c r="J213" s="176"/>
      <c r="L213" s="41"/>
      <c r="M213" s="187"/>
      <c r="N213" s="188"/>
      <c r="O213" s="188"/>
      <c r="P213" s="188"/>
      <c r="Q213" s="188"/>
      <c r="R213" s="188"/>
      <c r="S213" s="188"/>
      <c r="T213" s="189"/>
      <c r="AT213" s="184" t="s">
        <v>145</v>
      </c>
      <c r="AU213" s="184" t="s">
        <v>81</v>
      </c>
      <c r="AV213" s="11" t="s">
        <v>79</v>
      </c>
      <c r="AW213" s="11" t="s">
        <v>35</v>
      </c>
      <c r="AX213" s="11" t="s">
        <v>71</v>
      </c>
      <c r="AY213" s="184" t="s">
        <v>136</v>
      </c>
    </row>
    <row r="214" spans="2:65" s="12" customFormat="1" x14ac:dyDescent="0.3">
      <c r="B214" s="190"/>
      <c r="D214" s="183" t="s">
        <v>145</v>
      </c>
      <c r="E214" s="191" t="s">
        <v>5</v>
      </c>
      <c r="F214" s="312" t="s">
        <v>274</v>
      </c>
      <c r="G214" s="327"/>
      <c r="H214" s="315">
        <v>93.6</v>
      </c>
      <c r="I214" s="194">
        <v>0</v>
      </c>
      <c r="J214" s="176"/>
      <c r="L214" s="41"/>
      <c r="M214" s="195"/>
      <c r="N214" s="196"/>
      <c r="O214" s="196"/>
      <c r="P214" s="196"/>
      <c r="Q214" s="196"/>
      <c r="R214" s="196"/>
      <c r="S214" s="196"/>
      <c r="T214" s="197"/>
      <c r="AT214" s="191" t="s">
        <v>145</v>
      </c>
      <c r="AU214" s="191" t="s">
        <v>81</v>
      </c>
      <c r="AV214" s="12" t="s">
        <v>81</v>
      </c>
      <c r="AW214" s="12" t="s">
        <v>35</v>
      </c>
      <c r="AX214" s="12" t="s">
        <v>71</v>
      </c>
      <c r="AY214" s="191" t="s">
        <v>136</v>
      </c>
    </row>
    <row r="215" spans="2:65" s="11" customFormat="1" x14ac:dyDescent="0.3">
      <c r="B215" s="182"/>
      <c r="D215" s="183" t="s">
        <v>145</v>
      </c>
      <c r="E215" s="184" t="s">
        <v>5</v>
      </c>
      <c r="F215" s="185" t="s">
        <v>267</v>
      </c>
      <c r="H215" s="184" t="s">
        <v>5</v>
      </c>
      <c r="I215" s="186">
        <v>0</v>
      </c>
      <c r="J215" s="176"/>
      <c r="L215" s="41"/>
      <c r="M215" s="187"/>
      <c r="N215" s="188"/>
      <c r="O215" s="188"/>
      <c r="P215" s="188"/>
      <c r="Q215" s="188"/>
      <c r="R215" s="188"/>
      <c r="S215" s="188"/>
      <c r="T215" s="189"/>
      <c r="AT215" s="184" t="s">
        <v>145</v>
      </c>
      <c r="AU215" s="184" t="s">
        <v>81</v>
      </c>
      <c r="AV215" s="11" t="s">
        <v>79</v>
      </c>
      <c r="AW215" s="11" t="s">
        <v>35</v>
      </c>
      <c r="AX215" s="11" t="s">
        <v>71</v>
      </c>
      <c r="AY215" s="184" t="s">
        <v>136</v>
      </c>
    </row>
    <row r="216" spans="2:65" s="12" customFormat="1" x14ac:dyDescent="0.3">
      <c r="B216" s="190"/>
      <c r="D216" s="183" t="s">
        <v>145</v>
      </c>
      <c r="E216" s="191" t="s">
        <v>5</v>
      </c>
      <c r="F216" s="312" t="s">
        <v>1242</v>
      </c>
      <c r="H216" s="315">
        <f>3*1.75*2.7</f>
        <v>14.175000000000001</v>
      </c>
      <c r="I216" s="194">
        <v>0</v>
      </c>
      <c r="J216" s="176"/>
      <c r="L216" s="41"/>
      <c r="M216" s="195"/>
      <c r="N216" s="196"/>
      <c r="O216" s="196"/>
      <c r="P216" s="196"/>
      <c r="Q216" s="196"/>
      <c r="R216" s="196"/>
      <c r="S216" s="196"/>
      <c r="T216" s="197"/>
      <c r="AT216" s="191" t="s">
        <v>145</v>
      </c>
      <c r="AU216" s="191" t="s">
        <v>81</v>
      </c>
      <c r="AV216" s="12" t="s">
        <v>81</v>
      </c>
      <c r="AW216" s="12" t="s">
        <v>35</v>
      </c>
      <c r="AX216" s="12" t="s">
        <v>71</v>
      </c>
      <c r="AY216" s="191" t="s">
        <v>136</v>
      </c>
    </row>
    <row r="217" spans="2:65" s="12" customFormat="1" x14ac:dyDescent="0.3">
      <c r="B217" s="190"/>
      <c r="D217" s="183"/>
      <c r="E217" s="191"/>
      <c r="F217" s="312" t="s">
        <v>1243</v>
      </c>
      <c r="H217" s="315">
        <f>(1.75*2+2.7)*3*0.18</f>
        <v>3.3480000000000003</v>
      </c>
      <c r="I217" s="194">
        <v>0</v>
      </c>
      <c r="J217" s="176"/>
      <c r="L217" s="41"/>
      <c r="M217" s="195"/>
      <c r="N217" s="328"/>
      <c r="O217" s="328"/>
      <c r="P217" s="328"/>
      <c r="Q217" s="328"/>
      <c r="R217" s="328"/>
      <c r="S217" s="328"/>
      <c r="T217" s="197"/>
      <c r="AT217" s="191"/>
      <c r="AU217" s="191"/>
      <c r="AY217" s="191"/>
    </row>
    <row r="218" spans="2:65" s="11" customFormat="1" x14ac:dyDescent="0.3">
      <c r="B218" s="182"/>
      <c r="D218" s="183" t="s">
        <v>145</v>
      </c>
      <c r="E218" s="184" t="s">
        <v>5</v>
      </c>
      <c r="F218" s="185" t="s">
        <v>268</v>
      </c>
      <c r="H218" s="184" t="s">
        <v>5</v>
      </c>
      <c r="I218" s="186">
        <v>0</v>
      </c>
      <c r="J218" s="176"/>
      <c r="L218" s="41"/>
      <c r="M218" s="187"/>
      <c r="N218" s="188"/>
      <c r="O218" s="188"/>
      <c r="P218" s="188"/>
      <c r="Q218" s="188"/>
      <c r="R218" s="188"/>
      <c r="S218" s="188"/>
      <c r="T218" s="189"/>
      <c r="AT218" s="184" t="s">
        <v>145</v>
      </c>
      <c r="AU218" s="184" t="s">
        <v>81</v>
      </c>
      <c r="AV218" s="11" t="s">
        <v>79</v>
      </c>
      <c r="AW218" s="11" t="s">
        <v>35</v>
      </c>
      <c r="AX218" s="11" t="s">
        <v>71</v>
      </c>
      <c r="AY218" s="184" t="s">
        <v>136</v>
      </c>
    </row>
    <row r="219" spans="2:65" s="12" customFormat="1" x14ac:dyDescent="0.3">
      <c r="B219" s="190"/>
      <c r="D219" s="183" t="s">
        <v>145</v>
      </c>
      <c r="E219" s="191" t="s">
        <v>5</v>
      </c>
      <c r="F219" s="312" t="s">
        <v>1245</v>
      </c>
      <c r="H219" s="315">
        <f>8.775*1.25</f>
        <v>10.96875</v>
      </c>
      <c r="I219" s="194">
        <v>0</v>
      </c>
      <c r="J219" s="176"/>
      <c r="L219" s="41"/>
      <c r="M219" s="195"/>
      <c r="N219" s="196"/>
      <c r="O219" s="196"/>
      <c r="P219" s="196"/>
      <c r="Q219" s="196"/>
      <c r="R219" s="196"/>
      <c r="S219" s="196"/>
      <c r="T219" s="197"/>
      <c r="AT219" s="191" t="s">
        <v>145</v>
      </c>
      <c r="AU219" s="191" t="s">
        <v>81</v>
      </c>
      <c r="AV219" s="12" t="s">
        <v>81</v>
      </c>
      <c r="AW219" s="12" t="s">
        <v>35</v>
      </c>
      <c r="AX219" s="12" t="s">
        <v>71</v>
      </c>
      <c r="AY219" s="191" t="s">
        <v>136</v>
      </c>
    </row>
    <row r="220" spans="2:65" s="12" customFormat="1" x14ac:dyDescent="0.3">
      <c r="B220" s="190"/>
      <c r="D220" s="183"/>
      <c r="E220" s="191"/>
      <c r="F220" s="312" t="s">
        <v>1244</v>
      </c>
      <c r="H220" s="315">
        <f>(8.775+1.25*2)*0.18</f>
        <v>2.0295000000000001</v>
      </c>
      <c r="I220" s="194">
        <v>0</v>
      </c>
      <c r="J220" s="176"/>
      <c r="L220" s="41"/>
      <c r="M220" s="195"/>
      <c r="N220" s="328"/>
      <c r="O220" s="328"/>
      <c r="P220" s="328"/>
      <c r="Q220" s="328"/>
      <c r="R220" s="328"/>
      <c r="S220" s="328"/>
      <c r="T220" s="197"/>
      <c r="AT220" s="191"/>
      <c r="AU220" s="191"/>
      <c r="AY220" s="191"/>
    </row>
    <row r="221" spans="2:65" s="310" customFormat="1" ht="16.5" customHeight="1" x14ac:dyDescent="0.3">
      <c r="B221" s="169"/>
      <c r="C221" s="404"/>
      <c r="D221" s="170" t="s">
        <v>145</v>
      </c>
      <c r="E221" s="171"/>
      <c r="F221" s="172" t="s">
        <v>1506</v>
      </c>
      <c r="G221" s="173" t="s">
        <v>249</v>
      </c>
      <c r="H221" s="320">
        <f>SUM(H222:H223)</f>
        <v>86.9</v>
      </c>
      <c r="I221" s="175">
        <v>402.49999999999994</v>
      </c>
      <c r="J221" s="176">
        <f t="shared" ref="J221:J224" si="3">ROUND(I221*H221,2)</f>
        <v>34977.25</v>
      </c>
      <c r="K221" s="172"/>
      <c r="L221" s="41"/>
      <c r="M221" s="177"/>
      <c r="N221" s="178"/>
      <c r="O221" s="311"/>
      <c r="P221" s="179"/>
      <c r="Q221" s="179"/>
      <c r="R221" s="179"/>
      <c r="S221" s="179"/>
      <c r="T221" s="180"/>
      <c r="AR221" s="24"/>
      <c r="AT221" s="24" t="s">
        <v>145</v>
      </c>
      <c r="AU221" s="24" t="s">
        <v>81</v>
      </c>
      <c r="AV221" s="310" t="s">
        <v>143</v>
      </c>
      <c r="AW221" s="310" t="s">
        <v>35</v>
      </c>
      <c r="AX221" s="310" t="s">
        <v>79</v>
      </c>
      <c r="AY221" s="24" t="s">
        <v>136</v>
      </c>
      <c r="BE221" s="181"/>
      <c r="BF221" s="181"/>
      <c r="BG221" s="181"/>
      <c r="BH221" s="181"/>
      <c r="BI221" s="181"/>
      <c r="BJ221" s="24"/>
      <c r="BK221" s="181"/>
      <c r="BL221" s="24"/>
      <c r="BM221" s="24"/>
    </row>
    <row r="222" spans="2:65" s="12" customFormat="1" x14ac:dyDescent="0.3">
      <c r="B222" s="190"/>
      <c r="C222" s="428"/>
      <c r="D222" s="183"/>
      <c r="E222" s="333" t="s">
        <v>1507</v>
      </c>
      <c r="F222" s="312" t="s">
        <v>1560</v>
      </c>
      <c r="G222" s="327"/>
      <c r="H222" s="315">
        <v>48.2</v>
      </c>
      <c r="I222" s="194">
        <v>0</v>
      </c>
      <c r="J222" s="176"/>
      <c r="L222" s="41"/>
      <c r="M222" s="195"/>
      <c r="N222" s="196"/>
      <c r="O222" s="196"/>
      <c r="P222" s="196"/>
      <c r="Q222" s="196"/>
      <c r="R222" s="196"/>
      <c r="S222" s="196"/>
      <c r="T222" s="197"/>
      <c r="AT222" s="191"/>
      <c r="AU222" s="191"/>
      <c r="AY222" s="191"/>
    </row>
    <row r="223" spans="2:65" s="13" customFormat="1" x14ac:dyDescent="0.3">
      <c r="B223" s="198"/>
      <c r="C223" s="431"/>
      <c r="D223" s="183"/>
      <c r="E223" s="333" t="s">
        <v>1508</v>
      </c>
      <c r="F223" s="312" t="s">
        <v>1561</v>
      </c>
      <c r="H223" s="201">
        <v>38.700000000000003</v>
      </c>
      <c r="I223" s="202">
        <v>0</v>
      </c>
      <c r="J223" s="176"/>
      <c r="L223" s="41"/>
      <c r="M223" s="203"/>
      <c r="N223" s="358"/>
      <c r="O223" s="358"/>
      <c r="P223" s="358"/>
      <c r="Q223" s="358"/>
      <c r="R223" s="358"/>
      <c r="S223" s="358"/>
      <c r="T223" s="205"/>
      <c r="AT223" s="199"/>
      <c r="AU223" s="199"/>
      <c r="AY223" s="199"/>
    </row>
    <row r="224" spans="2:65" s="310" customFormat="1" ht="16.5" customHeight="1" x14ac:dyDescent="0.3">
      <c r="B224" s="169"/>
      <c r="C224" s="404"/>
      <c r="D224" s="170"/>
      <c r="E224" s="171"/>
      <c r="F224" s="172" t="s">
        <v>1509</v>
      </c>
      <c r="G224" s="173" t="s">
        <v>249</v>
      </c>
      <c r="H224" s="320">
        <f>H221</f>
        <v>86.9</v>
      </c>
      <c r="I224" s="175">
        <v>92</v>
      </c>
      <c r="J224" s="176">
        <f t="shared" si="3"/>
        <v>7994.8</v>
      </c>
      <c r="K224" s="172"/>
      <c r="L224" s="41"/>
      <c r="M224" s="177"/>
      <c r="N224" s="178"/>
      <c r="O224" s="311"/>
      <c r="P224" s="179"/>
      <c r="Q224" s="179"/>
      <c r="R224" s="179"/>
      <c r="S224" s="179"/>
      <c r="T224" s="180"/>
      <c r="AR224" s="24"/>
      <c r="AT224" s="24"/>
      <c r="AU224" s="24"/>
      <c r="AY224" s="24"/>
      <c r="BE224" s="181"/>
      <c r="BF224" s="181"/>
      <c r="BG224" s="181"/>
      <c r="BH224" s="181"/>
      <c r="BI224" s="181"/>
      <c r="BJ224" s="24"/>
      <c r="BK224" s="181"/>
      <c r="BL224" s="24"/>
      <c r="BM224" s="24"/>
    </row>
    <row r="225" spans="2:65" s="1" customFormat="1" ht="16.5" customHeight="1" x14ac:dyDescent="0.3">
      <c r="B225" s="169"/>
      <c r="C225" s="404" t="s">
        <v>275</v>
      </c>
      <c r="D225" s="170" t="s">
        <v>138</v>
      </c>
      <c r="E225" s="171" t="s">
        <v>276</v>
      </c>
      <c r="F225" s="172" t="s">
        <v>277</v>
      </c>
      <c r="G225" s="173" t="s">
        <v>179</v>
      </c>
      <c r="H225" s="320">
        <f>H209</f>
        <v>299.52125000000001</v>
      </c>
      <c r="I225" s="175">
        <v>103.49999999999999</v>
      </c>
      <c r="J225" s="176">
        <f>ROUND(I225*H225,2)</f>
        <v>31000.45</v>
      </c>
      <c r="K225" s="172" t="s">
        <v>142</v>
      </c>
      <c r="L225" s="41"/>
      <c r="M225" s="177" t="s">
        <v>5</v>
      </c>
      <c r="N225" s="178" t="s">
        <v>42</v>
      </c>
      <c r="O225" s="42"/>
      <c r="P225" s="179">
        <f>O225*H225</f>
        <v>0</v>
      </c>
      <c r="Q225" s="179">
        <v>0</v>
      </c>
      <c r="R225" s="179">
        <f>Q225*H225</f>
        <v>0</v>
      </c>
      <c r="S225" s="179">
        <v>0</v>
      </c>
      <c r="T225" s="180">
        <f>S225*H225</f>
        <v>0</v>
      </c>
      <c r="AR225" s="24" t="s">
        <v>143</v>
      </c>
      <c r="AT225" s="24" t="s">
        <v>138</v>
      </c>
      <c r="AU225" s="24" t="s">
        <v>81</v>
      </c>
      <c r="AY225" s="24" t="s">
        <v>136</v>
      </c>
      <c r="BE225" s="181">
        <f>IF(N225="základní",J225,0)</f>
        <v>31000.45</v>
      </c>
      <c r="BF225" s="181">
        <f>IF(N225="snížená",J225,0)</f>
        <v>0</v>
      </c>
      <c r="BG225" s="181">
        <f>IF(N225="zákl. přenesená",J225,0)</f>
        <v>0</v>
      </c>
      <c r="BH225" s="181">
        <f>IF(N225="sníž. přenesená",J225,0)</f>
        <v>0</v>
      </c>
      <c r="BI225" s="181">
        <f>IF(N225="nulová",J225,0)</f>
        <v>0</v>
      </c>
      <c r="BJ225" s="24" t="s">
        <v>79</v>
      </c>
      <c r="BK225" s="181">
        <f>ROUND(I225*H225,2)</f>
        <v>31000.45</v>
      </c>
      <c r="BL225" s="24" t="s">
        <v>143</v>
      </c>
      <c r="BM225" s="24" t="s">
        <v>278</v>
      </c>
    </row>
    <row r="226" spans="2:65" s="1" customFormat="1" ht="16.5" customHeight="1" x14ac:dyDescent="0.3">
      <c r="B226" s="169"/>
      <c r="C226" s="404" t="s">
        <v>279</v>
      </c>
      <c r="D226" s="170" t="s">
        <v>138</v>
      </c>
      <c r="E226" s="171" t="s">
        <v>280</v>
      </c>
      <c r="F226" s="172" t="s">
        <v>281</v>
      </c>
      <c r="G226" s="173" t="s">
        <v>179</v>
      </c>
      <c r="H226" s="320">
        <f>H209</f>
        <v>299.52125000000001</v>
      </c>
      <c r="I226" s="175">
        <v>114.99999999999999</v>
      </c>
      <c r="J226" s="176">
        <f>ROUND(I226*H226,2)</f>
        <v>34444.94</v>
      </c>
      <c r="K226" s="172" t="s">
        <v>142</v>
      </c>
      <c r="L226" s="41"/>
      <c r="M226" s="177" t="s">
        <v>5</v>
      </c>
      <c r="N226" s="178" t="s">
        <v>42</v>
      </c>
      <c r="O226" s="42"/>
      <c r="P226" s="179">
        <f>O226*H226</f>
        <v>0</v>
      </c>
      <c r="Q226" s="179">
        <v>8.8000000000000003E-4</v>
      </c>
      <c r="R226" s="179">
        <f>Q226*H226</f>
        <v>0.2635787</v>
      </c>
      <c r="S226" s="179">
        <v>0</v>
      </c>
      <c r="T226" s="180">
        <f>S226*H226</f>
        <v>0</v>
      </c>
      <c r="AR226" s="24" t="s">
        <v>143</v>
      </c>
      <c r="AT226" s="24" t="s">
        <v>138</v>
      </c>
      <c r="AU226" s="24" t="s">
        <v>81</v>
      </c>
      <c r="AY226" s="24" t="s">
        <v>136</v>
      </c>
      <c r="BE226" s="181">
        <f>IF(N226="základní",J226,0)</f>
        <v>34444.94</v>
      </c>
      <c r="BF226" s="181">
        <f>IF(N226="snížená",J226,0)</f>
        <v>0</v>
      </c>
      <c r="BG226" s="181">
        <f>IF(N226="zákl. přenesená",J226,0)</f>
        <v>0</v>
      </c>
      <c r="BH226" s="181">
        <f>IF(N226="sníž. přenesená",J226,0)</f>
        <v>0</v>
      </c>
      <c r="BI226" s="181">
        <f>IF(N226="nulová",J226,0)</f>
        <v>0</v>
      </c>
      <c r="BJ226" s="24" t="s">
        <v>79</v>
      </c>
      <c r="BK226" s="181">
        <f>ROUND(I226*H226,2)</f>
        <v>34444.94</v>
      </c>
      <c r="BL226" s="24" t="s">
        <v>143</v>
      </c>
      <c r="BM226" s="24" t="s">
        <v>282</v>
      </c>
    </row>
    <row r="227" spans="2:65" s="426" customFormat="1" ht="16.5" customHeight="1" x14ac:dyDescent="0.3">
      <c r="B227" s="169"/>
      <c r="C227" s="404"/>
      <c r="D227" s="170"/>
      <c r="E227" s="171"/>
      <c r="F227" s="172" t="s">
        <v>1580</v>
      </c>
      <c r="G227" s="173" t="s">
        <v>249</v>
      </c>
      <c r="H227" s="320">
        <v>8.1</v>
      </c>
      <c r="I227" s="175">
        <v>4600</v>
      </c>
      <c r="J227" s="176">
        <f>ROUND(I227*H227,2)</f>
        <v>37260</v>
      </c>
      <c r="K227" s="172"/>
      <c r="L227" s="41"/>
      <c r="M227" s="177"/>
      <c r="N227" s="343"/>
      <c r="O227" s="344"/>
      <c r="P227" s="345"/>
      <c r="Q227" s="345"/>
      <c r="R227" s="345"/>
      <c r="S227" s="345"/>
      <c r="T227" s="180"/>
      <c r="AR227" s="24"/>
      <c r="AT227" s="24"/>
      <c r="AU227" s="24"/>
      <c r="AY227" s="24"/>
      <c r="BE227" s="181"/>
      <c r="BF227" s="181"/>
      <c r="BG227" s="181"/>
      <c r="BH227" s="181"/>
      <c r="BI227" s="181"/>
      <c r="BJ227" s="24"/>
      <c r="BK227" s="181"/>
      <c r="BL227" s="24"/>
      <c r="BM227" s="24"/>
    </row>
    <row r="228" spans="2:65" s="1" customFormat="1" ht="16.5" customHeight="1" x14ac:dyDescent="0.3">
      <c r="B228" s="169"/>
      <c r="C228" s="404" t="s">
        <v>283</v>
      </c>
      <c r="D228" s="170" t="s">
        <v>138</v>
      </c>
      <c r="E228" s="171" t="s">
        <v>284</v>
      </c>
      <c r="F228" s="172" t="s">
        <v>285</v>
      </c>
      <c r="G228" s="173" t="s">
        <v>179</v>
      </c>
      <c r="H228" s="320">
        <f>H209</f>
        <v>299.52125000000001</v>
      </c>
      <c r="I228" s="175">
        <v>46</v>
      </c>
      <c r="J228" s="176">
        <f>ROUND(I228*H228,2)</f>
        <v>13777.98</v>
      </c>
      <c r="K228" s="172" t="s">
        <v>142</v>
      </c>
      <c r="L228" s="41"/>
      <c r="M228" s="177" t="s">
        <v>5</v>
      </c>
      <c r="N228" s="178" t="s">
        <v>42</v>
      </c>
      <c r="O228" s="42"/>
      <c r="P228" s="179">
        <f>O228*H228</f>
        <v>0</v>
      </c>
      <c r="Q228" s="179">
        <v>0</v>
      </c>
      <c r="R228" s="179">
        <f>Q228*H228</f>
        <v>0</v>
      </c>
      <c r="S228" s="179">
        <v>0</v>
      </c>
      <c r="T228" s="180">
        <f>S228*H228</f>
        <v>0</v>
      </c>
      <c r="AR228" s="24" t="s">
        <v>143</v>
      </c>
      <c r="AT228" s="24" t="s">
        <v>138</v>
      </c>
      <c r="AU228" s="24" t="s">
        <v>81</v>
      </c>
      <c r="AY228" s="24" t="s">
        <v>136</v>
      </c>
      <c r="BE228" s="181">
        <f>IF(N228="základní",J228,0)</f>
        <v>13777.98</v>
      </c>
      <c r="BF228" s="181">
        <f>IF(N228="snížená",J228,0)</f>
        <v>0</v>
      </c>
      <c r="BG228" s="181">
        <f>IF(N228="zákl. přenesená",J228,0)</f>
        <v>0</v>
      </c>
      <c r="BH228" s="181">
        <f>IF(N228="sníž. přenesená",J228,0)</f>
        <v>0</v>
      </c>
      <c r="BI228" s="181">
        <f>IF(N228="nulová",J228,0)</f>
        <v>0</v>
      </c>
      <c r="BJ228" s="24" t="s">
        <v>79</v>
      </c>
      <c r="BK228" s="181">
        <f>ROUND(I228*H228,2)</f>
        <v>13777.98</v>
      </c>
      <c r="BL228" s="24" t="s">
        <v>143</v>
      </c>
      <c r="BM228" s="24" t="s">
        <v>286</v>
      </c>
    </row>
    <row r="229" spans="2:65" s="1" customFormat="1" ht="16.5" customHeight="1" x14ac:dyDescent="0.3">
      <c r="B229" s="169"/>
      <c r="C229" s="404" t="s">
        <v>287</v>
      </c>
      <c r="D229" s="170" t="s">
        <v>138</v>
      </c>
      <c r="E229" s="171" t="s">
        <v>288</v>
      </c>
      <c r="F229" s="172" t="s">
        <v>289</v>
      </c>
      <c r="G229" s="173" t="s">
        <v>164</v>
      </c>
      <c r="H229" s="320">
        <f>H230</f>
        <v>6.6575999999999995</v>
      </c>
      <c r="I229" s="175">
        <v>51749.999999999993</v>
      </c>
      <c r="J229" s="176">
        <f>ROUND(I229*H229,2)</f>
        <v>344530.8</v>
      </c>
      <c r="K229" s="172" t="s">
        <v>142</v>
      </c>
      <c r="L229" s="41"/>
      <c r="M229" s="177" t="s">
        <v>5</v>
      </c>
      <c r="N229" s="178" t="s">
        <v>42</v>
      </c>
      <c r="O229" s="42"/>
      <c r="P229" s="179">
        <f>O229*H229</f>
        <v>0</v>
      </c>
      <c r="Q229" s="179">
        <v>1.0551600000000001</v>
      </c>
      <c r="R229" s="179">
        <f>Q229*H229</f>
        <v>7.0248332160000002</v>
      </c>
      <c r="S229" s="179">
        <v>0</v>
      </c>
      <c r="T229" s="180">
        <f>S229*H229</f>
        <v>0</v>
      </c>
      <c r="AR229" s="24" t="s">
        <v>143</v>
      </c>
      <c r="AT229" s="24" t="s">
        <v>138</v>
      </c>
      <c r="AU229" s="24" t="s">
        <v>81</v>
      </c>
      <c r="AY229" s="24" t="s">
        <v>136</v>
      </c>
      <c r="BE229" s="181">
        <f>IF(N229="základní",J229,0)</f>
        <v>344530.8</v>
      </c>
      <c r="BF229" s="181">
        <f>IF(N229="snížená",J229,0)</f>
        <v>0</v>
      </c>
      <c r="BG229" s="181">
        <f>IF(N229="zákl. přenesená",J229,0)</f>
        <v>0</v>
      </c>
      <c r="BH229" s="181">
        <f>IF(N229="sníž. přenesená",J229,0)</f>
        <v>0</v>
      </c>
      <c r="BI229" s="181">
        <f>IF(N229="nulová",J229,0)</f>
        <v>0</v>
      </c>
      <c r="BJ229" s="24" t="s">
        <v>79</v>
      </c>
      <c r="BK229" s="181">
        <f>ROUND(I229*H229,2)</f>
        <v>344530.8</v>
      </c>
      <c r="BL229" s="24" t="s">
        <v>143</v>
      </c>
      <c r="BM229" s="24" t="s">
        <v>290</v>
      </c>
    </row>
    <row r="230" spans="2:65" s="12" customFormat="1" x14ac:dyDescent="0.3">
      <c r="B230" s="190"/>
      <c r="C230" s="428"/>
      <c r="D230" s="183" t="s">
        <v>145</v>
      </c>
      <c r="E230" s="191" t="s">
        <v>5</v>
      </c>
      <c r="F230" s="312" t="s">
        <v>1510</v>
      </c>
      <c r="G230" s="327"/>
      <c r="H230" s="315">
        <f>55.48*0.12</f>
        <v>6.6575999999999995</v>
      </c>
      <c r="I230" s="194">
        <v>0</v>
      </c>
      <c r="L230" s="41"/>
      <c r="M230" s="195"/>
      <c r="N230" s="196"/>
      <c r="O230" s="196"/>
      <c r="P230" s="196"/>
      <c r="Q230" s="196"/>
      <c r="R230" s="196"/>
      <c r="S230" s="196"/>
      <c r="T230" s="197"/>
      <c r="AT230" s="191" t="s">
        <v>145</v>
      </c>
      <c r="AU230" s="191" t="s">
        <v>81</v>
      </c>
      <c r="AV230" s="12" t="s">
        <v>81</v>
      </c>
      <c r="AW230" s="12" t="s">
        <v>35</v>
      </c>
      <c r="AX230" s="12" t="s">
        <v>79</v>
      </c>
      <c r="AY230" s="191" t="s">
        <v>136</v>
      </c>
    </row>
    <row r="231" spans="2:65" s="1" customFormat="1" ht="16.5" customHeight="1" x14ac:dyDescent="0.3">
      <c r="B231" s="169"/>
      <c r="C231" s="170" t="s">
        <v>291</v>
      </c>
      <c r="D231" s="170" t="s">
        <v>138</v>
      </c>
      <c r="E231" s="171" t="s">
        <v>292</v>
      </c>
      <c r="F231" s="172" t="s">
        <v>293</v>
      </c>
      <c r="G231" s="173" t="s">
        <v>141</v>
      </c>
      <c r="H231" s="313">
        <f>SUM(H233:H235)</f>
        <v>3.8062499999999999</v>
      </c>
      <c r="I231" s="175">
        <v>4255</v>
      </c>
      <c r="J231" s="176">
        <f>ROUND(I231*H231,2)</f>
        <v>16195.59</v>
      </c>
      <c r="K231" s="172" t="s">
        <v>142</v>
      </c>
      <c r="L231" s="41"/>
      <c r="M231" s="177" t="s">
        <v>5</v>
      </c>
      <c r="N231" s="178" t="s">
        <v>42</v>
      </c>
      <c r="O231" s="42"/>
      <c r="P231" s="179">
        <f>O231*H231</f>
        <v>0</v>
      </c>
      <c r="Q231" s="179">
        <v>2.4533999999999998</v>
      </c>
      <c r="R231" s="179">
        <f>Q231*H231</f>
        <v>9.3382537499999998</v>
      </c>
      <c r="S231" s="179">
        <v>0</v>
      </c>
      <c r="T231" s="180">
        <f>S231*H231</f>
        <v>0</v>
      </c>
      <c r="AR231" s="24" t="s">
        <v>143</v>
      </c>
      <c r="AT231" s="24" t="s">
        <v>138</v>
      </c>
      <c r="AU231" s="24" t="s">
        <v>81</v>
      </c>
      <c r="AY231" s="24" t="s">
        <v>136</v>
      </c>
      <c r="BE231" s="181">
        <f>IF(N231="základní",J231,0)</f>
        <v>16195.59</v>
      </c>
      <c r="BF231" s="181">
        <f>IF(N231="snížená",J231,0)</f>
        <v>0</v>
      </c>
      <c r="BG231" s="181">
        <f>IF(N231="zákl. přenesená",J231,0)</f>
        <v>0</v>
      </c>
      <c r="BH231" s="181">
        <f>IF(N231="sníž. přenesená",J231,0)</f>
        <v>0</v>
      </c>
      <c r="BI231" s="181">
        <f>IF(N231="nulová",J231,0)</f>
        <v>0</v>
      </c>
      <c r="BJ231" s="24" t="s">
        <v>79</v>
      </c>
      <c r="BK231" s="181">
        <f>ROUND(I231*H231,2)</f>
        <v>16195.59</v>
      </c>
      <c r="BL231" s="24" t="s">
        <v>143</v>
      </c>
      <c r="BM231" s="24" t="s">
        <v>294</v>
      </c>
    </row>
    <row r="232" spans="2:65" s="11" customFormat="1" x14ac:dyDescent="0.3">
      <c r="B232" s="182"/>
      <c r="D232" s="183" t="s">
        <v>145</v>
      </c>
      <c r="E232" s="184" t="s">
        <v>5</v>
      </c>
      <c r="F232" s="185" t="s">
        <v>216</v>
      </c>
      <c r="H232" s="314" t="s">
        <v>5</v>
      </c>
      <c r="I232" s="186">
        <v>0</v>
      </c>
      <c r="L232" s="41"/>
      <c r="M232" s="187"/>
      <c r="N232" s="188"/>
      <c r="O232" s="188"/>
      <c r="P232" s="188"/>
      <c r="Q232" s="188"/>
      <c r="R232" s="188"/>
      <c r="S232" s="188"/>
      <c r="T232" s="189"/>
      <c r="AT232" s="184" t="s">
        <v>145</v>
      </c>
      <c r="AU232" s="184" t="s">
        <v>81</v>
      </c>
      <c r="AV232" s="11" t="s">
        <v>79</v>
      </c>
      <c r="AW232" s="11" t="s">
        <v>35</v>
      </c>
      <c r="AX232" s="11" t="s">
        <v>71</v>
      </c>
      <c r="AY232" s="184" t="s">
        <v>136</v>
      </c>
    </row>
    <row r="233" spans="2:65" s="12" customFormat="1" x14ac:dyDescent="0.3">
      <c r="B233" s="190"/>
      <c r="D233" s="183" t="s">
        <v>145</v>
      </c>
      <c r="E233" s="191" t="s">
        <v>5</v>
      </c>
      <c r="F233" s="312" t="s">
        <v>1250</v>
      </c>
      <c r="H233" s="315">
        <f>2*2*9.6*0.25*0.25</f>
        <v>2.4</v>
      </c>
      <c r="I233" s="194">
        <v>0</v>
      </c>
      <c r="L233" s="41"/>
      <c r="M233" s="195"/>
      <c r="N233" s="196"/>
      <c r="O233" s="196"/>
      <c r="P233" s="196"/>
      <c r="Q233" s="196"/>
      <c r="R233" s="196"/>
      <c r="S233" s="196"/>
      <c r="T233" s="197"/>
      <c r="AT233" s="191" t="s">
        <v>145</v>
      </c>
      <c r="AU233" s="191" t="s">
        <v>81</v>
      </c>
      <c r="AV233" s="12" t="s">
        <v>81</v>
      </c>
      <c r="AW233" s="12" t="s">
        <v>35</v>
      </c>
      <c r="AX233" s="12" t="s">
        <v>71</v>
      </c>
      <c r="AY233" s="191" t="s">
        <v>136</v>
      </c>
    </row>
    <row r="234" spans="2:65" s="12" customFormat="1" x14ac:dyDescent="0.3">
      <c r="B234" s="190"/>
      <c r="D234" s="183" t="s">
        <v>145</v>
      </c>
      <c r="E234" s="191" t="s">
        <v>5</v>
      </c>
      <c r="F234" s="312" t="s">
        <v>1249</v>
      </c>
      <c r="G234" s="327"/>
      <c r="H234" s="315">
        <f>2*2*5*0.25*0.25</f>
        <v>1.25</v>
      </c>
      <c r="I234" s="194">
        <v>0</v>
      </c>
      <c r="L234" s="41"/>
      <c r="M234" s="195"/>
      <c r="N234" s="196"/>
      <c r="O234" s="196"/>
      <c r="P234" s="196"/>
      <c r="Q234" s="196"/>
      <c r="R234" s="196"/>
      <c r="S234" s="196"/>
      <c r="T234" s="197"/>
      <c r="AT234" s="191" t="s">
        <v>145</v>
      </c>
      <c r="AU234" s="191" t="s">
        <v>81</v>
      </c>
      <c r="AV234" s="12" t="s">
        <v>81</v>
      </c>
      <c r="AW234" s="12" t="s">
        <v>35</v>
      </c>
      <c r="AX234" s="12" t="s">
        <v>71</v>
      </c>
      <c r="AY234" s="191" t="s">
        <v>136</v>
      </c>
    </row>
    <row r="235" spans="2:65" s="13" customFormat="1" x14ac:dyDescent="0.3">
      <c r="B235" s="198"/>
      <c r="D235" s="183" t="s">
        <v>145</v>
      </c>
      <c r="E235" s="199" t="s">
        <v>5</v>
      </c>
      <c r="F235" s="312" t="s">
        <v>1251</v>
      </c>
      <c r="H235" s="201">
        <f>5*0.125*0.25</f>
        <v>0.15625</v>
      </c>
      <c r="I235" s="202">
        <v>0</v>
      </c>
      <c r="L235" s="41"/>
      <c r="M235" s="203"/>
      <c r="N235" s="204"/>
      <c r="O235" s="204"/>
      <c r="P235" s="204"/>
      <c r="Q235" s="204"/>
      <c r="R235" s="204"/>
      <c r="S235" s="204"/>
      <c r="T235" s="205"/>
      <c r="AT235" s="199" t="s">
        <v>145</v>
      </c>
      <c r="AU235" s="199" t="s">
        <v>81</v>
      </c>
      <c r="AV235" s="13" t="s">
        <v>143</v>
      </c>
      <c r="AW235" s="13" t="s">
        <v>35</v>
      </c>
      <c r="AX235" s="13" t="s">
        <v>79</v>
      </c>
      <c r="AY235" s="199" t="s">
        <v>136</v>
      </c>
    </row>
    <row r="236" spans="2:65" s="1" customFormat="1" ht="16.5" customHeight="1" x14ac:dyDescent="0.3">
      <c r="B236" s="169"/>
      <c r="C236" s="404" t="s">
        <v>295</v>
      </c>
      <c r="D236" s="404" t="s">
        <v>138</v>
      </c>
      <c r="E236" s="171" t="s">
        <v>296</v>
      </c>
      <c r="F236" s="172" t="s">
        <v>297</v>
      </c>
      <c r="G236" s="173" t="s">
        <v>179</v>
      </c>
      <c r="H236" s="320">
        <f>SUM(H238:H239)</f>
        <v>63.4</v>
      </c>
      <c r="I236" s="175">
        <v>690</v>
      </c>
      <c r="J236" s="176">
        <f>ROUND(I236*H236,2)</f>
        <v>43746</v>
      </c>
      <c r="K236" s="172" t="s">
        <v>142</v>
      </c>
      <c r="L236" s="41"/>
      <c r="M236" s="177" t="s">
        <v>5</v>
      </c>
      <c r="N236" s="178" t="s">
        <v>42</v>
      </c>
      <c r="O236" s="42"/>
      <c r="P236" s="179">
        <f>O236*H236</f>
        <v>0</v>
      </c>
      <c r="Q236" s="179">
        <v>5.1900000000000002E-3</v>
      </c>
      <c r="R236" s="179">
        <f>Q236*H236</f>
        <v>0.32904600000000001</v>
      </c>
      <c r="S236" s="179">
        <v>0</v>
      </c>
      <c r="T236" s="180">
        <f>S236*H236</f>
        <v>0</v>
      </c>
      <c r="AR236" s="24" t="s">
        <v>143</v>
      </c>
      <c r="AT236" s="24" t="s">
        <v>138</v>
      </c>
      <c r="AU236" s="24" t="s">
        <v>81</v>
      </c>
      <c r="AY236" s="24" t="s">
        <v>136</v>
      </c>
      <c r="BE236" s="181">
        <f>IF(N236="základní",J236,0)</f>
        <v>43746</v>
      </c>
      <c r="BF236" s="181">
        <f>IF(N236="snížená",J236,0)</f>
        <v>0</v>
      </c>
      <c r="BG236" s="181">
        <f>IF(N236="zákl. přenesená",J236,0)</f>
        <v>0</v>
      </c>
      <c r="BH236" s="181">
        <f>IF(N236="sníž. přenesená",J236,0)</f>
        <v>0</v>
      </c>
      <c r="BI236" s="181">
        <f>IF(N236="nulová",J236,0)</f>
        <v>0</v>
      </c>
      <c r="BJ236" s="24" t="s">
        <v>79</v>
      </c>
      <c r="BK236" s="181">
        <f>ROUND(I236*H236,2)</f>
        <v>43746</v>
      </c>
      <c r="BL236" s="24" t="s">
        <v>143</v>
      </c>
      <c r="BM236" s="24" t="s">
        <v>298</v>
      </c>
    </row>
    <row r="237" spans="2:65" s="11" customFormat="1" x14ac:dyDescent="0.3">
      <c r="B237" s="182"/>
      <c r="C237" s="430"/>
      <c r="D237" s="429" t="s">
        <v>145</v>
      </c>
      <c r="E237" s="184" t="s">
        <v>5</v>
      </c>
      <c r="F237" s="329" t="s">
        <v>1252</v>
      </c>
      <c r="H237" s="184" t="s">
        <v>5</v>
      </c>
      <c r="I237" s="186">
        <v>0</v>
      </c>
      <c r="L237" s="41"/>
      <c r="M237" s="187"/>
      <c r="N237" s="188"/>
      <c r="O237" s="188"/>
      <c r="P237" s="188"/>
      <c r="Q237" s="188"/>
      <c r="R237" s="188"/>
      <c r="S237" s="188"/>
      <c r="T237" s="189"/>
      <c r="AT237" s="184" t="s">
        <v>145</v>
      </c>
      <c r="AU237" s="184" t="s">
        <v>81</v>
      </c>
      <c r="AV237" s="11" t="s">
        <v>79</v>
      </c>
      <c r="AW237" s="11" t="s">
        <v>35</v>
      </c>
      <c r="AX237" s="11" t="s">
        <v>71</v>
      </c>
      <c r="AY237" s="184" t="s">
        <v>136</v>
      </c>
    </row>
    <row r="238" spans="2:65" s="12" customFormat="1" x14ac:dyDescent="0.3">
      <c r="B238" s="190"/>
      <c r="C238" s="428"/>
      <c r="D238" s="429" t="s">
        <v>145</v>
      </c>
      <c r="E238" s="191" t="s">
        <v>5</v>
      </c>
      <c r="F238" s="312" t="s">
        <v>1511</v>
      </c>
      <c r="G238" s="327"/>
      <c r="H238" s="315">
        <f>(2*2*2*9.6+2*2*2*5)*0.5</f>
        <v>58.4</v>
      </c>
      <c r="I238" s="194">
        <v>0</v>
      </c>
      <c r="L238" s="41"/>
      <c r="M238" s="195"/>
      <c r="N238" s="196"/>
      <c r="O238" s="196"/>
      <c r="P238" s="196"/>
      <c r="Q238" s="196"/>
      <c r="R238" s="196"/>
      <c r="S238" s="196"/>
      <c r="T238" s="197"/>
      <c r="AT238" s="191" t="s">
        <v>145</v>
      </c>
      <c r="AU238" s="191" t="s">
        <v>81</v>
      </c>
      <c r="AV238" s="12" t="s">
        <v>81</v>
      </c>
      <c r="AW238" s="12" t="s">
        <v>35</v>
      </c>
      <c r="AX238" s="12" t="s">
        <v>71</v>
      </c>
      <c r="AY238" s="191" t="s">
        <v>136</v>
      </c>
    </row>
    <row r="239" spans="2:65" s="12" customFormat="1" x14ac:dyDescent="0.3">
      <c r="B239" s="190"/>
      <c r="C239" s="428"/>
      <c r="D239" s="429" t="s">
        <v>145</v>
      </c>
      <c r="E239" s="191" t="s">
        <v>5</v>
      </c>
      <c r="F239" s="312" t="s">
        <v>1512</v>
      </c>
      <c r="G239" s="327"/>
      <c r="H239" s="315">
        <f>2*5*0.5</f>
        <v>5</v>
      </c>
      <c r="I239" s="194">
        <v>0</v>
      </c>
      <c r="L239" s="41"/>
      <c r="M239" s="195"/>
      <c r="N239" s="196"/>
      <c r="O239" s="196"/>
      <c r="P239" s="196"/>
      <c r="Q239" s="196"/>
      <c r="R239" s="196"/>
      <c r="S239" s="196"/>
      <c r="T239" s="197"/>
      <c r="AT239" s="191" t="s">
        <v>145</v>
      </c>
      <c r="AU239" s="191" t="s">
        <v>81</v>
      </c>
      <c r="AV239" s="12" t="s">
        <v>81</v>
      </c>
      <c r="AW239" s="12" t="s">
        <v>35</v>
      </c>
      <c r="AX239" s="12" t="s">
        <v>71</v>
      </c>
      <c r="AY239" s="191" t="s">
        <v>136</v>
      </c>
    </row>
    <row r="240" spans="2:65" s="13" customFormat="1" x14ac:dyDescent="0.3">
      <c r="B240" s="198"/>
      <c r="C240" s="431"/>
      <c r="D240" s="429" t="s">
        <v>145</v>
      </c>
      <c r="E240" s="199" t="s">
        <v>5</v>
      </c>
      <c r="F240" s="200"/>
      <c r="H240" s="201"/>
      <c r="I240" s="202">
        <v>0</v>
      </c>
      <c r="L240" s="41"/>
      <c r="M240" s="203"/>
      <c r="N240" s="204"/>
      <c r="O240" s="204"/>
      <c r="P240" s="204"/>
      <c r="Q240" s="204"/>
      <c r="R240" s="204"/>
      <c r="S240" s="204"/>
      <c r="T240" s="205"/>
      <c r="AT240" s="199" t="s">
        <v>145</v>
      </c>
      <c r="AU240" s="199" t="s">
        <v>81</v>
      </c>
      <c r="AV240" s="13" t="s">
        <v>143</v>
      </c>
      <c r="AW240" s="13" t="s">
        <v>35</v>
      </c>
      <c r="AX240" s="13" t="s">
        <v>79</v>
      </c>
      <c r="AY240" s="199" t="s">
        <v>136</v>
      </c>
    </row>
    <row r="241" spans="2:65" s="1" customFormat="1" ht="16.5" customHeight="1" x14ac:dyDescent="0.3">
      <c r="B241" s="169"/>
      <c r="C241" s="404" t="s">
        <v>299</v>
      </c>
      <c r="D241" s="404" t="s">
        <v>138</v>
      </c>
      <c r="E241" s="171" t="s">
        <v>300</v>
      </c>
      <c r="F241" s="172" t="s">
        <v>301</v>
      </c>
      <c r="G241" s="173" t="s">
        <v>179</v>
      </c>
      <c r="H241" s="320">
        <f>H236</f>
        <v>63.4</v>
      </c>
      <c r="I241" s="175">
        <v>114.99999999999999</v>
      </c>
      <c r="J241" s="176">
        <f>ROUND(I241*H241,2)</f>
        <v>7291</v>
      </c>
      <c r="K241" s="172" t="s">
        <v>142</v>
      </c>
      <c r="L241" s="41"/>
      <c r="M241" s="177" t="s">
        <v>5</v>
      </c>
      <c r="N241" s="178" t="s">
        <v>42</v>
      </c>
      <c r="O241" s="42"/>
      <c r="P241" s="179">
        <f>O241*H241</f>
        <v>0</v>
      </c>
      <c r="Q241" s="179">
        <v>0</v>
      </c>
      <c r="R241" s="179">
        <f>Q241*H241</f>
        <v>0</v>
      </c>
      <c r="S241" s="179">
        <v>0</v>
      </c>
      <c r="T241" s="180">
        <f>S241*H241</f>
        <v>0</v>
      </c>
      <c r="AR241" s="24" t="s">
        <v>143</v>
      </c>
      <c r="AT241" s="24" t="s">
        <v>138</v>
      </c>
      <c r="AU241" s="24" t="s">
        <v>81</v>
      </c>
      <c r="AY241" s="24" t="s">
        <v>136</v>
      </c>
      <c r="BE241" s="181">
        <f>IF(N241="základní",J241,0)</f>
        <v>7291</v>
      </c>
      <c r="BF241" s="181">
        <f>IF(N241="snížená",J241,0)</f>
        <v>0</v>
      </c>
      <c r="BG241" s="181">
        <f>IF(N241="zákl. přenesená",J241,0)</f>
        <v>0</v>
      </c>
      <c r="BH241" s="181">
        <f>IF(N241="sníž. přenesená",J241,0)</f>
        <v>0</v>
      </c>
      <c r="BI241" s="181">
        <f>IF(N241="nulová",J241,0)</f>
        <v>0</v>
      </c>
      <c r="BJ241" s="24" t="s">
        <v>79</v>
      </c>
      <c r="BK241" s="181">
        <f>ROUND(I241*H241,2)</f>
        <v>7291</v>
      </c>
      <c r="BL241" s="24" t="s">
        <v>143</v>
      </c>
      <c r="BM241" s="24" t="s">
        <v>302</v>
      </c>
    </row>
    <row r="242" spans="2:65" s="1" customFormat="1" ht="16.5" customHeight="1" x14ac:dyDescent="0.3">
      <c r="B242" s="169"/>
      <c r="C242" s="404" t="s">
        <v>303</v>
      </c>
      <c r="D242" s="404" t="s">
        <v>138</v>
      </c>
      <c r="E242" s="171" t="s">
        <v>304</v>
      </c>
      <c r="F242" s="172" t="s">
        <v>305</v>
      </c>
      <c r="G242" s="173" t="s">
        <v>164</v>
      </c>
      <c r="H242" s="313">
        <f>H243</f>
        <v>0.57089999999999996</v>
      </c>
      <c r="I242" s="175">
        <v>51749.999999999993</v>
      </c>
      <c r="J242" s="176">
        <f>ROUND(I242*H242,2)</f>
        <v>29544.080000000002</v>
      </c>
      <c r="K242" s="172" t="s">
        <v>142</v>
      </c>
      <c r="L242" s="41"/>
      <c r="M242" s="177" t="s">
        <v>5</v>
      </c>
      <c r="N242" s="178" t="s">
        <v>42</v>
      </c>
      <c r="O242" s="42"/>
      <c r="P242" s="179">
        <f>O242*H242</f>
        <v>0</v>
      </c>
      <c r="Q242" s="179">
        <v>1.0525599999999999</v>
      </c>
      <c r="R242" s="179">
        <f>Q242*H242</f>
        <v>0.6009065039999999</v>
      </c>
      <c r="S242" s="179">
        <v>0</v>
      </c>
      <c r="T242" s="180">
        <f>S242*H242</f>
        <v>0</v>
      </c>
      <c r="AR242" s="24" t="s">
        <v>143</v>
      </c>
      <c r="AT242" s="24" t="s">
        <v>138</v>
      </c>
      <c r="AU242" s="24" t="s">
        <v>81</v>
      </c>
      <c r="AY242" s="24" t="s">
        <v>136</v>
      </c>
      <c r="BE242" s="181">
        <f>IF(N242="základní",J242,0)</f>
        <v>29544.080000000002</v>
      </c>
      <c r="BF242" s="181">
        <f>IF(N242="snížená",J242,0)</f>
        <v>0</v>
      </c>
      <c r="BG242" s="181">
        <f>IF(N242="zákl. přenesená",J242,0)</f>
        <v>0</v>
      </c>
      <c r="BH242" s="181">
        <f>IF(N242="sníž. přenesená",J242,0)</f>
        <v>0</v>
      </c>
      <c r="BI242" s="181">
        <f>IF(N242="nulová",J242,0)</f>
        <v>0</v>
      </c>
      <c r="BJ242" s="24" t="s">
        <v>79</v>
      </c>
      <c r="BK242" s="181">
        <f>ROUND(I242*H242,2)</f>
        <v>29544.080000000002</v>
      </c>
      <c r="BL242" s="24" t="s">
        <v>143</v>
      </c>
      <c r="BM242" s="24" t="s">
        <v>306</v>
      </c>
    </row>
    <row r="243" spans="2:65" s="12" customFormat="1" x14ac:dyDescent="0.3">
      <c r="B243" s="190"/>
      <c r="D243" s="183" t="s">
        <v>145</v>
      </c>
      <c r="E243" s="191" t="s">
        <v>5</v>
      </c>
      <c r="F243" s="312" t="s">
        <v>1513</v>
      </c>
      <c r="H243" s="315">
        <f>3.806*0.15</f>
        <v>0.57089999999999996</v>
      </c>
      <c r="I243" s="194">
        <v>0</v>
      </c>
      <c r="L243" s="41"/>
      <c r="M243" s="195"/>
      <c r="N243" s="196"/>
      <c r="O243" s="196"/>
      <c r="P243" s="196"/>
      <c r="Q243" s="196"/>
      <c r="R243" s="196"/>
      <c r="S243" s="196"/>
      <c r="T243" s="197"/>
      <c r="AT243" s="191" t="s">
        <v>145</v>
      </c>
      <c r="AU243" s="191" t="s">
        <v>81</v>
      </c>
      <c r="AV243" s="12" t="s">
        <v>81</v>
      </c>
      <c r="AW243" s="12" t="s">
        <v>35</v>
      </c>
      <c r="AX243" s="12" t="s">
        <v>79</v>
      </c>
      <c r="AY243" s="191" t="s">
        <v>136</v>
      </c>
    </row>
    <row r="244" spans="2:65" s="1" customFormat="1" ht="16.5" customHeight="1" x14ac:dyDescent="0.3">
      <c r="B244" s="169"/>
      <c r="C244" s="170" t="s">
        <v>307</v>
      </c>
      <c r="D244" s="170" t="s">
        <v>138</v>
      </c>
      <c r="E244" s="171" t="s">
        <v>308</v>
      </c>
      <c r="F244" s="172" t="s">
        <v>309</v>
      </c>
      <c r="G244" s="173" t="s">
        <v>141</v>
      </c>
      <c r="H244" s="320">
        <f>H246</f>
        <v>1.7800000000000002</v>
      </c>
      <c r="I244" s="175">
        <v>5750</v>
      </c>
      <c r="J244" s="176">
        <f>ROUND(I244*H244,2)</f>
        <v>10235</v>
      </c>
      <c r="K244" s="172" t="s">
        <v>142</v>
      </c>
      <c r="L244" s="41"/>
      <c r="M244" s="177" t="s">
        <v>5</v>
      </c>
      <c r="N244" s="178" t="s">
        <v>42</v>
      </c>
      <c r="O244" s="42"/>
      <c r="P244" s="179">
        <f>O244*H244</f>
        <v>0</v>
      </c>
      <c r="Q244" s="179">
        <v>2.4533700000000001</v>
      </c>
      <c r="R244" s="179">
        <f>Q244*H244</f>
        <v>4.3669986000000005</v>
      </c>
      <c r="S244" s="179">
        <v>0</v>
      </c>
      <c r="T244" s="180">
        <f>S244*H244</f>
        <v>0</v>
      </c>
      <c r="AR244" s="24" t="s">
        <v>143</v>
      </c>
      <c r="AT244" s="24" t="s">
        <v>138</v>
      </c>
      <c r="AU244" s="24" t="s">
        <v>81</v>
      </c>
      <c r="AY244" s="24" t="s">
        <v>136</v>
      </c>
      <c r="BE244" s="181">
        <f>IF(N244="základní",J244,0)</f>
        <v>10235</v>
      </c>
      <c r="BF244" s="181">
        <f>IF(N244="snížená",J244,0)</f>
        <v>0</v>
      </c>
      <c r="BG244" s="181">
        <f>IF(N244="zákl. přenesená",J244,0)</f>
        <v>0</v>
      </c>
      <c r="BH244" s="181">
        <f>IF(N244="sníž. přenesená",J244,0)</f>
        <v>0</v>
      </c>
      <c r="BI244" s="181">
        <f>IF(N244="nulová",J244,0)</f>
        <v>0</v>
      </c>
      <c r="BJ244" s="24" t="s">
        <v>79</v>
      </c>
      <c r="BK244" s="181">
        <f>ROUND(I244*H244,2)</f>
        <v>10235</v>
      </c>
      <c r="BL244" s="24" t="s">
        <v>143</v>
      </c>
      <c r="BM244" s="24" t="s">
        <v>310</v>
      </c>
    </row>
    <row r="245" spans="2:65" s="308" customFormat="1" ht="16.5" customHeight="1" x14ac:dyDescent="0.3">
      <c r="B245" s="169"/>
      <c r="C245" s="335"/>
      <c r="D245" s="335"/>
      <c r="E245" s="336"/>
      <c r="F245" s="346" t="s">
        <v>1253</v>
      </c>
      <c r="G245" s="347"/>
      <c r="H245" s="348"/>
      <c r="I245" s="340">
        <v>0</v>
      </c>
      <c r="J245" s="341"/>
      <c r="K245" s="337"/>
      <c r="L245" s="41"/>
      <c r="M245" s="342"/>
      <c r="N245" s="343"/>
      <c r="O245" s="344"/>
      <c r="P245" s="345"/>
      <c r="Q245" s="345"/>
      <c r="R245" s="345"/>
      <c r="S245" s="345"/>
      <c r="T245" s="180"/>
      <c r="AR245" s="24"/>
      <c r="AT245" s="24"/>
      <c r="AU245" s="24"/>
      <c r="AY245" s="24"/>
      <c r="BE245" s="181"/>
      <c r="BF245" s="181"/>
      <c r="BG245" s="181"/>
      <c r="BH245" s="181"/>
      <c r="BI245" s="181"/>
      <c r="BJ245" s="24"/>
      <c r="BK245" s="181"/>
      <c r="BL245" s="24"/>
      <c r="BM245" s="24"/>
    </row>
    <row r="246" spans="2:65" s="12" customFormat="1" x14ac:dyDescent="0.3">
      <c r="B246" s="190"/>
      <c r="D246" s="183" t="s">
        <v>145</v>
      </c>
      <c r="E246" s="191" t="s">
        <v>5</v>
      </c>
      <c r="F246" s="312" t="s">
        <v>1254</v>
      </c>
      <c r="G246" s="327"/>
      <c r="H246" s="315">
        <f>4*0.8*0.25+4.9*0.8*0.25</f>
        <v>1.7800000000000002</v>
      </c>
      <c r="I246" s="194">
        <v>0</v>
      </c>
      <c r="L246" s="41"/>
      <c r="M246" s="195"/>
      <c r="N246" s="196"/>
      <c r="O246" s="196"/>
      <c r="P246" s="196"/>
      <c r="Q246" s="196"/>
      <c r="R246" s="196"/>
      <c r="S246" s="196"/>
      <c r="T246" s="197"/>
      <c r="AT246" s="191" t="s">
        <v>145</v>
      </c>
      <c r="AU246" s="191" t="s">
        <v>81</v>
      </c>
      <c r="AV246" s="12" t="s">
        <v>81</v>
      </c>
      <c r="AW246" s="12" t="s">
        <v>35</v>
      </c>
      <c r="AX246" s="12" t="s">
        <v>79</v>
      </c>
      <c r="AY246" s="191" t="s">
        <v>136</v>
      </c>
    </row>
    <row r="247" spans="2:65" s="1" customFormat="1" ht="16.5" customHeight="1" x14ac:dyDescent="0.3">
      <c r="B247" s="169"/>
      <c r="C247" s="404" t="s">
        <v>311</v>
      </c>
      <c r="D247" s="404" t="s">
        <v>138</v>
      </c>
      <c r="E247" s="171" t="s">
        <v>312</v>
      </c>
      <c r="F247" s="172" t="s">
        <v>313</v>
      </c>
      <c r="G247" s="173" t="s">
        <v>164</v>
      </c>
      <c r="H247" s="313">
        <f>H248</f>
        <v>0.26700000000000002</v>
      </c>
      <c r="I247" s="175">
        <v>46000</v>
      </c>
      <c r="J247" s="176">
        <f>ROUND(I247*H247,2)</f>
        <v>12282</v>
      </c>
      <c r="K247" s="172" t="s">
        <v>142</v>
      </c>
      <c r="L247" s="41"/>
      <c r="M247" s="177" t="s">
        <v>5</v>
      </c>
      <c r="N247" s="178" t="s">
        <v>42</v>
      </c>
      <c r="O247" s="42"/>
      <c r="P247" s="179">
        <f>O247*H247</f>
        <v>0</v>
      </c>
      <c r="Q247" s="179">
        <v>1.04887</v>
      </c>
      <c r="R247" s="179">
        <f>Q247*H247</f>
        <v>0.28004829000000003</v>
      </c>
      <c r="S247" s="179">
        <v>0</v>
      </c>
      <c r="T247" s="180">
        <f>S247*H247</f>
        <v>0</v>
      </c>
      <c r="AR247" s="24" t="s">
        <v>143</v>
      </c>
      <c r="AT247" s="24" t="s">
        <v>138</v>
      </c>
      <c r="AU247" s="24" t="s">
        <v>81</v>
      </c>
      <c r="AY247" s="24" t="s">
        <v>136</v>
      </c>
      <c r="BE247" s="181">
        <f>IF(N247="základní",J247,0)</f>
        <v>12282</v>
      </c>
      <c r="BF247" s="181">
        <f>IF(N247="snížená",J247,0)</f>
        <v>0</v>
      </c>
      <c r="BG247" s="181">
        <f>IF(N247="zákl. přenesená",J247,0)</f>
        <v>0</v>
      </c>
      <c r="BH247" s="181">
        <f>IF(N247="sníž. přenesená",J247,0)</f>
        <v>0</v>
      </c>
      <c r="BI247" s="181">
        <f>IF(N247="nulová",J247,0)</f>
        <v>0</v>
      </c>
      <c r="BJ247" s="24" t="s">
        <v>79</v>
      </c>
      <c r="BK247" s="181">
        <f>ROUND(I247*H247,2)</f>
        <v>12282</v>
      </c>
      <c r="BL247" s="24" t="s">
        <v>143</v>
      </c>
      <c r="BM247" s="24" t="s">
        <v>314</v>
      </c>
    </row>
    <row r="248" spans="2:65" s="12" customFormat="1" x14ac:dyDescent="0.3">
      <c r="B248" s="190"/>
      <c r="C248" s="428"/>
      <c r="D248" s="429" t="s">
        <v>145</v>
      </c>
      <c r="E248" s="191" t="s">
        <v>5</v>
      </c>
      <c r="F248" s="312" t="s">
        <v>1514</v>
      </c>
      <c r="H248" s="315">
        <f>1.78*0.15</f>
        <v>0.26700000000000002</v>
      </c>
      <c r="I248" s="194">
        <v>0</v>
      </c>
      <c r="L248" s="41"/>
      <c r="M248" s="195"/>
      <c r="N248" s="196"/>
      <c r="O248" s="196"/>
      <c r="P248" s="196"/>
      <c r="Q248" s="196"/>
      <c r="R248" s="196"/>
      <c r="S248" s="196"/>
      <c r="T248" s="197"/>
      <c r="AT248" s="191" t="s">
        <v>145</v>
      </c>
      <c r="AU248" s="191" t="s">
        <v>81</v>
      </c>
      <c r="AV248" s="12" t="s">
        <v>81</v>
      </c>
      <c r="AW248" s="12" t="s">
        <v>35</v>
      </c>
      <c r="AX248" s="12" t="s">
        <v>79</v>
      </c>
      <c r="AY248" s="191" t="s">
        <v>136</v>
      </c>
    </row>
    <row r="249" spans="2:65" s="1" customFormat="1" ht="16.5" customHeight="1" x14ac:dyDescent="0.3">
      <c r="B249" s="169"/>
      <c r="C249" s="404" t="s">
        <v>315</v>
      </c>
      <c r="D249" s="404" t="s">
        <v>138</v>
      </c>
      <c r="E249" s="171" t="s">
        <v>316</v>
      </c>
      <c r="F249" s="172" t="s">
        <v>317</v>
      </c>
      <c r="G249" s="173" t="s">
        <v>179</v>
      </c>
      <c r="H249" s="313">
        <f>H250</f>
        <v>11.600000000000001</v>
      </c>
      <c r="I249" s="175">
        <v>1380</v>
      </c>
      <c r="J249" s="176">
        <f>ROUND(I249*H249,2)</f>
        <v>16008</v>
      </c>
      <c r="K249" s="172" t="s">
        <v>142</v>
      </c>
      <c r="L249" s="41"/>
      <c r="M249" s="177" t="s">
        <v>5</v>
      </c>
      <c r="N249" s="178" t="s">
        <v>42</v>
      </c>
      <c r="O249" s="42"/>
      <c r="P249" s="179">
        <f>O249*H249</f>
        <v>0</v>
      </c>
      <c r="Q249" s="179">
        <v>1.282E-2</v>
      </c>
      <c r="R249" s="179">
        <f>Q249*H249</f>
        <v>0.14871200000000001</v>
      </c>
      <c r="S249" s="179">
        <v>0</v>
      </c>
      <c r="T249" s="180">
        <f>S249*H249</f>
        <v>0</v>
      </c>
      <c r="AR249" s="24" t="s">
        <v>143</v>
      </c>
      <c r="AT249" s="24" t="s">
        <v>138</v>
      </c>
      <c r="AU249" s="24" t="s">
        <v>81</v>
      </c>
      <c r="AY249" s="24" t="s">
        <v>136</v>
      </c>
      <c r="BE249" s="181">
        <f>IF(N249="základní",J249,0)</f>
        <v>16008</v>
      </c>
      <c r="BF249" s="181">
        <f>IF(N249="snížená",J249,0)</f>
        <v>0</v>
      </c>
      <c r="BG249" s="181">
        <f>IF(N249="zákl. přenesená",J249,0)</f>
        <v>0</v>
      </c>
      <c r="BH249" s="181">
        <f>IF(N249="sníž. přenesená",J249,0)</f>
        <v>0</v>
      </c>
      <c r="BI249" s="181">
        <f>IF(N249="nulová",J249,0)</f>
        <v>0</v>
      </c>
      <c r="BJ249" s="24" t="s">
        <v>79</v>
      </c>
      <c r="BK249" s="181">
        <f>ROUND(I249*H249,2)</f>
        <v>16008</v>
      </c>
      <c r="BL249" s="24" t="s">
        <v>143</v>
      </c>
      <c r="BM249" s="24" t="s">
        <v>318</v>
      </c>
    </row>
    <row r="250" spans="2:65" s="12" customFormat="1" x14ac:dyDescent="0.3">
      <c r="B250" s="190"/>
      <c r="C250" s="428"/>
      <c r="D250" s="429" t="s">
        <v>145</v>
      </c>
      <c r="E250" s="191" t="s">
        <v>5</v>
      </c>
      <c r="F250" s="312" t="s">
        <v>1255</v>
      </c>
      <c r="H250" s="315">
        <f>4*0.8+4.9*0.8+12*0.8*0.2+16*0.8*0.2</f>
        <v>11.600000000000001</v>
      </c>
      <c r="I250" s="194">
        <v>0</v>
      </c>
      <c r="L250" s="41"/>
      <c r="M250" s="195"/>
      <c r="N250" s="196"/>
      <c r="O250" s="196"/>
      <c r="P250" s="196"/>
      <c r="Q250" s="196"/>
      <c r="R250" s="196"/>
      <c r="S250" s="196"/>
      <c r="T250" s="197"/>
      <c r="AT250" s="191" t="s">
        <v>145</v>
      </c>
      <c r="AU250" s="191" t="s">
        <v>81</v>
      </c>
      <c r="AV250" s="12" t="s">
        <v>81</v>
      </c>
      <c r="AW250" s="12" t="s">
        <v>35</v>
      </c>
      <c r="AX250" s="12" t="s">
        <v>79</v>
      </c>
      <c r="AY250" s="191" t="s">
        <v>136</v>
      </c>
    </row>
    <row r="251" spans="2:65" s="1" customFormat="1" ht="16.5" customHeight="1" x14ac:dyDescent="0.3">
      <c r="B251" s="169"/>
      <c r="C251" s="404" t="s">
        <v>319</v>
      </c>
      <c r="D251" s="404" t="s">
        <v>138</v>
      </c>
      <c r="E251" s="171" t="s">
        <v>320</v>
      </c>
      <c r="F251" s="172" t="s">
        <v>321</v>
      </c>
      <c r="G251" s="173" t="s">
        <v>179</v>
      </c>
      <c r="H251" s="320">
        <f>H249</f>
        <v>11.600000000000001</v>
      </c>
      <c r="I251" s="175">
        <v>172.5</v>
      </c>
      <c r="J251" s="176">
        <f>ROUND(I251*H251,2)</f>
        <v>2001</v>
      </c>
      <c r="K251" s="172" t="s">
        <v>142</v>
      </c>
      <c r="L251" s="41"/>
      <c r="M251" s="177" t="s">
        <v>5</v>
      </c>
      <c r="N251" s="178" t="s">
        <v>42</v>
      </c>
      <c r="O251" s="42"/>
      <c r="P251" s="179">
        <f>O251*H251</f>
        <v>0</v>
      </c>
      <c r="Q251" s="179">
        <v>0</v>
      </c>
      <c r="R251" s="179">
        <f>Q251*H251</f>
        <v>0</v>
      </c>
      <c r="S251" s="179">
        <v>0</v>
      </c>
      <c r="T251" s="180">
        <f>S251*H251</f>
        <v>0</v>
      </c>
      <c r="AR251" s="24" t="s">
        <v>143</v>
      </c>
      <c r="AT251" s="24" t="s">
        <v>138</v>
      </c>
      <c r="AU251" s="24" t="s">
        <v>81</v>
      </c>
      <c r="AY251" s="24" t="s">
        <v>136</v>
      </c>
      <c r="BE251" s="181">
        <f>IF(N251="základní",J251,0)</f>
        <v>2001</v>
      </c>
      <c r="BF251" s="181">
        <f>IF(N251="snížená",J251,0)</f>
        <v>0</v>
      </c>
      <c r="BG251" s="181">
        <f>IF(N251="zákl. přenesená",J251,0)</f>
        <v>0</v>
      </c>
      <c r="BH251" s="181">
        <f>IF(N251="sníž. přenesená",J251,0)</f>
        <v>0</v>
      </c>
      <c r="BI251" s="181">
        <f>IF(N251="nulová",J251,0)</f>
        <v>0</v>
      </c>
      <c r="BJ251" s="24" t="s">
        <v>79</v>
      </c>
      <c r="BK251" s="181">
        <f>ROUND(I251*H251,2)</f>
        <v>2001</v>
      </c>
      <c r="BL251" s="24" t="s">
        <v>143</v>
      </c>
      <c r="BM251" s="24" t="s">
        <v>322</v>
      </c>
    </row>
    <row r="252" spans="2:65" s="308" customFormat="1" ht="16.5" customHeight="1" x14ac:dyDescent="0.3">
      <c r="B252" s="169"/>
      <c r="C252" s="404"/>
      <c r="D252" s="404"/>
      <c r="E252" s="171"/>
      <c r="F252" s="172" t="s">
        <v>1260</v>
      </c>
      <c r="G252" s="173" t="s">
        <v>141</v>
      </c>
      <c r="H252" s="174">
        <f>SUM(H254:H255)</f>
        <v>0.68046874999999996</v>
      </c>
      <c r="I252" s="175">
        <v>4830</v>
      </c>
      <c r="J252" s="176">
        <f t="shared" ref="J252:J270" si="4">ROUND(I252*H252,2)</f>
        <v>3286.66</v>
      </c>
      <c r="K252" s="172"/>
      <c r="L252" s="41"/>
      <c r="M252" s="177"/>
      <c r="N252" s="178"/>
      <c r="O252" s="309"/>
      <c r="P252" s="179"/>
      <c r="Q252" s="179"/>
      <c r="R252" s="179"/>
      <c r="S252" s="179"/>
      <c r="T252" s="180"/>
      <c r="AR252" s="24"/>
      <c r="AT252" s="24"/>
      <c r="AU252" s="24"/>
      <c r="AY252" s="24"/>
      <c r="BE252" s="181"/>
      <c r="BF252" s="181"/>
      <c r="BG252" s="181"/>
      <c r="BH252" s="181"/>
      <c r="BI252" s="181"/>
      <c r="BJ252" s="24"/>
      <c r="BK252" s="181"/>
      <c r="BL252" s="24"/>
      <c r="BM252" s="24"/>
    </row>
    <row r="253" spans="2:65" s="12" customFormat="1" x14ac:dyDescent="0.3">
      <c r="B253" s="190"/>
      <c r="C253" s="428"/>
      <c r="D253" s="429"/>
      <c r="E253" s="191"/>
      <c r="F253" s="312" t="s">
        <v>1205</v>
      </c>
      <c r="H253" s="315"/>
      <c r="I253" s="194">
        <v>0</v>
      </c>
      <c r="J253" s="176">
        <f t="shared" si="4"/>
        <v>0</v>
      </c>
      <c r="L253" s="41"/>
      <c r="M253" s="195"/>
      <c r="N253" s="196"/>
      <c r="O253" s="196"/>
      <c r="P253" s="196"/>
      <c r="Q253" s="196"/>
      <c r="R253" s="196"/>
      <c r="S253" s="196"/>
      <c r="T253" s="197"/>
      <c r="AT253" s="191"/>
      <c r="AU253" s="191"/>
      <c r="AY253" s="191"/>
    </row>
    <row r="254" spans="2:65" s="12" customFormat="1" ht="12.75" customHeight="1" x14ac:dyDescent="0.3">
      <c r="B254" s="190"/>
      <c r="C254" s="428"/>
      <c r="D254" s="429"/>
      <c r="E254" s="314" t="s">
        <v>1256</v>
      </c>
      <c r="F254" s="312" t="s">
        <v>1258</v>
      </c>
      <c r="G254" s="327"/>
      <c r="H254" s="315">
        <f>0.25*0.25*2.5*2</f>
        <v>0.3125</v>
      </c>
      <c r="I254" s="194">
        <v>0</v>
      </c>
      <c r="J254" s="176">
        <f t="shared" si="4"/>
        <v>0</v>
      </c>
      <c r="L254" s="41"/>
      <c r="M254" s="195"/>
      <c r="N254" s="196"/>
      <c r="O254" s="196"/>
      <c r="P254" s="196"/>
      <c r="Q254" s="196"/>
      <c r="R254" s="196"/>
      <c r="S254" s="196"/>
      <c r="T254" s="197"/>
      <c r="AT254" s="191"/>
      <c r="AU254" s="191"/>
      <c r="AY254" s="191"/>
    </row>
    <row r="255" spans="2:65" s="308" customFormat="1" ht="16.5" customHeight="1" x14ac:dyDescent="0.3">
      <c r="B255" s="169"/>
      <c r="C255" s="427"/>
      <c r="D255" s="427"/>
      <c r="E255" s="349" t="s">
        <v>1257</v>
      </c>
      <c r="F255" s="346" t="s">
        <v>1259</v>
      </c>
      <c r="G255" s="347"/>
      <c r="H255" s="348">
        <f>3.14*0.125*0.125*2.5*3</f>
        <v>0.36796875000000001</v>
      </c>
      <c r="I255" s="340">
        <v>0</v>
      </c>
      <c r="J255" s="176">
        <f t="shared" si="4"/>
        <v>0</v>
      </c>
      <c r="K255" s="337"/>
      <c r="L255" s="41"/>
      <c r="M255" s="342"/>
      <c r="N255" s="343"/>
      <c r="O255" s="344"/>
      <c r="P255" s="345"/>
      <c r="Q255" s="345"/>
      <c r="R255" s="345"/>
      <c r="S255" s="345"/>
      <c r="T255" s="180"/>
      <c r="AR255" s="24"/>
      <c r="AT255" s="24"/>
      <c r="AU255" s="24"/>
      <c r="AY255" s="24"/>
      <c r="BE255" s="181"/>
      <c r="BF255" s="181"/>
      <c r="BG255" s="181"/>
      <c r="BH255" s="181"/>
      <c r="BI255" s="181"/>
      <c r="BJ255" s="24"/>
      <c r="BK255" s="181"/>
      <c r="BL255" s="24"/>
      <c r="BM255" s="24"/>
    </row>
    <row r="256" spans="2:65" s="308" customFormat="1" ht="16.5" customHeight="1" x14ac:dyDescent="0.3">
      <c r="B256" s="169"/>
      <c r="C256" s="404"/>
      <c r="D256" s="404"/>
      <c r="E256" s="350"/>
      <c r="F256" s="172" t="s">
        <v>1261</v>
      </c>
      <c r="G256" s="173" t="s">
        <v>164</v>
      </c>
      <c r="H256" s="174">
        <f>H257</f>
        <v>0.10200000000000001</v>
      </c>
      <c r="I256" s="175">
        <v>51749.999999999993</v>
      </c>
      <c r="J256" s="176">
        <f t="shared" si="4"/>
        <v>5278.5</v>
      </c>
      <c r="K256" s="172"/>
      <c r="L256" s="41"/>
      <c r="M256" s="177"/>
      <c r="N256" s="178"/>
      <c r="O256" s="309"/>
      <c r="P256" s="179"/>
      <c r="Q256" s="179"/>
      <c r="R256" s="179"/>
      <c r="S256" s="179"/>
      <c r="T256" s="180"/>
      <c r="AR256" s="24"/>
      <c r="AT256" s="24"/>
      <c r="AU256" s="24"/>
      <c r="AY256" s="24"/>
      <c r="BE256" s="181"/>
      <c r="BF256" s="181"/>
      <c r="BG256" s="181"/>
      <c r="BH256" s="181"/>
      <c r="BI256" s="181"/>
      <c r="BJ256" s="24"/>
      <c r="BK256" s="181"/>
      <c r="BL256" s="24"/>
      <c r="BM256" s="24"/>
    </row>
    <row r="257" spans="2:65" s="12" customFormat="1" ht="12.75" customHeight="1" x14ac:dyDescent="0.3">
      <c r="B257" s="190"/>
      <c r="C257" s="428"/>
      <c r="D257" s="429"/>
      <c r="E257" s="351"/>
      <c r="F257" s="352" t="s">
        <v>1262</v>
      </c>
      <c r="G257" s="327"/>
      <c r="H257" s="315">
        <f>0.68*0.15</f>
        <v>0.10200000000000001</v>
      </c>
      <c r="I257" s="194">
        <v>0</v>
      </c>
      <c r="J257" s="176">
        <f t="shared" si="4"/>
        <v>0</v>
      </c>
      <c r="L257" s="41"/>
      <c r="M257" s="195"/>
      <c r="N257" s="196"/>
      <c r="O257" s="196"/>
      <c r="P257" s="196"/>
      <c r="Q257" s="196"/>
      <c r="R257" s="196"/>
      <c r="S257" s="196"/>
      <c r="T257" s="197"/>
      <c r="AT257" s="191"/>
      <c r="AU257" s="191"/>
      <c r="AY257" s="191"/>
    </row>
    <row r="258" spans="2:65" s="308" customFormat="1" ht="16.5" customHeight="1" x14ac:dyDescent="0.3">
      <c r="B258" s="169"/>
      <c r="C258" s="404"/>
      <c r="D258" s="404"/>
      <c r="E258" s="350"/>
      <c r="F258" s="172" t="s">
        <v>1263</v>
      </c>
      <c r="G258" s="173" t="s">
        <v>179</v>
      </c>
      <c r="H258" s="174">
        <f>SUM(H259:H260)</f>
        <v>21.774999999999999</v>
      </c>
      <c r="I258" s="175">
        <v>862.49999999999989</v>
      </c>
      <c r="J258" s="176">
        <f t="shared" si="4"/>
        <v>18780.939999999999</v>
      </c>
      <c r="K258" s="172"/>
      <c r="L258" s="41"/>
      <c r="M258" s="177"/>
      <c r="N258" s="178"/>
      <c r="O258" s="309"/>
      <c r="P258" s="179"/>
      <c r="Q258" s="179"/>
      <c r="R258" s="179"/>
      <c r="S258" s="179"/>
      <c r="T258" s="180"/>
      <c r="AR258" s="24"/>
      <c r="AT258" s="24"/>
      <c r="AU258" s="24"/>
      <c r="AY258" s="24"/>
      <c r="BE258" s="181"/>
      <c r="BF258" s="181"/>
      <c r="BG258" s="181"/>
      <c r="BH258" s="181"/>
      <c r="BI258" s="181"/>
      <c r="BJ258" s="24"/>
      <c r="BK258" s="181"/>
      <c r="BL258" s="24"/>
      <c r="BM258" s="24"/>
    </row>
    <row r="259" spans="2:65" s="12" customFormat="1" ht="12.75" customHeight="1" x14ac:dyDescent="0.3">
      <c r="B259" s="190"/>
      <c r="D259" s="183"/>
      <c r="E259" s="351"/>
      <c r="F259" s="352" t="s">
        <v>1515</v>
      </c>
      <c r="G259" s="327"/>
      <c r="H259" s="315">
        <f>0.5*4*2*2.5</f>
        <v>10</v>
      </c>
      <c r="I259" s="194">
        <v>0</v>
      </c>
      <c r="J259" s="176">
        <f t="shared" si="4"/>
        <v>0</v>
      </c>
      <c r="L259" s="41"/>
      <c r="M259" s="195"/>
      <c r="N259" s="196"/>
      <c r="O259" s="196"/>
      <c r="P259" s="196"/>
      <c r="Q259" s="196"/>
      <c r="R259" s="196"/>
      <c r="S259" s="196"/>
      <c r="T259" s="197"/>
      <c r="AT259" s="191"/>
      <c r="AU259" s="191"/>
      <c r="AY259" s="191"/>
    </row>
    <row r="260" spans="2:65" s="308" customFormat="1" ht="16.5" customHeight="1" x14ac:dyDescent="0.3">
      <c r="B260" s="169"/>
      <c r="C260" s="335"/>
      <c r="D260" s="335"/>
      <c r="E260" s="353"/>
      <c r="F260" s="354" t="s">
        <v>1516</v>
      </c>
      <c r="G260" s="338"/>
      <c r="H260" s="339">
        <f>3.14*0.5*2.5*3</f>
        <v>11.775</v>
      </c>
      <c r="I260" s="340">
        <v>0</v>
      </c>
      <c r="J260" s="176">
        <f t="shared" si="4"/>
        <v>0</v>
      </c>
      <c r="K260" s="337"/>
      <c r="L260" s="41"/>
      <c r="M260" s="342"/>
      <c r="N260" s="343"/>
      <c r="O260" s="344"/>
      <c r="P260" s="345"/>
      <c r="Q260" s="345"/>
      <c r="R260" s="345"/>
      <c r="S260" s="345"/>
      <c r="T260" s="180"/>
      <c r="AR260" s="24"/>
      <c r="AT260" s="24"/>
      <c r="AU260" s="24"/>
      <c r="AY260" s="24"/>
      <c r="BE260" s="181"/>
      <c r="BF260" s="181"/>
      <c r="BG260" s="181"/>
      <c r="BH260" s="181"/>
      <c r="BI260" s="181"/>
      <c r="BJ260" s="24"/>
      <c r="BK260" s="181"/>
      <c r="BL260" s="24"/>
      <c r="BM260" s="24"/>
    </row>
    <row r="261" spans="2:65" s="308" customFormat="1" ht="16.5" customHeight="1" x14ac:dyDescent="0.3">
      <c r="B261" s="169"/>
      <c r="C261" s="170"/>
      <c r="D261" s="404"/>
      <c r="E261" s="350"/>
      <c r="F261" s="172" t="s">
        <v>1264</v>
      </c>
      <c r="G261" s="173" t="s">
        <v>179</v>
      </c>
      <c r="H261" s="174">
        <f>H258</f>
        <v>21.774999999999999</v>
      </c>
      <c r="I261" s="175">
        <v>114.99999999999999</v>
      </c>
      <c r="J261" s="176">
        <f t="shared" si="4"/>
        <v>2504.13</v>
      </c>
      <c r="K261" s="172"/>
      <c r="L261" s="41"/>
      <c r="M261" s="177"/>
      <c r="N261" s="178"/>
      <c r="O261" s="309"/>
      <c r="P261" s="179"/>
      <c r="Q261" s="179"/>
      <c r="R261" s="179"/>
      <c r="S261" s="179"/>
      <c r="T261" s="180"/>
      <c r="AR261" s="24"/>
      <c r="AT261" s="24"/>
      <c r="AU261" s="24"/>
      <c r="AY261" s="24"/>
      <c r="BE261" s="181"/>
      <c r="BF261" s="181"/>
      <c r="BG261" s="181"/>
      <c r="BH261" s="181"/>
      <c r="BI261" s="181"/>
      <c r="BJ261" s="24"/>
      <c r="BK261" s="181"/>
      <c r="BL261" s="24"/>
      <c r="BM261" s="24"/>
    </row>
    <row r="262" spans="2:65" s="308" customFormat="1" ht="16.5" customHeight="1" x14ac:dyDescent="0.3">
      <c r="B262" s="169"/>
      <c r="C262" s="170"/>
      <c r="D262" s="404"/>
      <c r="E262" s="350"/>
      <c r="F262" s="172" t="s">
        <v>1563</v>
      </c>
      <c r="G262" s="173" t="s">
        <v>141</v>
      </c>
      <c r="H262" s="174">
        <f>H263</f>
        <v>1.575</v>
      </c>
      <c r="I262" s="175">
        <v>23000</v>
      </c>
      <c r="J262" s="176">
        <f t="shared" si="4"/>
        <v>36225</v>
      </c>
      <c r="K262" s="172"/>
      <c r="L262" s="41"/>
      <c r="M262" s="177"/>
      <c r="N262" s="178"/>
      <c r="O262" s="309"/>
      <c r="P262" s="179"/>
      <c r="Q262" s="179"/>
      <c r="R262" s="179"/>
      <c r="S262" s="179"/>
      <c r="T262" s="180"/>
      <c r="AR262" s="24"/>
      <c r="AT262" s="24"/>
      <c r="AU262" s="24"/>
      <c r="AY262" s="24"/>
      <c r="BE262" s="181"/>
      <c r="BF262" s="181"/>
      <c r="BG262" s="181"/>
      <c r="BH262" s="181"/>
      <c r="BI262" s="181"/>
      <c r="BJ262" s="24"/>
      <c r="BK262" s="181"/>
      <c r="BL262" s="24"/>
      <c r="BM262" s="24"/>
    </row>
    <row r="263" spans="2:65" s="308" customFormat="1" ht="16.5" customHeight="1" x14ac:dyDescent="0.3">
      <c r="B263" s="169"/>
      <c r="C263" s="335"/>
      <c r="D263" s="427"/>
      <c r="E263" s="353"/>
      <c r="F263" s="354" t="s">
        <v>1265</v>
      </c>
      <c r="G263" s="338"/>
      <c r="H263" s="339">
        <f>6.3*0.2*1.25</f>
        <v>1.575</v>
      </c>
      <c r="I263" s="340">
        <v>0</v>
      </c>
      <c r="J263" s="176">
        <f t="shared" si="4"/>
        <v>0</v>
      </c>
      <c r="K263" s="337"/>
      <c r="L263" s="41"/>
      <c r="M263" s="342"/>
      <c r="N263" s="343"/>
      <c r="O263" s="344"/>
      <c r="P263" s="345"/>
      <c r="Q263" s="345"/>
      <c r="R263" s="345"/>
      <c r="S263" s="345"/>
      <c r="T263" s="180"/>
      <c r="AR263" s="24"/>
      <c r="AT263" s="24"/>
      <c r="AU263" s="24"/>
      <c r="AY263" s="24"/>
      <c r="BE263" s="181"/>
      <c r="BF263" s="181"/>
      <c r="BG263" s="181"/>
      <c r="BH263" s="181"/>
      <c r="BI263" s="181"/>
      <c r="BJ263" s="24"/>
      <c r="BK263" s="181"/>
      <c r="BL263" s="24"/>
      <c r="BM263" s="24"/>
    </row>
    <row r="264" spans="2:65" s="308" customFormat="1" ht="16.5" customHeight="1" x14ac:dyDescent="0.3">
      <c r="B264" s="169"/>
      <c r="C264" s="170"/>
      <c r="D264" s="404"/>
      <c r="E264" s="350"/>
      <c r="F264" s="172" t="s">
        <v>1266</v>
      </c>
      <c r="G264" s="173" t="s">
        <v>164</v>
      </c>
      <c r="H264" s="174">
        <v>0.22500000000000001</v>
      </c>
      <c r="I264" s="175">
        <v>11500</v>
      </c>
      <c r="J264" s="176">
        <f t="shared" si="4"/>
        <v>2587.5</v>
      </c>
      <c r="K264" s="172"/>
      <c r="L264" s="41"/>
      <c r="M264" s="177"/>
      <c r="N264" s="178"/>
      <c r="O264" s="309"/>
      <c r="P264" s="179"/>
      <c r="Q264" s="179"/>
      <c r="R264" s="179"/>
      <c r="S264" s="179"/>
      <c r="T264" s="180"/>
      <c r="AR264" s="24"/>
      <c r="AT264" s="24"/>
      <c r="AU264" s="24"/>
      <c r="AY264" s="24"/>
      <c r="BE264" s="181"/>
      <c r="BF264" s="181"/>
      <c r="BG264" s="181"/>
      <c r="BH264" s="181"/>
      <c r="BI264" s="181"/>
      <c r="BJ264" s="24"/>
      <c r="BK264" s="181"/>
      <c r="BL264" s="24"/>
      <c r="BM264" s="24"/>
    </row>
    <row r="265" spans="2:65" s="308" customFormat="1" ht="16.5" customHeight="1" x14ac:dyDescent="0.3">
      <c r="B265" s="169"/>
      <c r="C265" s="170"/>
      <c r="D265" s="404"/>
      <c r="E265" s="350"/>
      <c r="F265" s="172" t="s">
        <v>1267</v>
      </c>
      <c r="G265" s="173" t="s">
        <v>164</v>
      </c>
      <c r="H265" s="174">
        <f>H266</f>
        <v>0.24299999999999999</v>
      </c>
      <c r="I265" s="175">
        <v>32199.999999999996</v>
      </c>
      <c r="J265" s="176">
        <f t="shared" si="4"/>
        <v>7824.6</v>
      </c>
      <c r="K265" s="172"/>
      <c r="L265" s="41"/>
      <c r="M265" s="177"/>
      <c r="N265" s="178"/>
      <c r="O265" s="309"/>
      <c r="P265" s="179"/>
      <c r="Q265" s="179"/>
      <c r="R265" s="179"/>
      <c r="S265" s="179"/>
      <c r="T265" s="180"/>
      <c r="AR265" s="24"/>
      <c r="AT265" s="24"/>
      <c r="AU265" s="24"/>
      <c r="AY265" s="24"/>
      <c r="BE265" s="181"/>
      <c r="BF265" s="181"/>
      <c r="BG265" s="181"/>
      <c r="BH265" s="181"/>
      <c r="BI265" s="181"/>
      <c r="BJ265" s="24"/>
      <c r="BK265" s="181"/>
      <c r="BL265" s="24"/>
      <c r="BM265" s="24"/>
    </row>
    <row r="266" spans="2:65" s="308" customFormat="1" ht="16.5" customHeight="1" x14ac:dyDescent="0.3">
      <c r="B266" s="169"/>
      <c r="C266" s="335"/>
      <c r="D266" s="427"/>
      <c r="E266" s="353"/>
      <c r="F266" s="354" t="s">
        <v>1562</v>
      </c>
      <c r="G266" s="338"/>
      <c r="H266" s="339">
        <v>0.24299999999999999</v>
      </c>
      <c r="I266" s="340">
        <v>0</v>
      </c>
      <c r="J266" s="176">
        <f t="shared" si="4"/>
        <v>0</v>
      </c>
      <c r="K266" s="337"/>
      <c r="L266" s="41"/>
      <c r="M266" s="342"/>
      <c r="N266" s="343"/>
      <c r="O266" s="344"/>
      <c r="P266" s="345"/>
      <c r="Q266" s="345"/>
      <c r="R266" s="345"/>
      <c r="S266" s="345"/>
      <c r="T266" s="180"/>
      <c r="AR266" s="24"/>
      <c r="AT266" s="24"/>
      <c r="AU266" s="24"/>
      <c r="AY266" s="24"/>
      <c r="BE266" s="181"/>
      <c r="BF266" s="181"/>
      <c r="BG266" s="181"/>
      <c r="BH266" s="181"/>
      <c r="BI266" s="181"/>
      <c r="BJ266" s="24"/>
      <c r="BK266" s="181"/>
      <c r="BL266" s="24"/>
      <c r="BM266" s="24"/>
    </row>
    <row r="267" spans="2:65" s="310" customFormat="1" ht="16.5" customHeight="1" x14ac:dyDescent="0.3">
      <c r="B267" s="169"/>
      <c r="C267" s="170"/>
      <c r="D267" s="404"/>
      <c r="E267" s="350"/>
      <c r="F267" s="172" t="s">
        <v>1546</v>
      </c>
      <c r="G267" s="173" t="s">
        <v>249</v>
      </c>
      <c r="H267" s="174">
        <f>H268</f>
        <v>2.88</v>
      </c>
      <c r="I267" s="175">
        <v>1954.9999999999998</v>
      </c>
      <c r="J267" s="176">
        <f t="shared" si="4"/>
        <v>5630.4</v>
      </c>
      <c r="K267" s="172"/>
      <c r="L267" s="41"/>
      <c r="M267" s="177"/>
      <c r="N267" s="178"/>
      <c r="O267" s="311"/>
      <c r="P267" s="179"/>
      <c r="Q267" s="179"/>
      <c r="R267" s="179"/>
      <c r="S267" s="179"/>
      <c r="T267" s="180"/>
      <c r="AR267" s="24"/>
      <c r="AT267" s="24"/>
      <c r="AU267" s="24"/>
      <c r="AY267" s="24"/>
      <c r="BE267" s="181"/>
      <c r="BF267" s="181"/>
      <c r="BG267" s="181"/>
      <c r="BH267" s="181"/>
      <c r="BI267" s="181"/>
      <c r="BJ267" s="24"/>
      <c r="BK267" s="181"/>
      <c r="BL267" s="24"/>
      <c r="BM267" s="24"/>
    </row>
    <row r="268" spans="2:65" s="310" customFormat="1" ht="16.5" customHeight="1" x14ac:dyDescent="0.3">
      <c r="B268" s="169"/>
      <c r="C268" s="335"/>
      <c r="D268" s="427"/>
      <c r="E268" s="353" t="s">
        <v>1547</v>
      </c>
      <c r="F268" s="354" t="s">
        <v>1548</v>
      </c>
      <c r="G268" s="338"/>
      <c r="H268" s="339">
        <f>(12+4)*0.18</f>
        <v>2.88</v>
      </c>
      <c r="I268" s="340">
        <v>0</v>
      </c>
      <c r="J268" s="176">
        <f t="shared" si="4"/>
        <v>0</v>
      </c>
      <c r="K268" s="337"/>
      <c r="L268" s="41"/>
      <c r="M268" s="342"/>
      <c r="N268" s="343"/>
      <c r="O268" s="344"/>
      <c r="P268" s="345"/>
      <c r="Q268" s="345"/>
      <c r="R268" s="345"/>
      <c r="S268" s="345"/>
      <c r="T268" s="180"/>
      <c r="AR268" s="24"/>
      <c r="AT268" s="24"/>
      <c r="AU268" s="24"/>
      <c r="AY268" s="24"/>
      <c r="BE268" s="181"/>
      <c r="BF268" s="181"/>
      <c r="BG268" s="181"/>
      <c r="BH268" s="181"/>
      <c r="BI268" s="181"/>
      <c r="BJ268" s="24"/>
      <c r="BK268" s="181"/>
      <c r="BL268" s="24"/>
      <c r="BM268" s="24"/>
    </row>
    <row r="269" spans="2:65" s="310" customFormat="1" ht="16.5" customHeight="1" x14ac:dyDescent="0.3">
      <c r="B269" s="169"/>
      <c r="C269" s="170"/>
      <c r="D269" s="404"/>
      <c r="E269" s="350"/>
      <c r="F269" s="172" t="s">
        <v>1549</v>
      </c>
      <c r="G269" s="173" t="s">
        <v>249</v>
      </c>
      <c r="H269" s="174">
        <f>H270</f>
        <v>0.54</v>
      </c>
      <c r="I269" s="175">
        <v>1897.4999999999998</v>
      </c>
      <c r="J269" s="176">
        <f t="shared" si="4"/>
        <v>1024.6500000000001</v>
      </c>
      <c r="K269" s="172"/>
      <c r="L269" s="41"/>
      <c r="M269" s="177"/>
      <c r="N269" s="178"/>
      <c r="O269" s="311"/>
      <c r="P269" s="179"/>
      <c r="Q269" s="179"/>
      <c r="R269" s="179"/>
      <c r="S269" s="179"/>
      <c r="T269" s="180"/>
      <c r="AR269" s="24"/>
      <c r="AT269" s="24"/>
      <c r="AU269" s="24"/>
      <c r="AY269" s="24"/>
      <c r="BE269" s="181"/>
      <c r="BF269" s="181"/>
      <c r="BG269" s="181"/>
      <c r="BH269" s="181"/>
      <c r="BI269" s="181"/>
      <c r="BJ269" s="24"/>
      <c r="BK269" s="181"/>
      <c r="BL269" s="24"/>
      <c r="BM269" s="24"/>
    </row>
    <row r="270" spans="2:65" s="310" customFormat="1" ht="16.5" customHeight="1" x14ac:dyDescent="0.3">
      <c r="B270" s="169"/>
      <c r="C270" s="335"/>
      <c r="D270" s="335"/>
      <c r="E270" s="353" t="s">
        <v>1550</v>
      </c>
      <c r="F270" s="354" t="s">
        <v>1551</v>
      </c>
      <c r="G270" s="338"/>
      <c r="H270" s="339">
        <f>3*0.18</f>
        <v>0.54</v>
      </c>
      <c r="I270" s="340">
        <v>0</v>
      </c>
      <c r="J270" s="176">
        <f t="shared" si="4"/>
        <v>0</v>
      </c>
      <c r="K270" s="337"/>
      <c r="L270" s="41"/>
      <c r="M270" s="342"/>
      <c r="N270" s="343"/>
      <c r="O270" s="344"/>
      <c r="P270" s="345"/>
      <c r="Q270" s="345"/>
      <c r="R270" s="345"/>
      <c r="S270" s="345"/>
      <c r="T270" s="180"/>
      <c r="AR270" s="24"/>
      <c r="AT270" s="24"/>
      <c r="AU270" s="24"/>
      <c r="AY270" s="24"/>
      <c r="BE270" s="181"/>
      <c r="BF270" s="181"/>
      <c r="BG270" s="181"/>
      <c r="BH270" s="181"/>
      <c r="BI270" s="181"/>
      <c r="BJ270" s="24"/>
      <c r="BK270" s="181"/>
      <c r="BL270" s="24"/>
      <c r="BM270" s="24"/>
    </row>
    <row r="271" spans="2:65" s="10" customFormat="1" ht="29.85" customHeight="1" x14ac:dyDescent="0.3">
      <c r="B271" s="156"/>
      <c r="D271" s="157" t="s">
        <v>70</v>
      </c>
      <c r="E271" s="167" t="s">
        <v>161</v>
      </c>
      <c r="F271" s="167" t="s">
        <v>323</v>
      </c>
      <c r="I271" s="159">
        <v>0</v>
      </c>
      <c r="J271" s="168">
        <f>SUM(J272:J454)</f>
        <v>1159924.23</v>
      </c>
      <c r="L271" s="41"/>
      <c r="M271" s="161"/>
      <c r="N271" s="162"/>
      <c r="O271" s="162"/>
      <c r="P271" s="163">
        <f>SUM(P272:P452)</f>
        <v>0</v>
      </c>
      <c r="Q271" s="162"/>
      <c r="R271" s="163">
        <f>SUM(R272:R452)</f>
        <v>34.600701720000004</v>
      </c>
      <c r="S271" s="162"/>
      <c r="T271" s="164">
        <f>SUM(T272:T452)</f>
        <v>0</v>
      </c>
      <c r="AR271" s="157" t="s">
        <v>79</v>
      </c>
      <c r="AT271" s="165" t="s">
        <v>70</v>
      </c>
      <c r="AU271" s="165" t="s">
        <v>79</v>
      </c>
      <c r="AY271" s="157" t="s">
        <v>136</v>
      </c>
      <c r="BK271" s="166">
        <f>SUM(BK272:BK452)</f>
        <v>1015986.4600000003</v>
      </c>
    </row>
    <row r="272" spans="2:65" s="1" customFormat="1" ht="16.5" customHeight="1" x14ac:dyDescent="0.3">
      <c r="B272" s="169"/>
      <c r="C272" s="170" t="s">
        <v>324</v>
      </c>
      <c r="D272" s="170" t="s">
        <v>138</v>
      </c>
      <c r="E272" s="171" t="s">
        <v>325</v>
      </c>
      <c r="F272" s="172" t="s">
        <v>326</v>
      </c>
      <c r="G272" s="173" t="s">
        <v>179</v>
      </c>
      <c r="H272" s="320">
        <f>H273</f>
        <v>815</v>
      </c>
      <c r="I272" s="175">
        <v>17.25</v>
      </c>
      <c r="J272" s="176">
        <f>ROUND(I272*H272,2)</f>
        <v>14058.75</v>
      </c>
      <c r="K272" s="172" t="s">
        <v>142</v>
      </c>
      <c r="L272" s="41"/>
      <c r="M272" s="177" t="s">
        <v>5</v>
      </c>
      <c r="N272" s="178" t="s">
        <v>42</v>
      </c>
      <c r="O272" s="42"/>
      <c r="P272" s="179">
        <f>O272*H272</f>
        <v>0</v>
      </c>
      <c r="Q272" s="179">
        <v>2.5999999999999998E-4</v>
      </c>
      <c r="R272" s="179">
        <f>Q272*H272</f>
        <v>0.21189999999999998</v>
      </c>
      <c r="S272" s="179">
        <v>0</v>
      </c>
      <c r="T272" s="180">
        <f>S272*H272</f>
        <v>0</v>
      </c>
      <c r="AR272" s="24" t="s">
        <v>143</v>
      </c>
      <c r="AT272" s="24" t="s">
        <v>138</v>
      </c>
      <c r="AU272" s="24" t="s">
        <v>81</v>
      </c>
      <c r="AY272" s="24" t="s">
        <v>136</v>
      </c>
      <c r="BE272" s="181">
        <f>IF(N272="základní",J272,0)</f>
        <v>14058.75</v>
      </c>
      <c r="BF272" s="181">
        <f>IF(N272="snížená",J272,0)</f>
        <v>0</v>
      </c>
      <c r="BG272" s="181">
        <f>IF(N272="zákl. přenesená",J272,0)</f>
        <v>0</v>
      </c>
      <c r="BH272" s="181">
        <f>IF(N272="sníž. přenesená",J272,0)</f>
        <v>0</v>
      </c>
      <c r="BI272" s="181">
        <f>IF(N272="nulová",J272,0)</f>
        <v>0</v>
      </c>
      <c r="BJ272" s="24" t="s">
        <v>79</v>
      </c>
      <c r="BK272" s="181">
        <f>ROUND(I272*H272,2)</f>
        <v>14058.75</v>
      </c>
      <c r="BL272" s="24" t="s">
        <v>143</v>
      </c>
      <c r="BM272" s="24" t="s">
        <v>327</v>
      </c>
    </row>
    <row r="273" spans="2:65" s="1" customFormat="1" ht="16.5" customHeight="1" x14ac:dyDescent="0.3">
      <c r="B273" s="169"/>
      <c r="C273" s="170" t="s">
        <v>328</v>
      </c>
      <c r="D273" s="170" t="s">
        <v>138</v>
      </c>
      <c r="E273" s="171" t="s">
        <v>329</v>
      </c>
      <c r="F273" s="172" t="s">
        <v>330</v>
      </c>
      <c r="G273" s="173" t="s">
        <v>179</v>
      </c>
      <c r="H273" s="320">
        <v>815</v>
      </c>
      <c r="I273" s="175">
        <v>356.5</v>
      </c>
      <c r="J273" s="176">
        <f>ROUND(I273*H273,2)</f>
        <v>290547.5</v>
      </c>
      <c r="K273" s="172" t="s">
        <v>142</v>
      </c>
      <c r="L273" s="41"/>
      <c r="M273" s="177" t="s">
        <v>5</v>
      </c>
      <c r="N273" s="178" t="s">
        <v>42</v>
      </c>
      <c r="O273" s="42"/>
      <c r="P273" s="179">
        <f>O273*H273</f>
        <v>0</v>
      </c>
      <c r="Q273" s="179">
        <v>1.8380000000000001E-2</v>
      </c>
      <c r="R273" s="179">
        <f>Q273*H273</f>
        <v>14.979700000000001</v>
      </c>
      <c r="S273" s="179">
        <v>0</v>
      </c>
      <c r="T273" s="180">
        <f>S273*H273</f>
        <v>0</v>
      </c>
      <c r="AR273" s="24" t="s">
        <v>143</v>
      </c>
      <c r="AT273" s="24" t="s">
        <v>138</v>
      </c>
      <c r="AU273" s="24" t="s">
        <v>81</v>
      </c>
      <c r="AY273" s="24" t="s">
        <v>136</v>
      </c>
      <c r="BE273" s="181">
        <f>IF(N273="základní",J273,0)</f>
        <v>290547.5</v>
      </c>
      <c r="BF273" s="181">
        <f>IF(N273="snížená",J273,0)</f>
        <v>0</v>
      </c>
      <c r="BG273" s="181">
        <f>IF(N273="zákl. přenesená",J273,0)</f>
        <v>0</v>
      </c>
      <c r="BH273" s="181">
        <f>IF(N273="sníž. přenesená",J273,0)</f>
        <v>0</v>
      </c>
      <c r="BI273" s="181">
        <f>IF(N273="nulová",J273,0)</f>
        <v>0</v>
      </c>
      <c r="BJ273" s="24" t="s">
        <v>79</v>
      </c>
      <c r="BK273" s="181">
        <f>ROUND(I273*H273,2)</f>
        <v>290547.5</v>
      </c>
      <c r="BL273" s="24" t="s">
        <v>143</v>
      </c>
      <c r="BM273" s="24" t="s">
        <v>331</v>
      </c>
    </row>
    <row r="274" spans="2:65" s="11" customFormat="1" x14ac:dyDescent="0.3">
      <c r="B274" s="182"/>
      <c r="D274" s="183" t="s">
        <v>145</v>
      </c>
      <c r="E274" s="184" t="s">
        <v>5</v>
      </c>
      <c r="F274" s="329" t="s">
        <v>1205</v>
      </c>
      <c r="H274" s="184"/>
      <c r="I274" s="186">
        <v>0</v>
      </c>
      <c r="L274" s="41"/>
      <c r="M274" s="187"/>
      <c r="N274" s="188"/>
      <c r="O274" s="188"/>
      <c r="P274" s="188"/>
      <c r="Q274" s="188"/>
      <c r="R274" s="188"/>
      <c r="S274" s="188"/>
      <c r="T274" s="189"/>
      <c r="AT274" s="184" t="s">
        <v>145</v>
      </c>
      <c r="AU274" s="184" t="s">
        <v>81</v>
      </c>
      <c r="AV274" s="11" t="s">
        <v>79</v>
      </c>
      <c r="AW274" s="11" t="s">
        <v>35</v>
      </c>
      <c r="AX274" s="11" t="s">
        <v>71</v>
      </c>
      <c r="AY274" s="184" t="s">
        <v>136</v>
      </c>
    </row>
    <row r="275" spans="2:65" s="11" customFormat="1" x14ac:dyDescent="0.3">
      <c r="B275" s="182"/>
      <c r="D275" s="183" t="s">
        <v>145</v>
      </c>
      <c r="E275" s="184" t="s">
        <v>5</v>
      </c>
      <c r="F275" s="312" t="s">
        <v>1268</v>
      </c>
      <c r="G275" s="327"/>
      <c r="H275" s="332">
        <f>(14*2+9*2)*2.7</f>
        <v>124.2</v>
      </c>
      <c r="I275" s="186">
        <v>0</v>
      </c>
      <c r="L275" s="41"/>
      <c r="M275" s="187"/>
      <c r="N275" s="188"/>
      <c r="O275" s="188"/>
      <c r="P275" s="188"/>
      <c r="Q275" s="188"/>
      <c r="R275" s="188"/>
      <c r="S275" s="188"/>
      <c r="T275" s="189"/>
      <c r="AT275" s="184" t="s">
        <v>145</v>
      </c>
      <c r="AU275" s="184" t="s">
        <v>81</v>
      </c>
      <c r="AV275" s="11" t="s">
        <v>79</v>
      </c>
      <c r="AW275" s="11" t="s">
        <v>35</v>
      </c>
      <c r="AX275" s="11" t="s">
        <v>71</v>
      </c>
      <c r="AY275" s="184" t="s">
        <v>136</v>
      </c>
    </row>
    <row r="276" spans="2:65" s="12" customFormat="1" x14ac:dyDescent="0.3">
      <c r="B276" s="190"/>
      <c r="D276" s="183" t="s">
        <v>145</v>
      </c>
      <c r="E276" s="191" t="s">
        <v>5</v>
      </c>
      <c r="F276" s="326" t="s">
        <v>1269</v>
      </c>
      <c r="H276" s="315">
        <f>-((1.8*2.44*2)+(0.625*0.625*3)+(1.05*2.19*2)+(3.25*2.44)+(4.95*2.44)+(1.5*2.44))</f>
        <v>-38.222875000000002</v>
      </c>
      <c r="I276" s="194">
        <v>0</v>
      </c>
      <c r="L276" s="41"/>
      <c r="M276" s="195"/>
      <c r="N276" s="196"/>
      <c r="O276" s="196"/>
      <c r="P276" s="196"/>
      <c r="Q276" s="196"/>
      <c r="R276" s="196"/>
      <c r="S276" s="196"/>
      <c r="T276" s="197"/>
      <c r="AT276" s="191" t="s">
        <v>145</v>
      </c>
      <c r="AU276" s="191" t="s">
        <v>81</v>
      </c>
      <c r="AV276" s="12" t="s">
        <v>81</v>
      </c>
      <c r="AW276" s="12" t="s">
        <v>35</v>
      </c>
      <c r="AX276" s="12" t="s">
        <v>71</v>
      </c>
      <c r="AY276" s="191" t="s">
        <v>136</v>
      </c>
    </row>
    <row r="277" spans="2:65" s="12" customFormat="1" x14ac:dyDescent="0.3">
      <c r="B277" s="190"/>
      <c r="D277" s="183" t="s">
        <v>145</v>
      </c>
      <c r="E277" s="191" t="s">
        <v>5</v>
      </c>
      <c r="F277" s="326" t="s">
        <v>1270</v>
      </c>
      <c r="H277" s="315">
        <f>95.011*2</f>
        <v>190.02199999999999</v>
      </c>
      <c r="I277" s="194">
        <v>0</v>
      </c>
      <c r="L277" s="41"/>
      <c r="M277" s="195"/>
      <c r="N277" s="196"/>
      <c r="O277" s="196"/>
      <c r="P277" s="196"/>
      <c r="Q277" s="196"/>
      <c r="R277" s="196"/>
      <c r="S277" s="196"/>
      <c r="T277" s="197"/>
      <c r="AT277" s="191" t="s">
        <v>145</v>
      </c>
      <c r="AU277" s="191" t="s">
        <v>81</v>
      </c>
      <c r="AV277" s="12" t="s">
        <v>81</v>
      </c>
      <c r="AW277" s="12" t="s">
        <v>35</v>
      </c>
      <c r="AX277" s="12" t="s">
        <v>71</v>
      </c>
      <c r="AY277" s="191" t="s">
        <v>136</v>
      </c>
    </row>
    <row r="278" spans="2:65" s="11" customFormat="1" x14ac:dyDescent="0.3">
      <c r="B278" s="182"/>
      <c r="D278" s="183" t="s">
        <v>145</v>
      </c>
      <c r="E278" s="184" t="s">
        <v>5</v>
      </c>
      <c r="F278" s="326" t="s">
        <v>1271</v>
      </c>
      <c r="G278" s="327"/>
      <c r="H278" s="332">
        <f>1.7*2*2.7+0.25*2*2.7</f>
        <v>10.53</v>
      </c>
      <c r="I278" s="186">
        <v>0</v>
      </c>
      <c r="L278" s="41"/>
      <c r="M278" s="187"/>
      <c r="N278" s="188"/>
      <c r="O278" s="188"/>
      <c r="P278" s="188"/>
      <c r="Q278" s="188"/>
      <c r="R278" s="188"/>
      <c r="S278" s="188"/>
      <c r="T278" s="189"/>
      <c r="AT278" s="184" t="s">
        <v>145</v>
      </c>
      <c r="AU278" s="184" t="s">
        <v>81</v>
      </c>
      <c r="AV278" s="11" t="s">
        <v>79</v>
      </c>
      <c r="AW278" s="11" t="s">
        <v>35</v>
      </c>
      <c r="AX278" s="11" t="s">
        <v>71</v>
      </c>
      <c r="AY278" s="184" t="s">
        <v>136</v>
      </c>
    </row>
    <row r="279" spans="2:65" s="12" customFormat="1" x14ac:dyDescent="0.3">
      <c r="B279" s="190"/>
      <c r="D279" s="183" t="s">
        <v>145</v>
      </c>
      <c r="E279" s="191" t="s">
        <v>5</v>
      </c>
      <c r="F279" s="329" t="s">
        <v>1209</v>
      </c>
      <c r="H279" s="193"/>
      <c r="I279" s="194">
        <v>0</v>
      </c>
      <c r="L279" s="41"/>
      <c r="M279" s="195"/>
      <c r="N279" s="196"/>
      <c r="O279" s="196"/>
      <c r="P279" s="196"/>
      <c r="Q279" s="196"/>
      <c r="R279" s="196"/>
      <c r="S279" s="196"/>
      <c r="T279" s="197"/>
      <c r="AT279" s="191" t="s">
        <v>145</v>
      </c>
      <c r="AU279" s="191" t="s">
        <v>81</v>
      </c>
      <c r="AV279" s="12" t="s">
        <v>81</v>
      </c>
      <c r="AW279" s="12" t="s">
        <v>35</v>
      </c>
      <c r="AX279" s="12" t="s">
        <v>71</v>
      </c>
      <c r="AY279" s="191" t="s">
        <v>136</v>
      </c>
    </row>
    <row r="280" spans="2:65" s="12" customFormat="1" x14ac:dyDescent="0.3">
      <c r="B280" s="190"/>
      <c r="D280" s="183" t="s">
        <v>145</v>
      </c>
      <c r="E280" s="191" t="s">
        <v>5</v>
      </c>
      <c r="F280" s="326" t="s">
        <v>1272</v>
      </c>
      <c r="H280" s="315">
        <f>(14*2+9*2)*2.69+(9*2*2)*2.69+4.6*2.69</f>
        <v>232.95399999999998</v>
      </c>
      <c r="I280" s="194">
        <v>0</v>
      </c>
      <c r="L280" s="41"/>
      <c r="M280" s="195"/>
      <c r="N280" s="196"/>
      <c r="O280" s="196"/>
      <c r="P280" s="196"/>
      <c r="Q280" s="196"/>
      <c r="R280" s="196"/>
      <c r="S280" s="196"/>
      <c r="T280" s="197"/>
      <c r="AT280" s="191" t="s">
        <v>145</v>
      </c>
      <c r="AU280" s="191" t="s">
        <v>81</v>
      </c>
      <c r="AV280" s="12" t="s">
        <v>81</v>
      </c>
      <c r="AW280" s="12" t="s">
        <v>35</v>
      </c>
      <c r="AX280" s="12" t="s">
        <v>71</v>
      </c>
      <c r="AY280" s="191" t="s">
        <v>136</v>
      </c>
    </row>
    <row r="281" spans="2:65" s="12" customFormat="1" x14ac:dyDescent="0.3">
      <c r="B281" s="190"/>
      <c r="D281" s="183"/>
      <c r="E281" s="191"/>
      <c r="F281" s="326" t="s">
        <v>1274</v>
      </c>
      <c r="H281" s="315">
        <f>-((1.8*2.44*2)+(1*1)+(0.625*0.625*3)+(1.05*2.19*3)+(1.5*1.5)+(2.7*2.44))</f>
        <v>-26.692375000000002</v>
      </c>
      <c r="I281" s="194">
        <v>0</v>
      </c>
      <c r="L281" s="41"/>
      <c r="M281" s="195"/>
      <c r="N281" s="328"/>
      <c r="O281" s="328"/>
      <c r="P281" s="328"/>
      <c r="Q281" s="328"/>
      <c r="R281" s="328"/>
      <c r="S281" s="328"/>
      <c r="T281" s="197"/>
      <c r="AT281" s="191"/>
      <c r="AU281" s="191"/>
      <c r="AY281" s="191"/>
    </row>
    <row r="282" spans="2:65" s="12" customFormat="1" x14ac:dyDescent="0.3">
      <c r="B282" s="190"/>
      <c r="D282" s="183" t="s">
        <v>145</v>
      </c>
      <c r="E282" s="191" t="s">
        <v>5</v>
      </c>
      <c r="F282" s="326" t="s">
        <v>1273</v>
      </c>
      <c r="G282" s="327"/>
      <c r="H282" s="315">
        <f>52.15*2</f>
        <v>104.3</v>
      </c>
      <c r="I282" s="194">
        <v>0</v>
      </c>
      <c r="L282" s="41"/>
      <c r="M282" s="195"/>
      <c r="N282" s="196"/>
      <c r="O282" s="196"/>
      <c r="P282" s="196"/>
      <c r="Q282" s="196"/>
      <c r="R282" s="196"/>
      <c r="S282" s="196"/>
      <c r="T282" s="197"/>
      <c r="AT282" s="191" t="s">
        <v>145</v>
      </c>
      <c r="AU282" s="191" t="s">
        <v>81</v>
      </c>
      <c r="AV282" s="12" t="s">
        <v>81</v>
      </c>
      <c r="AW282" s="12" t="s">
        <v>35</v>
      </c>
      <c r="AX282" s="12" t="s">
        <v>71</v>
      </c>
      <c r="AY282" s="191" t="s">
        <v>136</v>
      </c>
    </row>
    <row r="283" spans="2:65" s="12" customFormat="1" x14ac:dyDescent="0.3">
      <c r="B283" s="190"/>
      <c r="D283" s="183" t="s">
        <v>145</v>
      </c>
      <c r="E283" s="191" t="s">
        <v>5</v>
      </c>
      <c r="F283" s="329" t="s">
        <v>1214</v>
      </c>
      <c r="H283" s="193"/>
      <c r="I283" s="194">
        <v>0</v>
      </c>
      <c r="L283" s="41"/>
      <c r="M283" s="195"/>
      <c r="N283" s="196"/>
      <c r="O283" s="196"/>
      <c r="P283" s="196"/>
      <c r="Q283" s="196"/>
      <c r="R283" s="196"/>
      <c r="S283" s="196"/>
      <c r="T283" s="197"/>
      <c r="AT283" s="191" t="s">
        <v>145</v>
      </c>
      <c r="AU283" s="191" t="s">
        <v>81</v>
      </c>
      <c r="AV283" s="12" t="s">
        <v>81</v>
      </c>
      <c r="AW283" s="12" t="s">
        <v>35</v>
      </c>
      <c r="AX283" s="12" t="s">
        <v>71</v>
      </c>
      <c r="AY283" s="191" t="s">
        <v>136</v>
      </c>
    </row>
    <row r="284" spans="2:65" s="12" customFormat="1" x14ac:dyDescent="0.3">
      <c r="B284" s="190"/>
      <c r="D284" s="183" t="s">
        <v>145</v>
      </c>
      <c r="E284" s="191" t="s">
        <v>5</v>
      </c>
      <c r="F284" s="326" t="s">
        <v>1276</v>
      </c>
      <c r="G284" s="327"/>
      <c r="H284" s="315">
        <f>(4.5*2+9.1*2)*2.7+(6.875*2+4.5*2)*0.75</f>
        <v>90.502499999999998</v>
      </c>
      <c r="I284" s="194">
        <v>0</v>
      </c>
      <c r="L284" s="41"/>
      <c r="M284" s="195"/>
      <c r="N284" s="196"/>
      <c r="O284" s="196"/>
      <c r="P284" s="196"/>
      <c r="Q284" s="196"/>
      <c r="R284" s="196"/>
      <c r="S284" s="196"/>
      <c r="T284" s="197"/>
      <c r="AT284" s="191" t="s">
        <v>145</v>
      </c>
      <c r="AU284" s="191" t="s">
        <v>81</v>
      </c>
      <c r="AV284" s="12" t="s">
        <v>81</v>
      </c>
      <c r="AW284" s="12" t="s">
        <v>35</v>
      </c>
      <c r="AX284" s="12" t="s">
        <v>71</v>
      </c>
      <c r="AY284" s="191" t="s">
        <v>136</v>
      </c>
    </row>
    <row r="285" spans="2:65" s="12" customFormat="1" x14ac:dyDescent="0.3">
      <c r="B285" s="190"/>
      <c r="D285" s="183" t="s">
        <v>145</v>
      </c>
      <c r="E285" s="191" t="s">
        <v>5</v>
      </c>
      <c r="F285" s="326" t="s">
        <v>1275</v>
      </c>
      <c r="G285" s="327"/>
      <c r="H285" s="315">
        <f>-((1.25*1.25)+(1.8*2.1)+(1.8*1.8)+(1*1*2))</f>
        <v>-10.5825</v>
      </c>
      <c r="I285" s="194">
        <v>0</v>
      </c>
      <c r="L285" s="41"/>
      <c r="M285" s="195"/>
      <c r="N285" s="196"/>
      <c r="O285" s="196"/>
      <c r="P285" s="196"/>
      <c r="Q285" s="196"/>
      <c r="R285" s="196"/>
      <c r="S285" s="196"/>
      <c r="T285" s="197"/>
      <c r="AT285" s="191" t="s">
        <v>145</v>
      </c>
      <c r="AU285" s="191" t="s">
        <v>81</v>
      </c>
      <c r="AV285" s="12" t="s">
        <v>81</v>
      </c>
      <c r="AW285" s="12" t="s">
        <v>35</v>
      </c>
      <c r="AX285" s="12" t="s">
        <v>71</v>
      </c>
      <c r="AY285" s="191" t="s">
        <v>136</v>
      </c>
    </row>
    <row r="286" spans="2:65" s="11" customFormat="1" x14ac:dyDescent="0.3">
      <c r="B286" s="182"/>
      <c r="D286" s="183" t="s">
        <v>145</v>
      </c>
      <c r="E286" s="184" t="s">
        <v>5</v>
      </c>
      <c r="F286" s="331" t="s">
        <v>1277</v>
      </c>
      <c r="H286" s="184"/>
      <c r="I286" s="186">
        <v>0</v>
      </c>
      <c r="L286" s="41"/>
      <c r="M286" s="187"/>
      <c r="N286" s="188"/>
      <c r="O286" s="188"/>
      <c r="P286" s="188"/>
      <c r="Q286" s="188"/>
      <c r="R286" s="188"/>
      <c r="S286" s="188"/>
      <c r="T286" s="189"/>
      <c r="AT286" s="184" t="s">
        <v>145</v>
      </c>
      <c r="AU286" s="184" t="s">
        <v>81</v>
      </c>
      <c r="AV286" s="11" t="s">
        <v>79</v>
      </c>
      <c r="AW286" s="11" t="s">
        <v>35</v>
      </c>
      <c r="AX286" s="11" t="s">
        <v>71</v>
      </c>
      <c r="AY286" s="184" t="s">
        <v>136</v>
      </c>
    </row>
    <row r="287" spans="2:65" s="12" customFormat="1" x14ac:dyDescent="0.3">
      <c r="B287" s="190"/>
      <c r="D287" s="183" t="s">
        <v>145</v>
      </c>
      <c r="E287" s="191" t="s">
        <v>5</v>
      </c>
      <c r="F287" s="326" t="s">
        <v>1278</v>
      </c>
      <c r="H287" s="315">
        <f>14*9</f>
        <v>126</v>
      </c>
      <c r="I287" s="194">
        <v>0</v>
      </c>
      <c r="L287" s="41"/>
      <c r="M287" s="195"/>
      <c r="N287" s="196"/>
      <c r="O287" s="196"/>
      <c r="P287" s="196"/>
      <c r="Q287" s="196"/>
      <c r="R287" s="196"/>
      <c r="S287" s="196"/>
      <c r="T287" s="197"/>
      <c r="AT287" s="191" t="s">
        <v>145</v>
      </c>
      <c r="AU287" s="191" t="s">
        <v>81</v>
      </c>
      <c r="AV287" s="12" t="s">
        <v>81</v>
      </c>
      <c r="AW287" s="12" t="s">
        <v>35</v>
      </c>
      <c r="AX287" s="12" t="s">
        <v>71</v>
      </c>
      <c r="AY287" s="191" t="s">
        <v>136</v>
      </c>
    </row>
    <row r="288" spans="2:65" s="12" customFormat="1" x14ac:dyDescent="0.3">
      <c r="B288" s="190"/>
      <c r="D288" s="183" t="s">
        <v>145</v>
      </c>
      <c r="E288" s="191" t="s">
        <v>5</v>
      </c>
      <c r="F288" s="331" t="s">
        <v>1279</v>
      </c>
      <c r="H288" s="193"/>
      <c r="I288" s="194">
        <v>0</v>
      </c>
      <c r="L288" s="41"/>
      <c r="M288" s="195"/>
      <c r="N288" s="196"/>
      <c r="O288" s="196"/>
      <c r="P288" s="196"/>
      <c r="Q288" s="196"/>
      <c r="R288" s="196"/>
      <c r="S288" s="196"/>
      <c r="T288" s="197"/>
      <c r="AT288" s="191" t="s">
        <v>145</v>
      </c>
      <c r="AU288" s="191" t="s">
        <v>81</v>
      </c>
      <c r="AV288" s="12" t="s">
        <v>81</v>
      </c>
      <c r="AW288" s="12" t="s">
        <v>35</v>
      </c>
      <c r="AX288" s="12" t="s">
        <v>71</v>
      </c>
      <c r="AY288" s="191" t="s">
        <v>136</v>
      </c>
    </row>
    <row r="289" spans="2:65" s="12" customFormat="1" x14ac:dyDescent="0.3">
      <c r="B289" s="190"/>
      <c r="D289" s="183" t="s">
        <v>145</v>
      </c>
      <c r="E289" s="191" t="s">
        <v>5</v>
      </c>
      <c r="F289" s="326" t="s">
        <v>1280</v>
      </c>
      <c r="H289" s="315">
        <f>9.25*9-4.3*1</f>
        <v>78.95</v>
      </c>
      <c r="I289" s="194">
        <v>0</v>
      </c>
      <c r="L289" s="41"/>
      <c r="M289" s="195"/>
      <c r="N289" s="196"/>
      <c r="O289" s="196"/>
      <c r="P289" s="196"/>
      <c r="Q289" s="196"/>
      <c r="R289" s="196"/>
      <c r="S289" s="196"/>
      <c r="T289" s="197"/>
      <c r="AT289" s="191" t="s">
        <v>145</v>
      </c>
      <c r="AU289" s="191" t="s">
        <v>81</v>
      </c>
      <c r="AV289" s="12" t="s">
        <v>81</v>
      </c>
      <c r="AW289" s="12" t="s">
        <v>35</v>
      </c>
      <c r="AX289" s="12" t="s">
        <v>71</v>
      </c>
      <c r="AY289" s="191" t="s">
        <v>136</v>
      </c>
    </row>
    <row r="290" spans="2:65" s="1" customFormat="1" ht="25.5" customHeight="1" x14ac:dyDescent="0.3">
      <c r="B290" s="169"/>
      <c r="C290" s="404" t="s">
        <v>333</v>
      </c>
      <c r="D290" s="404" t="s">
        <v>138</v>
      </c>
      <c r="E290" s="405" t="s">
        <v>334</v>
      </c>
      <c r="F290" s="402" t="s">
        <v>335</v>
      </c>
      <c r="G290" s="403" t="s">
        <v>179</v>
      </c>
      <c r="H290" s="320">
        <v>0</v>
      </c>
      <c r="I290" s="175">
        <v>80.5</v>
      </c>
      <c r="J290" s="176">
        <f>ROUND(I290*H290,2)</f>
        <v>0</v>
      </c>
      <c r="K290" s="172" t="s">
        <v>142</v>
      </c>
      <c r="L290" s="41"/>
      <c r="M290" s="177" t="s">
        <v>5</v>
      </c>
      <c r="N290" s="178" t="s">
        <v>42</v>
      </c>
      <c r="O290" s="42"/>
      <c r="P290" s="179">
        <f>O290*H290</f>
        <v>0</v>
      </c>
      <c r="Q290" s="179">
        <v>7.9000000000000008E-3</v>
      </c>
      <c r="R290" s="179">
        <f>Q290*H290</f>
        <v>0</v>
      </c>
      <c r="S290" s="179">
        <v>0</v>
      </c>
      <c r="T290" s="180">
        <f>S290*H290</f>
        <v>0</v>
      </c>
      <c r="AR290" s="24" t="s">
        <v>143</v>
      </c>
      <c r="AT290" s="24" t="s">
        <v>138</v>
      </c>
      <c r="AU290" s="24" t="s">
        <v>81</v>
      </c>
      <c r="AY290" s="24" t="s">
        <v>136</v>
      </c>
      <c r="BE290" s="181">
        <f>IF(N290="základní",J290,0)</f>
        <v>0</v>
      </c>
      <c r="BF290" s="181">
        <f>IF(N290="snížená",J290,0)</f>
        <v>0</v>
      </c>
      <c r="BG290" s="181">
        <f>IF(N290="zákl. přenesená",J290,0)</f>
        <v>0</v>
      </c>
      <c r="BH290" s="181">
        <f>IF(N290="sníž. přenesená",J290,0)</f>
        <v>0</v>
      </c>
      <c r="BI290" s="181">
        <f>IF(N290="nulová",J290,0)</f>
        <v>0</v>
      </c>
      <c r="BJ290" s="24" t="s">
        <v>79</v>
      </c>
      <c r="BK290" s="181">
        <f>ROUND(I290*H290,2)</f>
        <v>0</v>
      </c>
      <c r="BL290" s="24" t="s">
        <v>143</v>
      </c>
      <c r="BM290" s="24" t="s">
        <v>336</v>
      </c>
    </row>
    <row r="291" spans="2:65" s="310" customFormat="1" ht="25.5" customHeight="1" x14ac:dyDescent="0.3">
      <c r="B291" s="169"/>
      <c r="C291" s="404"/>
      <c r="D291" s="170"/>
      <c r="E291" s="171"/>
      <c r="F291" s="323" t="s">
        <v>1517</v>
      </c>
      <c r="G291" s="363" t="s">
        <v>1518</v>
      </c>
      <c r="H291" s="320">
        <v>1</v>
      </c>
      <c r="I291" s="175">
        <v>14949.999999999998</v>
      </c>
      <c r="J291" s="176">
        <f t="shared" ref="J291:J292" si="5">ROUND(I291*H291,2)</f>
        <v>14950</v>
      </c>
      <c r="K291" s="172"/>
      <c r="L291" s="41"/>
      <c r="M291" s="177"/>
      <c r="N291" s="178"/>
      <c r="O291" s="311"/>
      <c r="P291" s="179"/>
      <c r="Q291" s="179"/>
      <c r="R291" s="179"/>
      <c r="S291" s="179"/>
      <c r="T291" s="180"/>
      <c r="AR291" s="24"/>
      <c r="AT291" s="24"/>
      <c r="AU291" s="24"/>
      <c r="AY291" s="24"/>
      <c r="BE291" s="181"/>
      <c r="BF291" s="181"/>
      <c r="BG291" s="181"/>
      <c r="BH291" s="181"/>
      <c r="BI291" s="181"/>
      <c r="BJ291" s="24"/>
      <c r="BK291" s="181"/>
      <c r="BL291" s="24"/>
      <c r="BM291" s="24"/>
    </row>
    <row r="292" spans="2:65" s="310" customFormat="1" ht="25.5" customHeight="1" x14ac:dyDescent="0.3">
      <c r="B292" s="169"/>
      <c r="C292" s="404"/>
      <c r="D292" s="170"/>
      <c r="E292" s="171"/>
      <c r="F292" s="323" t="s">
        <v>1532</v>
      </c>
      <c r="G292" s="363" t="s">
        <v>179</v>
      </c>
      <c r="H292" s="320">
        <f>H293</f>
        <v>176.3922</v>
      </c>
      <c r="I292" s="175">
        <v>172.5</v>
      </c>
      <c r="J292" s="176">
        <f t="shared" si="5"/>
        <v>30427.65</v>
      </c>
      <c r="K292" s="172"/>
      <c r="L292" s="41"/>
      <c r="M292" s="177"/>
      <c r="N292" s="178"/>
      <c r="O292" s="311"/>
      <c r="P292" s="179"/>
      <c r="Q292" s="179"/>
      <c r="R292" s="179"/>
      <c r="S292" s="179"/>
      <c r="T292" s="180"/>
      <c r="AR292" s="24"/>
      <c r="AT292" s="24"/>
      <c r="AU292" s="24"/>
      <c r="AY292" s="24"/>
      <c r="BE292" s="181"/>
      <c r="BF292" s="181"/>
      <c r="BG292" s="181"/>
      <c r="BH292" s="181"/>
      <c r="BI292" s="181"/>
      <c r="BJ292" s="24"/>
      <c r="BK292" s="181"/>
      <c r="BL292" s="24"/>
      <c r="BM292" s="24"/>
    </row>
    <row r="293" spans="2:65" s="11" customFormat="1" x14ac:dyDescent="0.3">
      <c r="B293" s="182"/>
      <c r="D293" s="183"/>
      <c r="E293" s="314" t="s">
        <v>1533</v>
      </c>
      <c r="F293" s="312" t="s">
        <v>1534</v>
      </c>
      <c r="G293" s="327"/>
      <c r="H293" s="332">
        <f>0.2*881.961</f>
        <v>176.3922</v>
      </c>
      <c r="I293" s="186">
        <v>0</v>
      </c>
      <c r="L293" s="41"/>
      <c r="M293" s="187"/>
      <c r="N293" s="188"/>
      <c r="O293" s="188"/>
      <c r="P293" s="188"/>
      <c r="Q293" s="188"/>
      <c r="R293" s="188"/>
      <c r="S293" s="188"/>
      <c r="T293" s="189"/>
      <c r="AT293" s="184"/>
      <c r="AU293" s="184"/>
      <c r="AY293" s="184"/>
    </row>
    <row r="294" spans="2:65" s="1" customFormat="1" ht="25.5" customHeight="1" x14ac:dyDescent="0.3">
      <c r="B294" s="169"/>
      <c r="C294" s="170" t="s">
        <v>337</v>
      </c>
      <c r="D294" s="170" t="s">
        <v>138</v>
      </c>
      <c r="E294" s="171" t="s">
        <v>338</v>
      </c>
      <c r="F294" s="172" t="s">
        <v>339</v>
      </c>
      <c r="G294" s="173" t="s">
        <v>249</v>
      </c>
      <c r="H294" s="174">
        <v>174.2</v>
      </c>
      <c r="I294" s="175">
        <v>34.5</v>
      </c>
      <c r="J294" s="176">
        <f>ROUND(I294*H294,2)</f>
        <v>6009.9</v>
      </c>
      <c r="K294" s="172" t="s">
        <v>142</v>
      </c>
      <c r="L294" s="41"/>
      <c r="M294" s="177" t="s">
        <v>5</v>
      </c>
      <c r="N294" s="178" t="s">
        <v>42</v>
      </c>
      <c r="O294" s="42"/>
      <c r="P294" s="179">
        <f>O294*H294</f>
        <v>0</v>
      </c>
      <c r="Q294" s="179">
        <v>0</v>
      </c>
      <c r="R294" s="179">
        <f>Q294*H294</f>
        <v>0</v>
      </c>
      <c r="S294" s="179">
        <v>0</v>
      </c>
      <c r="T294" s="180">
        <f>S294*H294</f>
        <v>0</v>
      </c>
      <c r="AR294" s="24" t="s">
        <v>143</v>
      </c>
      <c r="AT294" s="24" t="s">
        <v>138</v>
      </c>
      <c r="AU294" s="24" t="s">
        <v>81</v>
      </c>
      <c r="AY294" s="24" t="s">
        <v>136</v>
      </c>
      <c r="BE294" s="181">
        <f>IF(N294="základní",J294,0)</f>
        <v>6009.9</v>
      </c>
      <c r="BF294" s="181">
        <f>IF(N294="snížená",J294,0)</f>
        <v>0</v>
      </c>
      <c r="BG294" s="181">
        <f>IF(N294="zákl. přenesená",J294,0)</f>
        <v>0</v>
      </c>
      <c r="BH294" s="181">
        <f>IF(N294="sníž. přenesená",J294,0)</f>
        <v>0</v>
      </c>
      <c r="BI294" s="181">
        <f>IF(N294="nulová",J294,0)</f>
        <v>0</v>
      </c>
      <c r="BJ294" s="24" t="s">
        <v>79</v>
      </c>
      <c r="BK294" s="181">
        <f>ROUND(I294*H294,2)</f>
        <v>6009.9</v>
      </c>
      <c r="BL294" s="24" t="s">
        <v>143</v>
      </c>
      <c r="BM294" s="24" t="s">
        <v>340</v>
      </c>
    </row>
    <row r="295" spans="2:65" s="11" customFormat="1" x14ac:dyDescent="0.3">
      <c r="B295" s="182"/>
      <c r="D295" s="183" t="s">
        <v>145</v>
      </c>
      <c r="E295" s="184" t="s">
        <v>5</v>
      </c>
      <c r="F295" s="185" t="s">
        <v>216</v>
      </c>
      <c r="H295" s="184" t="s">
        <v>5</v>
      </c>
      <c r="I295" s="186">
        <v>0</v>
      </c>
      <c r="L295" s="41"/>
      <c r="M295" s="187"/>
      <c r="N295" s="188"/>
      <c r="O295" s="188"/>
      <c r="P295" s="188"/>
      <c r="Q295" s="188"/>
      <c r="R295" s="188"/>
      <c r="S295" s="188"/>
      <c r="T295" s="189"/>
      <c r="AT295" s="184" t="s">
        <v>145</v>
      </c>
      <c r="AU295" s="184" t="s">
        <v>81</v>
      </c>
      <c r="AV295" s="11" t="s">
        <v>79</v>
      </c>
      <c r="AW295" s="11" t="s">
        <v>35</v>
      </c>
      <c r="AX295" s="11" t="s">
        <v>71</v>
      </c>
      <c r="AY295" s="184" t="s">
        <v>136</v>
      </c>
    </row>
    <row r="296" spans="2:65" s="12" customFormat="1" x14ac:dyDescent="0.3">
      <c r="B296" s="190"/>
      <c r="D296" s="183" t="s">
        <v>145</v>
      </c>
      <c r="E296" s="191" t="s">
        <v>5</v>
      </c>
      <c r="F296" s="192" t="s">
        <v>341</v>
      </c>
      <c r="H296" s="193">
        <v>16</v>
      </c>
      <c r="I296" s="194">
        <v>0</v>
      </c>
      <c r="L296" s="41"/>
      <c r="M296" s="195"/>
      <c r="N296" s="196"/>
      <c r="O296" s="196"/>
      <c r="P296" s="196"/>
      <c r="Q296" s="196"/>
      <c r="R296" s="196"/>
      <c r="S296" s="196"/>
      <c r="T296" s="197"/>
      <c r="AT296" s="191" t="s">
        <v>145</v>
      </c>
      <c r="AU296" s="191" t="s">
        <v>81</v>
      </c>
      <c r="AV296" s="12" t="s">
        <v>81</v>
      </c>
      <c r="AW296" s="12" t="s">
        <v>35</v>
      </c>
      <c r="AX296" s="12" t="s">
        <v>71</v>
      </c>
      <c r="AY296" s="191" t="s">
        <v>136</v>
      </c>
    </row>
    <row r="297" spans="2:65" s="12" customFormat="1" x14ac:dyDescent="0.3">
      <c r="B297" s="190"/>
      <c r="D297" s="183" t="s">
        <v>145</v>
      </c>
      <c r="E297" s="191" t="s">
        <v>5</v>
      </c>
      <c r="F297" s="192" t="s">
        <v>342</v>
      </c>
      <c r="H297" s="193">
        <v>4</v>
      </c>
      <c r="I297" s="194">
        <v>0</v>
      </c>
      <c r="L297" s="41"/>
      <c r="M297" s="195"/>
      <c r="N297" s="196"/>
      <c r="O297" s="196"/>
      <c r="P297" s="196"/>
      <c r="Q297" s="196"/>
      <c r="R297" s="196"/>
      <c r="S297" s="196"/>
      <c r="T297" s="197"/>
      <c r="AT297" s="191" t="s">
        <v>145</v>
      </c>
      <c r="AU297" s="191" t="s">
        <v>81</v>
      </c>
      <c r="AV297" s="12" t="s">
        <v>81</v>
      </c>
      <c r="AW297" s="12" t="s">
        <v>35</v>
      </c>
      <c r="AX297" s="12" t="s">
        <v>71</v>
      </c>
      <c r="AY297" s="191" t="s">
        <v>136</v>
      </c>
    </row>
    <row r="298" spans="2:65" s="12" customFormat="1" x14ac:dyDescent="0.3">
      <c r="B298" s="190"/>
      <c r="D298" s="183" t="s">
        <v>145</v>
      </c>
      <c r="E298" s="191" t="s">
        <v>5</v>
      </c>
      <c r="F298" s="192" t="s">
        <v>343</v>
      </c>
      <c r="H298" s="193">
        <v>8</v>
      </c>
      <c r="I298" s="194">
        <v>0</v>
      </c>
      <c r="L298" s="41"/>
      <c r="M298" s="195"/>
      <c r="N298" s="196"/>
      <c r="O298" s="196"/>
      <c r="P298" s="196"/>
      <c r="Q298" s="196"/>
      <c r="R298" s="196"/>
      <c r="S298" s="196"/>
      <c r="T298" s="197"/>
      <c r="AT298" s="191" t="s">
        <v>145</v>
      </c>
      <c r="AU298" s="191" t="s">
        <v>81</v>
      </c>
      <c r="AV298" s="12" t="s">
        <v>81</v>
      </c>
      <c r="AW298" s="12" t="s">
        <v>35</v>
      </c>
      <c r="AX298" s="12" t="s">
        <v>71</v>
      </c>
      <c r="AY298" s="191" t="s">
        <v>136</v>
      </c>
    </row>
    <row r="299" spans="2:65" s="12" customFormat="1" x14ac:dyDescent="0.3">
      <c r="B299" s="190"/>
      <c r="D299" s="183" t="s">
        <v>145</v>
      </c>
      <c r="E299" s="191" t="s">
        <v>5</v>
      </c>
      <c r="F299" s="192" t="s">
        <v>344</v>
      </c>
      <c r="H299" s="193">
        <v>7.2</v>
      </c>
      <c r="I299" s="194">
        <v>0</v>
      </c>
      <c r="L299" s="41"/>
      <c r="M299" s="195"/>
      <c r="N299" s="196"/>
      <c r="O299" s="196"/>
      <c r="P299" s="196"/>
      <c r="Q299" s="196"/>
      <c r="R299" s="196"/>
      <c r="S299" s="196"/>
      <c r="T299" s="197"/>
      <c r="AT299" s="191" t="s">
        <v>145</v>
      </c>
      <c r="AU299" s="191" t="s">
        <v>81</v>
      </c>
      <c r="AV299" s="12" t="s">
        <v>81</v>
      </c>
      <c r="AW299" s="12" t="s">
        <v>35</v>
      </c>
      <c r="AX299" s="12" t="s">
        <v>71</v>
      </c>
      <c r="AY299" s="191" t="s">
        <v>136</v>
      </c>
    </row>
    <row r="300" spans="2:65" s="12" customFormat="1" x14ac:dyDescent="0.3">
      <c r="B300" s="190"/>
      <c r="D300" s="183" t="s">
        <v>145</v>
      </c>
      <c r="E300" s="191" t="s">
        <v>5</v>
      </c>
      <c r="F300" s="192" t="s">
        <v>345</v>
      </c>
      <c r="H300" s="193">
        <v>8</v>
      </c>
      <c r="I300" s="194">
        <v>0</v>
      </c>
      <c r="L300" s="41"/>
      <c r="M300" s="195"/>
      <c r="N300" s="196"/>
      <c r="O300" s="196"/>
      <c r="P300" s="196"/>
      <c r="Q300" s="196"/>
      <c r="R300" s="196"/>
      <c r="S300" s="196"/>
      <c r="T300" s="197"/>
      <c r="AT300" s="191" t="s">
        <v>145</v>
      </c>
      <c r="AU300" s="191" t="s">
        <v>81</v>
      </c>
      <c r="AV300" s="12" t="s">
        <v>81</v>
      </c>
      <c r="AW300" s="12" t="s">
        <v>35</v>
      </c>
      <c r="AX300" s="12" t="s">
        <v>71</v>
      </c>
      <c r="AY300" s="191" t="s">
        <v>136</v>
      </c>
    </row>
    <row r="301" spans="2:65" s="12" customFormat="1" x14ac:dyDescent="0.3">
      <c r="B301" s="190"/>
      <c r="D301" s="183" t="s">
        <v>145</v>
      </c>
      <c r="E301" s="191" t="s">
        <v>5</v>
      </c>
      <c r="F301" s="192" t="s">
        <v>346</v>
      </c>
      <c r="H301" s="193">
        <v>39</v>
      </c>
      <c r="I301" s="194">
        <v>0</v>
      </c>
      <c r="L301" s="41"/>
      <c r="M301" s="195"/>
      <c r="N301" s="196"/>
      <c r="O301" s="196"/>
      <c r="P301" s="196"/>
      <c r="Q301" s="196"/>
      <c r="R301" s="196"/>
      <c r="S301" s="196"/>
      <c r="T301" s="197"/>
      <c r="AT301" s="191" t="s">
        <v>145</v>
      </c>
      <c r="AU301" s="191" t="s">
        <v>81</v>
      </c>
      <c r="AV301" s="12" t="s">
        <v>81</v>
      </c>
      <c r="AW301" s="12" t="s">
        <v>35</v>
      </c>
      <c r="AX301" s="12" t="s">
        <v>71</v>
      </c>
      <c r="AY301" s="191" t="s">
        <v>136</v>
      </c>
    </row>
    <row r="302" spans="2:65" s="12" customFormat="1" x14ac:dyDescent="0.3">
      <c r="B302" s="190"/>
      <c r="D302" s="183" t="s">
        <v>145</v>
      </c>
      <c r="E302" s="191" t="s">
        <v>5</v>
      </c>
      <c r="F302" s="192" t="s">
        <v>347</v>
      </c>
      <c r="H302" s="193">
        <v>7.5</v>
      </c>
      <c r="I302" s="194">
        <v>0</v>
      </c>
      <c r="L302" s="41"/>
      <c r="M302" s="195"/>
      <c r="N302" s="196"/>
      <c r="O302" s="196"/>
      <c r="P302" s="196"/>
      <c r="Q302" s="196"/>
      <c r="R302" s="196"/>
      <c r="S302" s="196"/>
      <c r="T302" s="197"/>
      <c r="AT302" s="191" t="s">
        <v>145</v>
      </c>
      <c r="AU302" s="191" t="s">
        <v>81</v>
      </c>
      <c r="AV302" s="12" t="s">
        <v>81</v>
      </c>
      <c r="AW302" s="12" t="s">
        <v>35</v>
      </c>
      <c r="AX302" s="12" t="s">
        <v>71</v>
      </c>
      <c r="AY302" s="191" t="s">
        <v>136</v>
      </c>
    </row>
    <row r="303" spans="2:65" s="12" customFormat="1" x14ac:dyDescent="0.3">
      <c r="B303" s="190"/>
      <c r="D303" s="183" t="s">
        <v>145</v>
      </c>
      <c r="E303" s="191" t="s">
        <v>5</v>
      </c>
      <c r="F303" s="192" t="s">
        <v>348</v>
      </c>
      <c r="H303" s="193">
        <v>24</v>
      </c>
      <c r="I303" s="194">
        <v>0</v>
      </c>
      <c r="L303" s="41"/>
      <c r="M303" s="195"/>
      <c r="N303" s="196"/>
      <c r="O303" s="196"/>
      <c r="P303" s="196"/>
      <c r="Q303" s="196"/>
      <c r="R303" s="196"/>
      <c r="S303" s="196"/>
      <c r="T303" s="197"/>
      <c r="AT303" s="191" t="s">
        <v>145</v>
      </c>
      <c r="AU303" s="191" t="s">
        <v>81</v>
      </c>
      <c r="AV303" s="12" t="s">
        <v>81</v>
      </c>
      <c r="AW303" s="12" t="s">
        <v>35</v>
      </c>
      <c r="AX303" s="12" t="s">
        <v>71</v>
      </c>
      <c r="AY303" s="191" t="s">
        <v>136</v>
      </c>
    </row>
    <row r="304" spans="2:65" s="12" customFormat="1" x14ac:dyDescent="0.3">
      <c r="B304" s="190"/>
      <c r="D304" s="183" t="s">
        <v>145</v>
      </c>
      <c r="E304" s="191" t="s">
        <v>5</v>
      </c>
      <c r="F304" s="192" t="s">
        <v>349</v>
      </c>
      <c r="H304" s="193">
        <v>15</v>
      </c>
      <c r="I304" s="194">
        <v>0</v>
      </c>
      <c r="L304" s="41"/>
      <c r="M304" s="195"/>
      <c r="N304" s="196"/>
      <c r="O304" s="196"/>
      <c r="P304" s="196"/>
      <c r="Q304" s="196"/>
      <c r="R304" s="196"/>
      <c r="S304" s="196"/>
      <c r="T304" s="197"/>
      <c r="AT304" s="191" t="s">
        <v>145</v>
      </c>
      <c r="AU304" s="191" t="s">
        <v>81</v>
      </c>
      <c r="AV304" s="12" t="s">
        <v>81</v>
      </c>
      <c r="AW304" s="12" t="s">
        <v>35</v>
      </c>
      <c r="AX304" s="12" t="s">
        <v>71</v>
      </c>
      <c r="AY304" s="191" t="s">
        <v>136</v>
      </c>
    </row>
    <row r="305" spans="2:65" s="12" customFormat="1" x14ac:dyDescent="0.3">
      <c r="B305" s="190"/>
      <c r="D305" s="183" t="s">
        <v>145</v>
      </c>
      <c r="E305" s="191" t="s">
        <v>5</v>
      </c>
      <c r="F305" s="192" t="s">
        <v>350</v>
      </c>
      <c r="H305" s="193">
        <v>9.4</v>
      </c>
      <c r="I305" s="194">
        <v>0</v>
      </c>
      <c r="L305" s="41"/>
      <c r="M305" s="195"/>
      <c r="N305" s="196"/>
      <c r="O305" s="196"/>
      <c r="P305" s="196"/>
      <c r="Q305" s="196"/>
      <c r="R305" s="196"/>
      <c r="S305" s="196"/>
      <c r="T305" s="197"/>
      <c r="AT305" s="191" t="s">
        <v>145</v>
      </c>
      <c r="AU305" s="191" t="s">
        <v>81</v>
      </c>
      <c r="AV305" s="12" t="s">
        <v>81</v>
      </c>
      <c r="AW305" s="12" t="s">
        <v>35</v>
      </c>
      <c r="AX305" s="12" t="s">
        <v>71</v>
      </c>
      <c r="AY305" s="191" t="s">
        <v>136</v>
      </c>
    </row>
    <row r="306" spans="2:65" s="12" customFormat="1" x14ac:dyDescent="0.3">
      <c r="B306" s="190"/>
      <c r="D306" s="183" t="s">
        <v>145</v>
      </c>
      <c r="E306" s="191" t="s">
        <v>5</v>
      </c>
      <c r="F306" s="192" t="s">
        <v>342</v>
      </c>
      <c r="H306" s="193">
        <v>4</v>
      </c>
      <c r="I306" s="194">
        <v>0</v>
      </c>
      <c r="L306" s="41"/>
      <c r="M306" s="195"/>
      <c r="N306" s="196"/>
      <c r="O306" s="196"/>
      <c r="P306" s="196"/>
      <c r="Q306" s="196"/>
      <c r="R306" s="196"/>
      <c r="S306" s="196"/>
      <c r="T306" s="197"/>
      <c r="AT306" s="191" t="s">
        <v>145</v>
      </c>
      <c r="AU306" s="191" t="s">
        <v>81</v>
      </c>
      <c r="AV306" s="12" t="s">
        <v>81</v>
      </c>
      <c r="AW306" s="12" t="s">
        <v>35</v>
      </c>
      <c r="AX306" s="12" t="s">
        <v>71</v>
      </c>
      <c r="AY306" s="191" t="s">
        <v>136</v>
      </c>
    </row>
    <row r="307" spans="2:65" s="11" customFormat="1" x14ac:dyDescent="0.3">
      <c r="B307" s="182"/>
      <c r="D307" s="183" t="s">
        <v>145</v>
      </c>
      <c r="E307" s="184" t="s">
        <v>5</v>
      </c>
      <c r="F307" s="185" t="s">
        <v>351</v>
      </c>
      <c r="H307" s="184" t="s">
        <v>5</v>
      </c>
      <c r="I307" s="186">
        <v>0</v>
      </c>
      <c r="L307" s="41"/>
      <c r="M307" s="187"/>
      <c r="N307" s="188"/>
      <c r="O307" s="188"/>
      <c r="P307" s="188"/>
      <c r="Q307" s="188"/>
      <c r="R307" s="188"/>
      <c r="S307" s="188"/>
      <c r="T307" s="189"/>
      <c r="AT307" s="184" t="s">
        <v>145</v>
      </c>
      <c r="AU307" s="184" t="s">
        <v>81</v>
      </c>
      <c r="AV307" s="11" t="s">
        <v>79</v>
      </c>
      <c r="AW307" s="11" t="s">
        <v>35</v>
      </c>
      <c r="AX307" s="11" t="s">
        <v>71</v>
      </c>
      <c r="AY307" s="184" t="s">
        <v>136</v>
      </c>
    </row>
    <row r="308" spans="2:65" s="12" customFormat="1" x14ac:dyDescent="0.3">
      <c r="B308" s="190"/>
      <c r="D308" s="183" t="s">
        <v>145</v>
      </c>
      <c r="E308" s="191" t="s">
        <v>5</v>
      </c>
      <c r="F308" s="192" t="s">
        <v>352</v>
      </c>
      <c r="H308" s="193">
        <v>27.1</v>
      </c>
      <c r="I308" s="194">
        <v>0</v>
      </c>
      <c r="L308" s="41"/>
      <c r="M308" s="195"/>
      <c r="N308" s="196"/>
      <c r="O308" s="196"/>
      <c r="P308" s="196"/>
      <c r="Q308" s="196"/>
      <c r="R308" s="196"/>
      <c r="S308" s="196"/>
      <c r="T308" s="197"/>
      <c r="AT308" s="191" t="s">
        <v>145</v>
      </c>
      <c r="AU308" s="191" t="s">
        <v>81</v>
      </c>
      <c r="AV308" s="12" t="s">
        <v>81</v>
      </c>
      <c r="AW308" s="12" t="s">
        <v>35</v>
      </c>
      <c r="AX308" s="12" t="s">
        <v>71</v>
      </c>
      <c r="AY308" s="191" t="s">
        <v>136</v>
      </c>
    </row>
    <row r="309" spans="2:65" s="12" customFormat="1" x14ac:dyDescent="0.3">
      <c r="B309" s="190"/>
      <c r="D309" s="183" t="s">
        <v>145</v>
      </c>
      <c r="E309" s="191" t="s">
        <v>5</v>
      </c>
      <c r="F309" s="192" t="s">
        <v>353</v>
      </c>
      <c r="H309" s="193">
        <v>5</v>
      </c>
      <c r="I309" s="194">
        <v>0</v>
      </c>
      <c r="L309" s="41"/>
      <c r="M309" s="195"/>
      <c r="N309" s="196"/>
      <c r="O309" s="196"/>
      <c r="P309" s="196"/>
      <c r="Q309" s="196"/>
      <c r="R309" s="196"/>
      <c r="S309" s="196"/>
      <c r="T309" s="197"/>
      <c r="AT309" s="191" t="s">
        <v>145</v>
      </c>
      <c r="AU309" s="191" t="s">
        <v>81</v>
      </c>
      <c r="AV309" s="12" t="s">
        <v>81</v>
      </c>
      <c r="AW309" s="12" t="s">
        <v>35</v>
      </c>
      <c r="AX309" s="12" t="s">
        <v>71</v>
      </c>
      <c r="AY309" s="191" t="s">
        <v>136</v>
      </c>
    </row>
    <row r="310" spans="2:65" s="13" customFormat="1" x14ac:dyDescent="0.3">
      <c r="B310" s="198"/>
      <c r="D310" s="183" t="s">
        <v>145</v>
      </c>
      <c r="E310" s="199" t="s">
        <v>5</v>
      </c>
      <c r="F310" s="200" t="s">
        <v>218</v>
      </c>
      <c r="H310" s="201">
        <v>174.2</v>
      </c>
      <c r="I310" s="202">
        <v>0</v>
      </c>
      <c r="L310" s="41"/>
      <c r="M310" s="203"/>
      <c r="N310" s="204"/>
      <c r="O310" s="204"/>
      <c r="P310" s="204"/>
      <c r="Q310" s="204"/>
      <c r="R310" s="204"/>
      <c r="S310" s="204"/>
      <c r="T310" s="205"/>
      <c r="AT310" s="199" t="s">
        <v>145</v>
      </c>
      <c r="AU310" s="199" t="s">
        <v>81</v>
      </c>
      <c r="AV310" s="13" t="s">
        <v>143</v>
      </c>
      <c r="AW310" s="13" t="s">
        <v>35</v>
      </c>
      <c r="AX310" s="13" t="s">
        <v>79</v>
      </c>
      <c r="AY310" s="199" t="s">
        <v>136</v>
      </c>
    </row>
    <row r="311" spans="2:65" s="1" customFormat="1" ht="16.5" customHeight="1" x14ac:dyDescent="0.3">
      <c r="B311" s="169"/>
      <c r="C311" s="206" t="s">
        <v>354</v>
      </c>
      <c r="D311" s="206" t="s">
        <v>355</v>
      </c>
      <c r="E311" s="207" t="s">
        <v>356</v>
      </c>
      <c r="F311" s="208" t="s">
        <v>357</v>
      </c>
      <c r="G311" s="209" t="s">
        <v>249</v>
      </c>
      <c r="H311" s="210">
        <v>182.91</v>
      </c>
      <c r="I311" s="211">
        <v>46</v>
      </c>
      <c r="J311" s="212">
        <f>ROUND(I311*H311,2)</f>
        <v>8413.86</v>
      </c>
      <c r="K311" s="208" t="s">
        <v>142</v>
      </c>
      <c r="L311" s="41"/>
      <c r="M311" s="213" t="s">
        <v>5</v>
      </c>
      <c r="N311" s="214" t="s">
        <v>42</v>
      </c>
      <c r="O311" s="42"/>
      <c r="P311" s="179">
        <f>O311*H311</f>
        <v>0</v>
      </c>
      <c r="Q311" s="179">
        <v>3.0000000000000001E-5</v>
      </c>
      <c r="R311" s="179">
        <f>Q311*H311</f>
        <v>5.4872999999999996E-3</v>
      </c>
      <c r="S311" s="179">
        <v>0</v>
      </c>
      <c r="T311" s="180">
        <f>S311*H311</f>
        <v>0</v>
      </c>
      <c r="AR311" s="24" t="s">
        <v>171</v>
      </c>
      <c r="AT311" s="24" t="s">
        <v>355</v>
      </c>
      <c r="AU311" s="24" t="s">
        <v>81</v>
      </c>
      <c r="AY311" s="24" t="s">
        <v>136</v>
      </c>
      <c r="BE311" s="181">
        <f>IF(N311="základní",J311,0)</f>
        <v>8413.86</v>
      </c>
      <c r="BF311" s="181">
        <f>IF(N311="snížená",J311,0)</f>
        <v>0</v>
      </c>
      <c r="BG311" s="181">
        <f>IF(N311="zákl. přenesená",J311,0)</f>
        <v>0</v>
      </c>
      <c r="BH311" s="181">
        <f>IF(N311="sníž. přenesená",J311,0)</f>
        <v>0</v>
      </c>
      <c r="BI311" s="181">
        <f>IF(N311="nulová",J311,0)</f>
        <v>0</v>
      </c>
      <c r="BJ311" s="24" t="s">
        <v>79</v>
      </c>
      <c r="BK311" s="181">
        <f>ROUND(I311*H311,2)</f>
        <v>8413.86</v>
      </c>
      <c r="BL311" s="24" t="s">
        <v>143</v>
      </c>
      <c r="BM311" s="24" t="s">
        <v>358</v>
      </c>
    </row>
    <row r="312" spans="2:65" s="12" customFormat="1" x14ac:dyDescent="0.3">
      <c r="B312" s="190"/>
      <c r="D312" s="183" t="s">
        <v>145</v>
      </c>
      <c r="F312" s="192" t="s">
        <v>359</v>
      </c>
      <c r="H312" s="193">
        <v>182.91</v>
      </c>
      <c r="I312" s="194">
        <v>0</v>
      </c>
      <c r="L312" s="41"/>
      <c r="M312" s="195"/>
      <c r="N312" s="196"/>
      <c r="O312" s="196"/>
      <c r="P312" s="196"/>
      <c r="Q312" s="196"/>
      <c r="R312" s="196"/>
      <c r="S312" s="196"/>
      <c r="T312" s="197"/>
      <c r="AT312" s="191" t="s">
        <v>145</v>
      </c>
      <c r="AU312" s="191" t="s">
        <v>81</v>
      </c>
      <c r="AV312" s="12" t="s">
        <v>81</v>
      </c>
      <c r="AW312" s="12" t="s">
        <v>6</v>
      </c>
      <c r="AX312" s="12" t="s">
        <v>79</v>
      </c>
      <c r="AY312" s="191" t="s">
        <v>136</v>
      </c>
    </row>
    <row r="313" spans="2:65" s="1" customFormat="1" ht="25.5" customHeight="1" x14ac:dyDescent="0.3">
      <c r="B313" s="169"/>
      <c r="C313" s="170" t="s">
        <v>360</v>
      </c>
      <c r="D313" s="170" t="s">
        <v>138</v>
      </c>
      <c r="E313" s="171" t="s">
        <v>361</v>
      </c>
      <c r="F313" s="172" t="s">
        <v>362</v>
      </c>
      <c r="G313" s="173" t="s">
        <v>249</v>
      </c>
      <c r="H313" s="174">
        <v>284.2</v>
      </c>
      <c r="I313" s="175">
        <v>34.5</v>
      </c>
      <c r="J313" s="176">
        <f>ROUND(I313*H313,2)</f>
        <v>9804.9</v>
      </c>
      <c r="K313" s="172" t="s">
        <v>142</v>
      </c>
      <c r="L313" s="41"/>
      <c r="M313" s="177" t="s">
        <v>5</v>
      </c>
      <c r="N313" s="178" t="s">
        <v>42</v>
      </c>
      <c r="O313" s="42"/>
      <c r="P313" s="179">
        <f>O313*H313</f>
        <v>0</v>
      </c>
      <c r="Q313" s="179">
        <v>0</v>
      </c>
      <c r="R313" s="179">
        <f>Q313*H313</f>
        <v>0</v>
      </c>
      <c r="S313" s="179">
        <v>0</v>
      </c>
      <c r="T313" s="180">
        <f>S313*H313</f>
        <v>0</v>
      </c>
      <c r="AR313" s="24" t="s">
        <v>143</v>
      </c>
      <c r="AT313" s="24" t="s">
        <v>138</v>
      </c>
      <c r="AU313" s="24" t="s">
        <v>81</v>
      </c>
      <c r="AY313" s="24" t="s">
        <v>136</v>
      </c>
      <c r="BE313" s="181">
        <f>IF(N313="základní",J313,0)</f>
        <v>9804.9</v>
      </c>
      <c r="BF313" s="181">
        <f>IF(N313="snížená",J313,0)</f>
        <v>0</v>
      </c>
      <c r="BG313" s="181">
        <f>IF(N313="zákl. přenesená",J313,0)</f>
        <v>0</v>
      </c>
      <c r="BH313" s="181">
        <f>IF(N313="sníž. přenesená",J313,0)</f>
        <v>0</v>
      </c>
      <c r="BI313" s="181">
        <f>IF(N313="nulová",J313,0)</f>
        <v>0</v>
      </c>
      <c r="BJ313" s="24" t="s">
        <v>79</v>
      </c>
      <c r="BK313" s="181">
        <f>ROUND(I313*H313,2)</f>
        <v>9804.9</v>
      </c>
      <c r="BL313" s="24" t="s">
        <v>143</v>
      </c>
      <c r="BM313" s="24" t="s">
        <v>363</v>
      </c>
    </row>
    <row r="314" spans="2:65" s="11" customFormat="1" x14ac:dyDescent="0.3">
      <c r="B314" s="182"/>
      <c r="D314" s="183" t="s">
        <v>145</v>
      </c>
      <c r="E314" s="184" t="s">
        <v>5</v>
      </c>
      <c r="F314" s="185" t="s">
        <v>216</v>
      </c>
      <c r="H314" s="184" t="s">
        <v>5</v>
      </c>
      <c r="I314" s="186">
        <v>0</v>
      </c>
      <c r="L314" s="41"/>
      <c r="M314" s="187"/>
      <c r="N314" s="188"/>
      <c r="O314" s="188"/>
      <c r="P314" s="188"/>
      <c r="Q314" s="188"/>
      <c r="R314" s="188"/>
      <c r="S314" s="188"/>
      <c r="T314" s="189"/>
      <c r="AT314" s="184" t="s">
        <v>145</v>
      </c>
      <c r="AU314" s="184" t="s">
        <v>81</v>
      </c>
      <c r="AV314" s="11" t="s">
        <v>79</v>
      </c>
      <c r="AW314" s="11" t="s">
        <v>35</v>
      </c>
      <c r="AX314" s="11" t="s">
        <v>71</v>
      </c>
      <c r="AY314" s="184" t="s">
        <v>136</v>
      </c>
    </row>
    <row r="315" spans="2:65" s="12" customFormat="1" x14ac:dyDescent="0.3">
      <c r="B315" s="190"/>
      <c r="D315" s="183" t="s">
        <v>145</v>
      </c>
      <c r="E315" s="191" t="s">
        <v>5</v>
      </c>
      <c r="F315" s="192" t="s">
        <v>341</v>
      </c>
      <c r="H315" s="193">
        <v>16</v>
      </c>
      <c r="I315" s="194">
        <v>0</v>
      </c>
      <c r="L315" s="41"/>
      <c r="M315" s="195"/>
      <c r="N315" s="196"/>
      <c r="O315" s="196"/>
      <c r="P315" s="196"/>
      <c r="Q315" s="196"/>
      <c r="R315" s="196"/>
      <c r="S315" s="196"/>
      <c r="T315" s="197"/>
      <c r="AT315" s="191" t="s">
        <v>145</v>
      </c>
      <c r="AU315" s="191" t="s">
        <v>81</v>
      </c>
      <c r="AV315" s="12" t="s">
        <v>81</v>
      </c>
      <c r="AW315" s="12" t="s">
        <v>35</v>
      </c>
      <c r="AX315" s="12" t="s">
        <v>71</v>
      </c>
      <c r="AY315" s="191" t="s">
        <v>136</v>
      </c>
    </row>
    <row r="316" spans="2:65" s="12" customFormat="1" x14ac:dyDescent="0.3">
      <c r="B316" s="190"/>
      <c r="D316" s="183" t="s">
        <v>145</v>
      </c>
      <c r="E316" s="191" t="s">
        <v>5</v>
      </c>
      <c r="F316" s="192" t="s">
        <v>342</v>
      </c>
      <c r="H316" s="193">
        <v>4</v>
      </c>
      <c r="I316" s="194">
        <v>0</v>
      </c>
      <c r="L316" s="41"/>
      <c r="M316" s="195"/>
      <c r="N316" s="196"/>
      <c r="O316" s="196"/>
      <c r="P316" s="196"/>
      <c r="Q316" s="196"/>
      <c r="R316" s="196"/>
      <c r="S316" s="196"/>
      <c r="T316" s="197"/>
      <c r="AT316" s="191" t="s">
        <v>145</v>
      </c>
      <c r="AU316" s="191" t="s">
        <v>81</v>
      </c>
      <c r="AV316" s="12" t="s">
        <v>81</v>
      </c>
      <c r="AW316" s="12" t="s">
        <v>35</v>
      </c>
      <c r="AX316" s="12" t="s">
        <v>71</v>
      </c>
      <c r="AY316" s="191" t="s">
        <v>136</v>
      </c>
    </row>
    <row r="317" spans="2:65" s="12" customFormat="1" x14ac:dyDescent="0.3">
      <c r="B317" s="190"/>
      <c r="D317" s="183" t="s">
        <v>145</v>
      </c>
      <c r="E317" s="191" t="s">
        <v>5</v>
      </c>
      <c r="F317" s="192" t="s">
        <v>343</v>
      </c>
      <c r="H317" s="193">
        <v>8</v>
      </c>
      <c r="I317" s="194">
        <v>0</v>
      </c>
      <c r="L317" s="41"/>
      <c r="M317" s="195"/>
      <c r="N317" s="196"/>
      <c r="O317" s="196"/>
      <c r="P317" s="196"/>
      <c r="Q317" s="196"/>
      <c r="R317" s="196"/>
      <c r="S317" s="196"/>
      <c r="T317" s="197"/>
      <c r="AT317" s="191" t="s">
        <v>145</v>
      </c>
      <c r="AU317" s="191" t="s">
        <v>81</v>
      </c>
      <c r="AV317" s="12" t="s">
        <v>81</v>
      </c>
      <c r="AW317" s="12" t="s">
        <v>35</v>
      </c>
      <c r="AX317" s="12" t="s">
        <v>71</v>
      </c>
      <c r="AY317" s="191" t="s">
        <v>136</v>
      </c>
    </row>
    <row r="318" spans="2:65" s="12" customFormat="1" x14ac:dyDescent="0.3">
      <c r="B318" s="190"/>
      <c r="D318" s="183" t="s">
        <v>145</v>
      </c>
      <c r="E318" s="191" t="s">
        <v>5</v>
      </c>
      <c r="F318" s="192" t="s">
        <v>344</v>
      </c>
      <c r="H318" s="193">
        <v>7.2</v>
      </c>
      <c r="I318" s="194">
        <v>0</v>
      </c>
      <c r="L318" s="41"/>
      <c r="M318" s="195"/>
      <c r="N318" s="196"/>
      <c r="O318" s="196"/>
      <c r="P318" s="196"/>
      <c r="Q318" s="196"/>
      <c r="R318" s="196"/>
      <c r="S318" s="196"/>
      <c r="T318" s="197"/>
      <c r="AT318" s="191" t="s">
        <v>145</v>
      </c>
      <c r="AU318" s="191" t="s">
        <v>81</v>
      </c>
      <c r="AV318" s="12" t="s">
        <v>81</v>
      </c>
      <c r="AW318" s="12" t="s">
        <v>35</v>
      </c>
      <c r="AX318" s="12" t="s">
        <v>71</v>
      </c>
      <c r="AY318" s="191" t="s">
        <v>136</v>
      </c>
    </row>
    <row r="319" spans="2:65" s="12" customFormat="1" x14ac:dyDescent="0.3">
      <c r="B319" s="190"/>
      <c r="D319" s="183" t="s">
        <v>145</v>
      </c>
      <c r="E319" s="191" t="s">
        <v>5</v>
      </c>
      <c r="F319" s="192" t="s">
        <v>345</v>
      </c>
      <c r="H319" s="193">
        <v>8</v>
      </c>
      <c r="I319" s="194">
        <v>0</v>
      </c>
      <c r="L319" s="41"/>
      <c r="M319" s="195"/>
      <c r="N319" s="196"/>
      <c r="O319" s="196"/>
      <c r="P319" s="196"/>
      <c r="Q319" s="196"/>
      <c r="R319" s="196"/>
      <c r="S319" s="196"/>
      <c r="T319" s="197"/>
      <c r="AT319" s="191" t="s">
        <v>145</v>
      </c>
      <c r="AU319" s="191" t="s">
        <v>81</v>
      </c>
      <c r="AV319" s="12" t="s">
        <v>81</v>
      </c>
      <c r="AW319" s="12" t="s">
        <v>35</v>
      </c>
      <c r="AX319" s="12" t="s">
        <v>71</v>
      </c>
      <c r="AY319" s="191" t="s">
        <v>136</v>
      </c>
    </row>
    <row r="320" spans="2:65" s="12" customFormat="1" x14ac:dyDescent="0.3">
      <c r="B320" s="190"/>
      <c r="D320" s="183" t="s">
        <v>145</v>
      </c>
      <c r="E320" s="191" t="s">
        <v>5</v>
      </c>
      <c r="F320" s="192" t="s">
        <v>346</v>
      </c>
      <c r="H320" s="193">
        <v>39</v>
      </c>
      <c r="I320" s="194">
        <v>0</v>
      </c>
      <c r="L320" s="41"/>
      <c r="M320" s="195"/>
      <c r="N320" s="196"/>
      <c r="O320" s="196"/>
      <c r="P320" s="196"/>
      <c r="Q320" s="196"/>
      <c r="R320" s="196"/>
      <c r="S320" s="196"/>
      <c r="T320" s="197"/>
      <c r="AT320" s="191" t="s">
        <v>145</v>
      </c>
      <c r="AU320" s="191" t="s">
        <v>81</v>
      </c>
      <c r="AV320" s="12" t="s">
        <v>81</v>
      </c>
      <c r="AW320" s="12" t="s">
        <v>35</v>
      </c>
      <c r="AX320" s="12" t="s">
        <v>71</v>
      </c>
      <c r="AY320" s="191" t="s">
        <v>136</v>
      </c>
    </row>
    <row r="321" spans="2:65" s="12" customFormat="1" x14ac:dyDescent="0.3">
      <c r="B321" s="190"/>
      <c r="D321" s="183" t="s">
        <v>145</v>
      </c>
      <c r="E321" s="191" t="s">
        <v>5</v>
      </c>
      <c r="F321" s="192" t="s">
        <v>347</v>
      </c>
      <c r="H321" s="193">
        <v>7.5</v>
      </c>
      <c r="I321" s="194">
        <v>0</v>
      </c>
      <c r="L321" s="41"/>
      <c r="M321" s="195"/>
      <c r="N321" s="196"/>
      <c r="O321" s="196"/>
      <c r="P321" s="196"/>
      <c r="Q321" s="196"/>
      <c r="R321" s="196"/>
      <c r="S321" s="196"/>
      <c r="T321" s="197"/>
      <c r="AT321" s="191" t="s">
        <v>145</v>
      </c>
      <c r="AU321" s="191" t="s">
        <v>81</v>
      </c>
      <c r="AV321" s="12" t="s">
        <v>81</v>
      </c>
      <c r="AW321" s="12" t="s">
        <v>35</v>
      </c>
      <c r="AX321" s="12" t="s">
        <v>71</v>
      </c>
      <c r="AY321" s="191" t="s">
        <v>136</v>
      </c>
    </row>
    <row r="322" spans="2:65" s="12" customFormat="1" x14ac:dyDescent="0.3">
      <c r="B322" s="190"/>
      <c r="D322" s="183" t="s">
        <v>145</v>
      </c>
      <c r="E322" s="191" t="s">
        <v>5</v>
      </c>
      <c r="F322" s="192" t="s">
        <v>348</v>
      </c>
      <c r="H322" s="193">
        <v>24</v>
      </c>
      <c r="I322" s="194">
        <v>0</v>
      </c>
      <c r="L322" s="41"/>
      <c r="M322" s="195"/>
      <c r="N322" s="196"/>
      <c r="O322" s="196"/>
      <c r="P322" s="196"/>
      <c r="Q322" s="196"/>
      <c r="R322" s="196"/>
      <c r="S322" s="196"/>
      <c r="T322" s="197"/>
      <c r="AT322" s="191" t="s">
        <v>145</v>
      </c>
      <c r="AU322" s="191" t="s">
        <v>81</v>
      </c>
      <c r="AV322" s="12" t="s">
        <v>81</v>
      </c>
      <c r="AW322" s="12" t="s">
        <v>35</v>
      </c>
      <c r="AX322" s="12" t="s">
        <v>71</v>
      </c>
      <c r="AY322" s="191" t="s">
        <v>136</v>
      </c>
    </row>
    <row r="323" spans="2:65" s="12" customFormat="1" x14ac:dyDescent="0.3">
      <c r="B323" s="190"/>
      <c r="D323" s="183" t="s">
        <v>145</v>
      </c>
      <c r="E323" s="191" t="s">
        <v>5</v>
      </c>
      <c r="F323" s="192" t="s">
        <v>349</v>
      </c>
      <c r="H323" s="193">
        <v>15</v>
      </c>
      <c r="I323" s="194">
        <v>0</v>
      </c>
      <c r="L323" s="41"/>
      <c r="M323" s="195"/>
      <c r="N323" s="196"/>
      <c r="O323" s="196"/>
      <c r="P323" s="196"/>
      <c r="Q323" s="196"/>
      <c r="R323" s="196"/>
      <c r="S323" s="196"/>
      <c r="T323" s="197"/>
      <c r="AT323" s="191" t="s">
        <v>145</v>
      </c>
      <c r="AU323" s="191" t="s">
        <v>81</v>
      </c>
      <c r="AV323" s="12" t="s">
        <v>81</v>
      </c>
      <c r="AW323" s="12" t="s">
        <v>35</v>
      </c>
      <c r="AX323" s="12" t="s">
        <v>71</v>
      </c>
      <c r="AY323" s="191" t="s">
        <v>136</v>
      </c>
    </row>
    <row r="324" spans="2:65" s="12" customFormat="1" x14ac:dyDescent="0.3">
      <c r="B324" s="190"/>
      <c r="D324" s="183" t="s">
        <v>145</v>
      </c>
      <c r="E324" s="191" t="s">
        <v>5</v>
      </c>
      <c r="F324" s="192" t="s">
        <v>350</v>
      </c>
      <c r="H324" s="193">
        <v>9.4</v>
      </c>
      <c r="I324" s="194">
        <v>0</v>
      </c>
      <c r="L324" s="41"/>
      <c r="M324" s="195"/>
      <c r="N324" s="196"/>
      <c r="O324" s="196"/>
      <c r="P324" s="196"/>
      <c r="Q324" s="196"/>
      <c r="R324" s="196"/>
      <c r="S324" s="196"/>
      <c r="T324" s="197"/>
      <c r="AT324" s="191" t="s">
        <v>145</v>
      </c>
      <c r="AU324" s="191" t="s">
        <v>81</v>
      </c>
      <c r="AV324" s="12" t="s">
        <v>81</v>
      </c>
      <c r="AW324" s="12" t="s">
        <v>35</v>
      </c>
      <c r="AX324" s="12" t="s">
        <v>71</v>
      </c>
      <c r="AY324" s="191" t="s">
        <v>136</v>
      </c>
    </row>
    <row r="325" spans="2:65" s="12" customFormat="1" x14ac:dyDescent="0.3">
      <c r="B325" s="190"/>
      <c r="D325" s="183" t="s">
        <v>145</v>
      </c>
      <c r="E325" s="191" t="s">
        <v>5</v>
      </c>
      <c r="F325" s="192" t="s">
        <v>342</v>
      </c>
      <c r="H325" s="193">
        <v>4</v>
      </c>
      <c r="I325" s="194">
        <v>0</v>
      </c>
      <c r="L325" s="41"/>
      <c r="M325" s="195"/>
      <c r="N325" s="196"/>
      <c r="O325" s="196"/>
      <c r="P325" s="196"/>
      <c r="Q325" s="196"/>
      <c r="R325" s="196"/>
      <c r="S325" s="196"/>
      <c r="T325" s="197"/>
      <c r="AT325" s="191" t="s">
        <v>145</v>
      </c>
      <c r="AU325" s="191" t="s">
        <v>81</v>
      </c>
      <c r="AV325" s="12" t="s">
        <v>81</v>
      </c>
      <c r="AW325" s="12" t="s">
        <v>35</v>
      </c>
      <c r="AX325" s="12" t="s">
        <v>71</v>
      </c>
      <c r="AY325" s="191" t="s">
        <v>136</v>
      </c>
    </row>
    <row r="326" spans="2:65" s="14" customFormat="1" x14ac:dyDescent="0.3">
      <c r="B326" s="215"/>
      <c r="D326" s="183" t="s">
        <v>145</v>
      </c>
      <c r="E326" s="216" t="s">
        <v>5</v>
      </c>
      <c r="F326" s="217" t="s">
        <v>364</v>
      </c>
      <c r="H326" s="218">
        <v>142.1</v>
      </c>
      <c r="I326" s="219">
        <v>0</v>
      </c>
      <c r="L326" s="41"/>
      <c r="M326" s="220"/>
      <c r="N326" s="221"/>
      <c r="O326" s="221"/>
      <c r="P326" s="221"/>
      <c r="Q326" s="221"/>
      <c r="R326" s="221"/>
      <c r="S326" s="221"/>
      <c r="T326" s="222"/>
      <c r="AT326" s="216" t="s">
        <v>145</v>
      </c>
      <c r="AU326" s="216" t="s">
        <v>81</v>
      </c>
      <c r="AV326" s="14" t="s">
        <v>150</v>
      </c>
      <c r="AW326" s="14" t="s">
        <v>35</v>
      </c>
      <c r="AX326" s="14" t="s">
        <v>71</v>
      </c>
      <c r="AY326" s="216" t="s">
        <v>136</v>
      </c>
    </row>
    <row r="327" spans="2:65" s="11" customFormat="1" x14ac:dyDescent="0.3">
      <c r="B327" s="182"/>
      <c r="D327" s="183" t="s">
        <v>145</v>
      </c>
      <c r="E327" s="184" t="s">
        <v>5</v>
      </c>
      <c r="F327" s="185" t="s">
        <v>351</v>
      </c>
      <c r="H327" s="184" t="s">
        <v>5</v>
      </c>
      <c r="I327" s="186">
        <v>0</v>
      </c>
      <c r="L327" s="41"/>
      <c r="M327" s="187"/>
      <c r="N327" s="188"/>
      <c r="O327" s="188"/>
      <c r="P327" s="188"/>
      <c r="Q327" s="188"/>
      <c r="R327" s="188"/>
      <c r="S327" s="188"/>
      <c r="T327" s="189"/>
      <c r="AT327" s="184" t="s">
        <v>145</v>
      </c>
      <c r="AU327" s="184" t="s">
        <v>81</v>
      </c>
      <c r="AV327" s="11" t="s">
        <v>79</v>
      </c>
      <c r="AW327" s="11" t="s">
        <v>35</v>
      </c>
      <c r="AX327" s="11" t="s">
        <v>71</v>
      </c>
      <c r="AY327" s="184" t="s">
        <v>136</v>
      </c>
    </row>
    <row r="328" spans="2:65" s="12" customFormat="1" x14ac:dyDescent="0.3">
      <c r="B328" s="190"/>
      <c r="D328" s="183" t="s">
        <v>145</v>
      </c>
      <c r="E328" s="191" t="s">
        <v>5</v>
      </c>
      <c r="F328" s="192" t="s">
        <v>365</v>
      </c>
      <c r="H328" s="193">
        <v>142.1</v>
      </c>
      <c r="I328" s="194">
        <v>0</v>
      </c>
      <c r="L328" s="41"/>
      <c r="M328" s="195"/>
      <c r="N328" s="196"/>
      <c r="O328" s="196"/>
      <c r="P328" s="196"/>
      <c r="Q328" s="196"/>
      <c r="R328" s="196"/>
      <c r="S328" s="196"/>
      <c r="T328" s="197"/>
      <c r="AT328" s="191" t="s">
        <v>145</v>
      </c>
      <c r="AU328" s="191" t="s">
        <v>81</v>
      </c>
      <c r="AV328" s="12" t="s">
        <v>81</v>
      </c>
      <c r="AW328" s="12" t="s">
        <v>35</v>
      </c>
      <c r="AX328" s="12" t="s">
        <v>71</v>
      </c>
      <c r="AY328" s="191" t="s">
        <v>136</v>
      </c>
    </row>
    <row r="329" spans="2:65" s="13" customFormat="1" x14ac:dyDescent="0.3">
      <c r="B329" s="198"/>
      <c r="D329" s="183" t="s">
        <v>145</v>
      </c>
      <c r="E329" s="199" t="s">
        <v>5</v>
      </c>
      <c r="F329" s="200" t="s">
        <v>218</v>
      </c>
      <c r="H329" s="201">
        <v>284.2</v>
      </c>
      <c r="I329" s="202">
        <v>0</v>
      </c>
      <c r="L329" s="41"/>
      <c r="M329" s="203"/>
      <c r="N329" s="204"/>
      <c r="O329" s="204"/>
      <c r="P329" s="204"/>
      <c r="Q329" s="204"/>
      <c r="R329" s="204"/>
      <c r="S329" s="204"/>
      <c r="T329" s="205"/>
      <c r="AT329" s="199" t="s">
        <v>145</v>
      </c>
      <c r="AU329" s="199" t="s">
        <v>81</v>
      </c>
      <c r="AV329" s="13" t="s">
        <v>143</v>
      </c>
      <c r="AW329" s="13" t="s">
        <v>35</v>
      </c>
      <c r="AX329" s="13" t="s">
        <v>79</v>
      </c>
      <c r="AY329" s="199" t="s">
        <v>136</v>
      </c>
    </row>
    <row r="330" spans="2:65" s="1" customFormat="1" ht="16.5" customHeight="1" x14ac:dyDescent="0.3">
      <c r="B330" s="169"/>
      <c r="C330" s="206" t="s">
        <v>366</v>
      </c>
      <c r="D330" s="206" t="s">
        <v>355</v>
      </c>
      <c r="E330" s="207" t="s">
        <v>367</v>
      </c>
      <c r="F330" s="208" t="s">
        <v>368</v>
      </c>
      <c r="G330" s="209" t="s">
        <v>249</v>
      </c>
      <c r="H330" s="210">
        <v>326.83</v>
      </c>
      <c r="I330" s="211">
        <v>51.749999999999993</v>
      </c>
      <c r="J330" s="212">
        <f>ROUND(I330*H330,2)</f>
        <v>16913.45</v>
      </c>
      <c r="K330" s="208" t="s">
        <v>142</v>
      </c>
      <c r="L330" s="41"/>
      <c r="M330" s="213" t="s">
        <v>5</v>
      </c>
      <c r="N330" s="214" t="s">
        <v>42</v>
      </c>
      <c r="O330" s="42"/>
      <c r="P330" s="179">
        <f>O330*H330</f>
        <v>0</v>
      </c>
      <c r="Q330" s="179">
        <v>4.0000000000000003E-5</v>
      </c>
      <c r="R330" s="179">
        <f>Q330*H330</f>
        <v>1.30732E-2</v>
      </c>
      <c r="S330" s="179">
        <v>0</v>
      </c>
      <c r="T330" s="180">
        <f>S330*H330</f>
        <v>0</v>
      </c>
      <c r="AR330" s="24" t="s">
        <v>171</v>
      </c>
      <c r="AT330" s="24" t="s">
        <v>355</v>
      </c>
      <c r="AU330" s="24" t="s">
        <v>81</v>
      </c>
      <c r="AY330" s="24" t="s">
        <v>136</v>
      </c>
      <c r="BE330" s="181">
        <f>IF(N330="základní",J330,0)</f>
        <v>16913.45</v>
      </c>
      <c r="BF330" s="181">
        <f>IF(N330="snížená",J330,0)</f>
        <v>0</v>
      </c>
      <c r="BG330" s="181">
        <f>IF(N330="zákl. přenesená",J330,0)</f>
        <v>0</v>
      </c>
      <c r="BH330" s="181">
        <f>IF(N330="sníž. přenesená",J330,0)</f>
        <v>0</v>
      </c>
      <c r="BI330" s="181">
        <f>IF(N330="nulová",J330,0)</f>
        <v>0</v>
      </c>
      <c r="BJ330" s="24" t="s">
        <v>79</v>
      </c>
      <c r="BK330" s="181">
        <f>ROUND(I330*H330,2)</f>
        <v>16913.45</v>
      </c>
      <c r="BL330" s="24" t="s">
        <v>143</v>
      </c>
      <c r="BM330" s="24" t="s">
        <v>369</v>
      </c>
    </row>
    <row r="331" spans="2:65" s="12" customFormat="1" x14ac:dyDescent="0.3">
      <c r="B331" s="190"/>
      <c r="D331" s="183" t="s">
        <v>145</v>
      </c>
      <c r="F331" s="192" t="s">
        <v>370</v>
      </c>
      <c r="H331" s="193">
        <v>326.83</v>
      </c>
      <c r="I331" s="194">
        <v>0</v>
      </c>
      <c r="L331" s="41"/>
      <c r="M331" s="195"/>
      <c r="N331" s="196"/>
      <c r="O331" s="196"/>
      <c r="P331" s="196"/>
      <c r="Q331" s="196"/>
      <c r="R331" s="196"/>
      <c r="S331" s="196"/>
      <c r="T331" s="197"/>
      <c r="AT331" s="191" t="s">
        <v>145</v>
      </c>
      <c r="AU331" s="191" t="s">
        <v>81</v>
      </c>
      <c r="AV331" s="12" t="s">
        <v>81</v>
      </c>
      <c r="AW331" s="12" t="s">
        <v>6</v>
      </c>
      <c r="AX331" s="12" t="s">
        <v>79</v>
      </c>
      <c r="AY331" s="191" t="s">
        <v>136</v>
      </c>
    </row>
    <row r="332" spans="2:65" s="1" customFormat="1" ht="25.5" customHeight="1" x14ac:dyDescent="0.3">
      <c r="B332" s="169"/>
      <c r="C332" s="170" t="s">
        <v>371</v>
      </c>
      <c r="D332" s="170" t="s">
        <v>138</v>
      </c>
      <c r="E332" s="171" t="s">
        <v>372</v>
      </c>
      <c r="F332" s="172" t="s">
        <v>373</v>
      </c>
      <c r="G332" s="173" t="s">
        <v>179</v>
      </c>
      <c r="H332" s="320">
        <f>SUM(H334:H345)</f>
        <v>391.95362499999993</v>
      </c>
      <c r="I332" s="175">
        <v>575</v>
      </c>
      <c r="J332" s="176">
        <f>ROUND(I332*H332,2)</f>
        <v>225373.33</v>
      </c>
      <c r="K332" s="172" t="s">
        <v>142</v>
      </c>
      <c r="L332" s="41"/>
      <c r="M332" s="177" t="s">
        <v>5</v>
      </c>
      <c r="N332" s="178" t="s">
        <v>42</v>
      </c>
      <c r="O332" s="42"/>
      <c r="P332" s="179">
        <f>O332*H332</f>
        <v>0</v>
      </c>
      <c r="Q332" s="179">
        <v>8.5000000000000006E-3</v>
      </c>
      <c r="R332" s="179">
        <f>Q332*H332</f>
        <v>3.3316058124999999</v>
      </c>
      <c r="S332" s="179">
        <v>0</v>
      </c>
      <c r="T332" s="180">
        <f>S332*H332</f>
        <v>0</v>
      </c>
      <c r="AR332" s="24" t="s">
        <v>143</v>
      </c>
      <c r="AT332" s="24" t="s">
        <v>138</v>
      </c>
      <c r="AU332" s="24" t="s">
        <v>81</v>
      </c>
      <c r="AY332" s="24" t="s">
        <v>136</v>
      </c>
      <c r="BE332" s="181">
        <f>IF(N332="základní",J332,0)</f>
        <v>225373.33</v>
      </c>
      <c r="BF332" s="181">
        <f>IF(N332="snížená",J332,0)</f>
        <v>0</v>
      </c>
      <c r="BG332" s="181">
        <f>IF(N332="zákl. přenesená",J332,0)</f>
        <v>0</v>
      </c>
      <c r="BH332" s="181">
        <f>IF(N332="sníž. přenesená",J332,0)</f>
        <v>0</v>
      </c>
      <c r="BI332" s="181">
        <f>IF(N332="nulová",J332,0)</f>
        <v>0</v>
      </c>
      <c r="BJ332" s="24" t="s">
        <v>79</v>
      </c>
      <c r="BK332" s="181">
        <f>ROUND(I332*H332,2)</f>
        <v>225373.33</v>
      </c>
      <c r="BL332" s="24" t="s">
        <v>143</v>
      </c>
      <c r="BM332" s="24" t="s">
        <v>374</v>
      </c>
    </row>
    <row r="333" spans="2:65" s="11" customFormat="1" x14ac:dyDescent="0.3">
      <c r="B333" s="182"/>
      <c r="D333" s="183" t="s">
        <v>145</v>
      </c>
      <c r="E333" s="184" t="s">
        <v>5</v>
      </c>
      <c r="F333" s="329" t="s">
        <v>1288</v>
      </c>
      <c r="H333" s="184"/>
      <c r="I333" s="186">
        <v>0</v>
      </c>
      <c r="L333" s="41"/>
      <c r="M333" s="187"/>
      <c r="N333" s="188"/>
      <c r="O333" s="188"/>
      <c r="P333" s="188"/>
      <c r="Q333" s="188"/>
      <c r="R333" s="188"/>
      <c r="S333" s="188"/>
      <c r="T333" s="189"/>
      <c r="AT333" s="184" t="s">
        <v>145</v>
      </c>
      <c r="AU333" s="184" t="s">
        <v>81</v>
      </c>
      <c r="AV333" s="11" t="s">
        <v>79</v>
      </c>
      <c r="AW333" s="11" t="s">
        <v>35</v>
      </c>
      <c r="AX333" s="11" t="s">
        <v>71</v>
      </c>
      <c r="AY333" s="184" t="s">
        <v>136</v>
      </c>
    </row>
    <row r="334" spans="2:65" s="12" customFormat="1" x14ac:dyDescent="0.3">
      <c r="B334" s="190"/>
      <c r="D334" s="183" t="s">
        <v>145</v>
      </c>
      <c r="E334" s="191" t="s">
        <v>5</v>
      </c>
      <c r="F334" s="312" t="s">
        <v>1281</v>
      </c>
      <c r="G334" s="327"/>
      <c r="H334" s="315">
        <f>7.2*14.9+0.3*5.4+(1*5.4)/2+2.28*5.4+(1*5.4)/2</f>
        <v>126.61200000000001</v>
      </c>
      <c r="I334" s="194">
        <v>0</v>
      </c>
      <c r="L334" s="41"/>
      <c r="M334" s="195"/>
      <c r="N334" s="196"/>
      <c r="O334" s="196"/>
      <c r="P334" s="196"/>
      <c r="Q334" s="196"/>
      <c r="R334" s="196"/>
      <c r="S334" s="196"/>
      <c r="T334" s="197"/>
      <c r="AT334" s="191" t="s">
        <v>145</v>
      </c>
      <c r="AU334" s="191" t="s">
        <v>81</v>
      </c>
      <c r="AV334" s="12" t="s">
        <v>81</v>
      </c>
      <c r="AW334" s="12" t="s">
        <v>35</v>
      </c>
      <c r="AX334" s="12" t="s">
        <v>71</v>
      </c>
      <c r="AY334" s="191" t="s">
        <v>136</v>
      </c>
    </row>
    <row r="335" spans="2:65" s="12" customFormat="1" x14ac:dyDescent="0.3">
      <c r="B335" s="190"/>
      <c r="D335" s="183"/>
      <c r="E335" s="191"/>
      <c r="F335" s="312" t="s">
        <v>1293</v>
      </c>
      <c r="G335" s="327"/>
      <c r="H335" s="315">
        <f>2.42*10+3.25*10-(1.8*2.1)-(1*1)</f>
        <v>51.92</v>
      </c>
      <c r="I335" s="194">
        <v>0</v>
      </c>
      <c r="L335" s="41"/>
      <c r="M335" s="195"/>
      <c r="N335" s="328"/>
      <c r="O335" s="328"/>
      <c r="P335" s="328"/>
      <c r="Q335" s="328"/>
      <c r="R335" s="328"/>
      <c r="S335" s="328"/>
      <c r="T335" s="197"/>
      <c r="AT335" s="191"/>
      <c r="AU335" s="191"/>
      <c r="AY335" s="191"/>
    </row>
    <row r="336" spans="2:65" s="12" customFormat="1" x14ac:dyDescent="0.3">
      <c r="B336" s="190"/>
      <c r="D336" s="183"/>
      <c r="E336" s="191"/>
      <c r="F336" s="326" t="s">
        <v>1282</v>
      </c>
      <c r="G336" s="327"/>
      <c r="H336" s="315">
        <f>-((1.25*1.25)+(2.7*2.44)+(1.5*1.5)+(6.7*2.44))</f>
        <v>-26.7485</v>
      </c>
      <c r="I336" s="194">
        <v>0</v>
      </c>
      <c r="L336" s="41"/>
      <c r="M336" s="195"/>
      <c r="N336" s="328"/>
      <c r="O336" s="328"/>
      <c r="P336" s="328"/>
      <c r="Q336" s="328"/>
      <c r="R336" s="328"/>
      <c r="S336" s="328"/>
      <c r="T336" s="197"/>
      <c r="AT336" s="191"/>
      <c r="AU336" s="191"/>
      <c r="AY336" s="191"/>
    </row>
    <row r="337" spans="2:65" s="12" customFormat="1" x14ac:dyDescent="0.3">
      <c r="B337" s="190"/>
      <c r="D337" s="183" t="s">
        <v>145</v>
      </c>
      <c r="E337" s="191" t="s">
        <v>5</v>
      </c>
      <c r="F337" s="331" t="s">
        <v>1287</v>
      </c>
      <c r="H337" s="193"/>
      <c r="I337" s="194">
        <v>0</v>
      </c>
      <c r="L337" s="41"/>
      <c r="M337" s="195"/>
      <c r="N337" s="196"/>
      <c r="O337" s="196"/>
      <c r="P337" s="196"/>
      <c r="Q337" s="196"/>
      <c r="R337" s="196"/>
      <c r="S337" s="196"/>
      <c r="T337" s="197"/>
      <c r="AT337" s="191" t="s">
        <v>145</v>
      </c>
      <c r="AU337" s="191" t="s">
        <v>81</v>
      </c>
      <c r="AV337" s="12" t="s">
        <v>81</v>
      </c>
      <c r="AW337" s="12" t="s">
        <v>35</v>
      </c>
      <c r="AX337" s="12" t="s">
        <v>71</v>
      </c>
      <c r="AY337" s="191" t="s">
        <v>136</v>
      </c>
    </row>
    <row r="338" spans="2:65" s="12" customFormat="1" x14ac:dyDescent="0.3">
      <c r="B338" s="190"/>
      <c r="D338" s="183" t="s">
        <v>145</v>
      </c>
      <c r="E338" s="314" t="s">
        <v>5</v>
      </c>
      <c r="F338" s="326" t="s">
        <v>1284</v>
      </c>
      <c r="G338" s="327"/>
      <c r="H338" s="315">
        <f>8.5*10+(2*10)/2</f>
        <v>95</v>
      </c>
      <c r="I338" s="194">
        <v>0</v>
      </c>
      <c r="L338" s="41"/>
      <c r="M338" s="195"/>
      <c r="N338" s="196"/>
      <c r="O338" s="196"/>
      <c r="P338" s="196"/>
      <c r="Q338" s="196"/>
      <c r="R338" s="196"/>
      <c r="S338" s="196"/>
      <c r="T338" s="197"/>
      <c r="AT338" s="191" t="s">
        <v>145</v>
      </c>
      <c r="AU338" s="191" t="s">
        <v>81</v>
      </c>
      <c r="AV338" s="12" t="s">
        <v>81</v>
      </c>
      <c r="AW338" s="12" t="s">
        <v>35</v>
      </c>
      <c r="AX338" s="12" t="s">
        <v>71</v>
      </c>
      <c r="AY338" s="191" t="s">
        <v>136</v>
      </c>
    </row>
    <row r="339" spans="2:65" s="12" customFormat="1" x14ac:dyDescent="0.3">
      <c r="B339" s="190"/>
      <c r="D339" s="183" t="s">
        <v>145</v>
      </c>
      <c r="E339" s="314" t="s">
        <v>5</v>
      </c>
      <c r="F339" s="326" t="s">
        <v>1283</v>
      </c>
      <c r="G339" s="327"/>
      <c r="H339" s="315">
        <f>-((3.25*2.44)+(1.8*2.44)+(1.8*1.8)+(0.625*0.625))</f>
        <v>-15.952624999999999</v>
      </c>
      <c r="I339" s="194">
        <v>0</v>
      </c>
      <c r="L339" s="41"/>
      <c r="M339" s="195"/>
      <c r="N339" s="196"/>
      <c r="O339" s="196"/>
      <c r="P339" s="196"/>
      <c r="Q339" s="196"/>
      <c r="R339" s="196"/>
      <c r="S339" s="196"/>
      <c r="T339" s="197"/>
      <c r="AT339" s="191" t="s">
        <v>145</v>
      </c>
      <c r="AU339" s="191" t="s">
        <v>81</v>
      </c>
      <c r="AV339" s="12" t="s">
        <v>81</v>
      </c>
      <c r="AW339" s="12" t="s">
        <v>35</v>
      </c>
      <c r="AX339" s="12" t="s">
        <v>71</v>
      </c>
      <c r="AY339" s="191" t="s">
        <v>136</v>
      </c>
    </row>
    <row r="340" spans="2:65" s="12" customFormat="1" x14ac:dyDescent="0.3">
      <c r="B340" s="190"/>
      <c r="D340" s="183" t="s">
        <v>145</v>
      </c>
      <c r="E340" s="191" t="s">
        <v>5</v>
      </c>
      <c r="F340" s="329" t="s">
        <v>1286</v>
      </c>
      <c r="H340" s="193"/>
      <c r="I340" s="194">
        <v>0</v>
      </c>
      <c r="L340" s="41"/>
      <c r="M340" s="195"/>
      <c r="N340" s="196"/>
      <c r="O340" s="196"/>
      <c r="P340" s="196"/>
      <c r="Q340" s="196"/>
      <c r="R340" s="196"/>
      <c r="S340" s="196"/>
      <c r="T340" s="197"/>
      <c r="AT340" s="191" t="s">
        <v>145</v>
      </c>
      <c r="AU340" s="191" t="s">
        <v>81</v>
      </c>
      <c r="AV340" s="12" t="s">
        <v>81</v>
      </c>
      <c r="AW340" s="12" t="s">
        <v>35</v>
      </c>
      <c r="AX340" s="12" t="s">
        <v>71</v>
      </c>
      <c r="AY340" s="191" t="s">
        <v>136</v>
      </c>
    </row>
    <row r="341" spans="2:65" s="12" customFormat="1" x14ac:dyDescent="0.3">
      <c r="B341" s="190"/>
      <c r="D341" s="183" t="s">
        <v>145</v>
      </c>
      <c r="E341" s="191" t="s">
        <v>5</v>
      </c>
      <c r="F341" s="326" t="s">
        <v>1285</v>
      </c>
      <c r="G341" s="327"/>
      <c r="H341" s="315">
        <f>14.9*5.6+(3*14.9)/2</f>
        <v>105.78999999999999</v>
      </c>
      <c r="I341" s="194">
        <v>0</v>
      </c>
      <c r="L341" s="41"/>
      <c r="M341" s="195"/>
      <c r="N341" s="196"/>
      <c r="O341" s="196"/>
      <c r="P341" s="196"/>
      <c r="Q341" s="196"/>
      <c r="R341" s="196"/>
      <c r="S341" s="196"/>
      <c r="T341" s="197"/>
      <c r="AT341" s="191" t="s">
        <v>145</v>
      </c>
      <c r="AU341" s="191" t="s">
        <v>81</v>
      </c>
      <c r="AV341" s="12" t="s">
        <v>81</v>
      </c>
      <c r="AW341" s="12" t="s">
        <v>35</v>
      </c>
      <c r="AX341" s="12" t="s">
        <v>71</v>
      </c>
      <c r="AY341" s="191" t="s">
        <v>136</v>
      </c>
    </row>
    <row r="342" spans="2:65" s="12" customFormat="1" x14ac:dyDescent="0.3">
      <c r="B342" s="190"/>
      <c r="D342" s="183" t="s">
        <v>145</v>
      </c>
      <c r="E342" s="191" t="s">
        <v>5</v>
      </c>
      <c r="F342" s="326" t="s">
        <v>1289</v>
      </c>
      <c r="G342" s="327"/>
      <c r="H342" s="315">
        <f>-((1.05*2.19*5)+(0.625*0.625*5)+(1.4*1.1))</f>
        <v>-14.990625000000001</v>
      </c>
      <c r="I342" s="194">
        <v>0</v>
      </c>
      <c r="L342" s="41"/>
      <c r="M342" s="195"/>
      <c r="N342" s="196"/>
      <c r="O342" s="196"/>
      <c r="P342" s="196"/>
      <c r="Q342" s="196"/>
      <c r="R342" s="196"/>
      <c r="S342" s="196"/>
      <c r="T342" s="197"/>
      <c r="AT342" s="191" t="s">
        <v>145</v>
      </c>
      <c r="AU342" s="191" t="s">
        <v>81</v>
      </c>
      <c r="AV342" s="12" t="s">
        <v>81</v>
      </c>
      <c r="AW342" s="12" t="s">
        <v>35</v>
      </c>
      <c r="AX342" s="12" t="s">
        <v>71</v>
      </c>
      <c r="AY342" s="191" t="s">
        <v>136</v>
      </c>
    </row>
    <row r="343" spans="2:65" s="12" customFormat="1" x14ac:dyDescent="0.3">
      <c r="B343" s="190"/>
      <c r="D343" s="183" t="s">
        <v>145</v>
      </c>
      <c r="E343" s="191" t="s">
        <v>5</v>
      </c>
      <c r="F343" s="324" t="s">
        <v>1290</v>
      </c>
      <c r="H343" s="193"/>
      <c r="I343" s="194">
        <v>0</v>
      </c>
      <c r="L343" s="41"/>
      <c r="M343" s="195"/>
      <c r="N343" s="196"/>
      <c r="O343" s="196"/>
      <c r="P343" s="196"/>
      <c r="Q343" s="196"/>
      <c r="R343" s="196"/>
      <c r="S343" s="196"/>
      <c r="T343" s="197"/>
      <c r="AT343" s="191" t="s">
        <v>145</v>
      </c>
      <c r="AU343" s="191" t="s">
        <v>81</v>
      </c>
      <c r="AV343" s="12" t="s">
        <v>81</v>
      </c>
      <c r="AW343" s="12" t="s">
        <v>35</v>
      </c>
      <c r="AX343" s="12" t="s">
        <v>71</v>
      </c>
      <c r="AY343" s="191" t="s">
        <v>136</v>
      </c>
    </row>
    <row r="344" spans="2:65" s="12" customFormat="1" x14ac:dyDescent="0.3">
      <c r="B344" s="190"/>
      <c r="D344" s="183" t="s">
        <v>145</v>
      </c>
      <c r="E344" s="191" t="s">
        <v>5</v>
      </c>
      <c r="F344" s="326" t="s">
        <v>1291</v>
      </c>
      <c r="G344" s="327"/>
      <c r="H344" s="315">
        <f>10*5.55+(10*2)/2+(10*2)</f>
        <v>85.5</v>
      </c>
      <c r="I344" s="194">
        <v>0</v>
      </c>
      <c r="L344" s="41"/>
      <c r="M344" s="195"/>
      <c r="N344" s="196"/>
      <c r="O344" s="196"/>
      <c r="P344" s="196"/>
      <c r="Q344" s="196"/>
      <c r="R344" s="196"/>
      <c r="S344" s="196"/>
      <c r="T344" s="197"/>
      <c r="AT344" s="191" t="s">
        <v>145</v>
      </c>
      <c r="AU344" s="191" t="s">
        <v>81</v>
      </c>
      <c r="AV344" s="12" t="s">
        <v>81</v>
      </c>
      <c r="AW344" s="12" t="s">
        <v>35</v>
      </c>
      <c r="AX344" s="12" t="s">
        <v>71</v>
      </c>
      <c r="AY344" s="191" t="s">
        <v>136</v>
      </c>
    </row>
    <row r="345" spans="2:65" s="12" customFormat="1" x14ac:dyDescent="0.3">
      <c r="B345" s="190"/>
      <c r="D345" s="183" t="s">
        <v>145</v>
      </c>
      <c r="E345" s="191" t="s">
        <v>5</v>
      </c>
      <c r="F345" s="326" t="s">
        <v>1292</v>
      </c>
      <c r="G345" s="327"/>
      <c r="H345" s="315">
        <f>-((3.85*2.44)+(0.625*0.625)+(1*1)+(1.8*2.44))</f>
        <v>-15.176625000000001</v>
      </c>
      <c r="I345" s="194">
        <v>0</v>
      </c>
      <c r="L345" s="41"/>
      <c r="M345" s="195"/>
      <c r="N345" s="196"/>
      <c r="O345" s="196"/>
      <c r="P345" s="196"/>
      <c r="Q345" s="196"/>
      <c r="R345" s="196"/>
      <c r="S345" s="196"/>
      <c r="T345" s="197"/>
      <c r="AT345" s="191" t="s">
        <v>145</v>
      </c>
      <c r="AU345" s="191" t="s">
        <v>81</v>
      </c>
      <c r="AV345" s="12" t="s">
        <v>81</v>
      </c>
      <c r="AW345" s="12" t="s">
        <v>35</v>
      </c>
      <c r="AX345" s="12" t="s">
        <v>71</v>
      </c>
      <c r="AY345" s="191" t="s">
        <v>136</v>
      </c>
    </row>
    <row r="346" spans="2:65" s="1" customFormat="1" ht="16.5" customHeight="1" x14ac:dyDescent="0.3">
      <c r="B346" s="169"/>
      <c r="C346" s="206" t="s">
        <v>375</v>
      </c>
      <c r="D346" s="206" t="s">
        <v>355</v>
      </c>
      <c r="E346" s="207" t="s">
        <v>376</v>
      </c>
      <c r="F346" s="208" t="s">
        <v>377</v>
      </c>
      <c r="G346" s="209" t="s">
        <v>179</v>
      </c>
      <c r="H346" s="355">
        <f>H347</f>
        <v>411.55170000000004</v>
      </c>
      <c r="I346" s="211">
        <v>322</v>
      </c>
      <c r="J346" s="212">
        <f>ROUND(I346*H346,2)</f>
        <v>132519.65</v>
      </c>
      <c r="K346" s="208" t="s">
        <v>142</v>
      </c>
      <c r="L346" s="41"/>
      <c r="M346" s="213" t="s">
        <v>5</v>
      </c>
      <c r="N346" s="214" t="s">
        <v>42</v>
      </c>
      <c r="O346" s="42"/>
      <c r="P346" s="179">
        <f>O346*H346</f>
        <v>0</v>
      </c>
      <c r="Q346" s="179">
        <v>3.3999999999999998E-3</v>
      </c>
      <c r="R346" s="179">
        <f>Q346*H346</f>
        <v>1.39927578</v>
      </c>
      <c r="S346" s="179">
        <v>0</v>
      </c>
      <c r="T346" s="180">
        <f>S346*H346</f>
        <v>0</v>
      </c>
      <c r="AR346" s="24" t="s">
        <v>171</v>
      </c>
      <c r="AT346" s="24" t="s">
        <v>355</v>
      </c>
      <c r="AU346" s="24" t="s">
        <v>81</v>
      </c>
      <c r="AY346" s="24" t="s">
        <v>136</v>
      </c>
      <c r="BE346" s="181">
        <f>IF(N346="základní",J346,0)</f>
        <v>132519.65</v>
      </c>
      <c r="BF346" s="181">
        <f>IF(N346="snížená",J346,0)</f>
        <v>0</v>
      </c>
      <c r="BG346" s="181">
        <f>IF(N346="zákl. přenesená",J346,0)</f>
        <v>0</v>
      </c>
      <c r="BH346" s="181">
        <f>IF(N346="sníž. přenesená",J346,0)</f>
        <v>0</v>
      </c>
      <c r="BI346" s="181">
        <f>IF(N346="nulová",J346,0)</f>
        <v>0</v>
      </c>
      <c r="BJ346" s="24" t="s">
        <v>79</v>
      </c>
      <c r="BK346" s="181">
        <f>ROUND(I346*H346,2)</f>
        <v>132519.65</v>
      </c>
      <c r="BL346" s="24" t="s">
        <v>143</v>
      </c>
      <c r="BM346" s="24" t="s">
        <v>378</v>
      </c>
    </row>
    <row r="347" spans="2:65" s="12" customFormat="1" x14ac:dyDescent="0.3">
      <c r="B347" s="190"/>
      <c r="D347" s="183" t="s">
        <v>145</v>
      </c>
      <c r="E347" s="191" t="s">
        <v>5</v>
      </c>
      <c r="F347" s="312" t="s">
        <v>1294</v>
      </c>
      <c r="H347" s="315">
        <f>391.954*1.05</f>
        <v>411.55170000000004</v>
      </c>
      <c r="I347" s="194">
        <v>0</v>
      </c>
      <c r="L347" s="41"/>
      <c r="M347" s="195"/>
      <c r="N347" s="196"/>
      <c r="O347" s="196"/>
      <c r="P347" s="196"/>
      <c r="Q347" s="196"/>
      <c r="R347" s="196"/>
      <c r="S347" s="196"/>
      <c r="T347" s="197"/>
      <c r="AT347" s="191" t="s">
        <v>145</v>
      </c>
      <c r="AU347" s="191" t="s">
        <v>81</v>
      </c>
      <c r="AV347" s="12" t="s">
        <v>81</v>
      </c>
      <c r="AW347" s="12" t="s">
        <v>35</v>
      </c>
      <c r="AX347" s="12" t="s">
        <v>79</v>
      </c>
      <c r="AY347" s="191" t="s">
        <v>136</v>
      </c>
    </row>
    <row r="348" spans="2:65" s="12" customFormat="1" x14ac:dyDescent="0.3">
      <c r="B348" s="190"/>
      <c r="D348" s="183" t="s">
        <v>145</v>
      </c>
      <c r="F348" s="192"/>
      <c r="H348" s="193"/>
      <c r="I348" s="194">
        <v>0</v>
      </c>
      <c r="L348" s="41"/>
      <c r="M348" s="195"/>
      <c r="N348" s="196"/>
      <c r="O348" s="196"/>
      <c r="P348" s="196"/>
      <c r="Q348" s="196"/>
      <c r="R348" s="196"/>
      <c r="S348" s="196"/>
      <c r="T348" s="197"/>
      <c r="AT348" s="191" t="s">
        <v>145</v>
      </c>
      <c r="AU348" s="191" t="s">
        <v>81</v>
      </c>
      <c r="AV348" s="12" t="s">
        <v>81</v>
      </c>
      <c r="AW348" s="12" t="s">
        <v>6</v>
      </c>
      <c r="AX348" s="12" t="s">
        <v>79</v>
      </c>
      <c r="AY348" s="191" t="s">
        <v>136</v>
      </c>
    </row>
    <row r="349" spans="2:65" s="1" customFormat="1" ht="16.5" customHeight="1" x14ac:dyDescent="0.3">
      <c r="B349" s="169"/>
      <c r="C349" s="206" t="s">
        <v>379</v>
      </c>
      <c r="D349" s="206" t="s">
        <v>355</v>
      </c>
      <c r="E349" s="207" t="s">
        <v>380</v>
      </c>
      <c r="F349" s="208" t="s">
        <v>381</v>
      </c>
      <c r="G349" s="209" t="s">
        <v>179</v>
      </c>
      <c r="H349" s="355">
        <f>H352</f>
        <v>33.579000000000001</v>
      </c>
      <c r="I349" s="211">
        <v>586.5</v>
      </c>
      <c r="J349" s="212">
        <f>ROUND(I349*H349,2)</f>
        <v>19694.080000000002</v>
      </c>
      <c r="K349" s="208" t="s">
        <v>5</v>
      </c>
      <c r="L349" s="41"/>
      <c r="M349" s="213" t="s">
        <v>5</v>
      </c>
      <c r="N349" s="214" t="s">
        <v>42</v>
      </c>
      <c r="O349" s="42"/>
      <c r="P349" s="179">
        <f>O349*H349</f>
        <v>0</v>
      </c>
      <c r="Q349" s="179">
        <v>4.8999999999999998E-3</v>
      </c>
      <c r="R349" s="179">
        <f>Q349*H349</f>
        <v>0.16453709999999999</v>
      </c>
      <c r="S349" s="179">
        <v>0</v>
      </c>
      <c r="T349" s="180">
        <f>S349*H349</f>
        <v>0</v>
      </c>
      <c r="AR349" s="24" t="s">
        <v>171</v>
      </c>
      <c r="AT349" s="24" t="s">
        <v>355</v>
      </c>
      <c r="AU349" s="24" t="s">
        <v>81</v>
      </c>
      <c r="AY349" s="24" t="s">
        <v>136</v>
      </c>
      <c r="BE349" s="181">
        <f>IF(N349="základní",J349,0)</f>
        <v>19694.080000000002</v>
      </c>
      <c r="BF349" s="181">
        <f>IF(N349="snížená",J349,0)</f>
        <v>0</v>
      </c>
      <c r="BG349" s="181">
        <f>IF(N349="zákl. přenesená",J349,0)</f>
        <v>0</v>
      </c>
      <c r="BH349" s="181">
        <f>IF(N349="sníž. přenesená",J349,0)</f>
        <v>0</v>
      </c>
      <c r="BI349" s="181">
        <f>IF(N349="nulová",J349,0)</f>
        <v>0</v>
      </c>
      <c r="BJ349" s="24" t="s">
        <v>79</v>
      </c>
      <c r="BK349" s="181">
        <f>ROUND(I349*H349,2)</f>
        <v>19694.080000000002</v>
      </c>
      <c r="BL349" s="24" t="s">
        <v>143</v>
      </c>
      <c r="BM349" s="24" t="s">
        <v>382</v>
      </c>
    </row>
    <row r="350" spans="2:65" s="12" customFormat="1" x14ac:dyDescent="0.3">
      <c r="B350" s="190"/>
      <c r="D350" s="183" t="s">
        <v>145</v>
      </c>
      <c r="E350" s="191" t="s">
        <v>5</v>
      </c>
      <c r="F350" s="312" t="s">
        <v>1295</v>
      </c>
      <c r="G350" s="327"/>
      <c r="H350" s="315">
        <f>0.75*(14.9*2+9.6*2)</f>
        <v>36.75</v>
      </c>
      <c r="I350" s="194">
        <v>0</v>
      </c>
      <c r="J350" s="212"/>
      <c r="L350" s="41"/>
      <c r="M350" s="195"/>
      <c r="N350" s="196"/>
      <c r="O350" s="196"/>
      <c r="P350" s="196"/>
      <c r="Q350" s="196"/>
      <c r="R350" s="196"/>
      <c r="S350" s="196"/>
      <c r="T350" s="197"/>
      <c r="AT350" s="191" t="s">
        <v>145</v>
      </c>
      <c r="AU350" s="191" t="s">
        <v>81</v>
      </c>
      <c r="AV350" s="12" t="s">
        <v>81</v>
      </c>
      <c r="AW350" s="12" t="s">
        <v>35</v>
      </c>
      <c r="AX350" s="12" t="s">
        <v>79</v>
      </c>
      <c r="AY350" s="191" t="s">
        <v>136</v>
      </c>
    </row>
    <row r="351" spans="2:65" s="12" customFormat="1" x14ac:dyDescent="0.3">
      <c r="B351" s="190"/>
      <c r="D351" s="183"/>
      <c r="E351" s="191"/>
      <c r="F351" s="312">
        <f>-(0.3*(6.7+3.25+3.85+1.05*2))</f>
        <v>-4.7699999999999996</v>
      </c>
      <c r="G351" s="327"/>
      <c r="H351" s="315">
        <f>-(0.3*(6.7+3.25+3.85+1.05*2))</f>
        <v>-4.7699999999999996</v>
      </c>
      <c r="I351" s="194">
        <v>0</v>
      </c>
      <c r="J351" s="212"/>
      <c r="L351" s="41"/>
      <c r="M351" s="195"/>
      <c r="N351" s="328"/>
      <c r="O351" s="328"/>
      <c r="P351" s="328"/>
      <c r="Q351" s="328"/>
      <c r="R351" s="328"/>
      <c r="S351" s="328"/>
      <c r="T351" s="197"/>
      <c r="AT351" s="191"/>
      <c r="AU351" s="191"/>
      <c r="AY351" s="191"/>
    </row>
    <row r="352" spans="2:65" s="12" customFormat="1" x14ac:dyDescent="0.3">
      <c r="B352" s="190"/>
      <c r="D352" s="183" t="s">
        <v>145</v>
      </c>
      <c r="F352" s="312" t="s">
        <v>1296</v>
      </c>
      <c r="G352" s="327"/>
      <c r="H352" s="315">
        <f>(36.75-4.77)*1.05</f>
        <v>33.579000000000001</v>
      </c>
      <c r="I352" s="194">
        <v>0</v>
      </c>
      <c r="J352" s="212"/>
      <c r="L352" s="41"/>
      <c r="M352" s="195"/>
      <c r="N352" s="196"/>
      <c r="O352" s="196"/>
      <c r="P352" s="196"/>
      <c r="Q352" s="196"/>
      <c r="R352" s="196"/>
      <c r="S352" s="196"/>
      <c r="T352" s="197"/>
      <c r="AT352" s="191" t="s">
        <v>145</v>
      </c>
      <c r="AU352" s="191" t="s">
        <v>81</v>
      </c>
      <c r="AV352" s="12" t="s">
        <v>81</v>
      </c>
      <c r="AW352" s="12" t="s">
        <v>6</v>
      </c>
      <c r="AX352" s="12" t="s">
        <v>79</v>
      </c>
      <c r="AY352" s="191" t="s">
        <v>136</v>
      </c>
    </row>
    <row r="353" spans="2:65" s="308" customFormat="1" ht="16.5" customHeight="1" x14ac:dyDescent="0.3">
      <c r="B353" s="169"/>
      <c r="C353" s="206"/>
      <c r="D353" s="206"/>
      <c r="E353" s="207"/>
      <c r="F353" s="208" t="s">
        <v>1389</v>
      </c>
      <c r="G353" s="209" t="s">
        <v>141</v>
      </c>
      <c r="H353" s="355">
        <f>SUM(H355:H361)</f>
        <v>5.1269300000000015</v>
      </c>
      <c r="I353" s="211">
        <v>4140</v>
      </c>
      <c r="J353" s="212">
        <f t="shared" ref="J353" si="6">ROUND(I353*H353,2)</f>
        <v>21225.49</v>
      </c>
      <c r="K353" s="208"/>
      <c r="L353" s="41"/>
      <c r="M353" s="213"/>
      <c r="N353" s="214"/>
      <c r="O353" s="309"/>
      <c r="P353" s="179"/>
      <c r="Q353" s="179"/>
      <c r="R353" s="179"/>
      <c r="S353" s="179"/>
      <c r="T353" s="180"/>
      <c r="AR353" s="24"/>
      <c r="AT353" s="24"/>
      <c r="AU353" s="24"/>
      <c r="AY353" s="24"/>
      <c r="BE353" s="181"/>
      <c r="BF353" s="181"/>
      <c r="BG353" s="181"/>
      <c r="BH353" s="181"/>
      <c r="BI353" s="181"/>
      <c r="BJ353" s="24"/>
      <c r="BK353" s="181"/>
      <c r="BL353" s="24"/>
      <c r="BM353" s="24"/>
    </row>
    <row r="354" spans="2:65" s="12" customFormat="1" x14ac:dyDescent="0.3">
      <c r="B354" s="190"/>
      <c r="D354" s="183"/>
      <c r="F354" s="312" t="s">
        <v>1390</v>
      </c>
      <c r="G354" s="327"/>
      <c r="H354" s="315"/>
      <c r="I354" s="194">
        <v>0</v>
      </c>
      <c r="L354" s="41"/>
      <c r="M354" s="195"/>
      <c r="N354" s="328"/>
      <c r="O354" s="328"/>
      <c r="P354" s="328"/>
      <c r="Q354" s="328"/>
      <c r="R354" s="328"/>
      <c r="S354" s="328"/>
      <c r="T354" s="197"/>
      <c r="AT354" s="191"/>
      <c r="AU354" s="191"/>
      <c r="AY354" s="191"/>
    </row>
    <row r="355" spans="2:65" s="12" customFormat="1" x14ac:dyDescent="0.3">
      <c r="B355" s="190"/>
      <c r="D355" s="183"/>
      <c r="F355" s="312" t="s">
        <v>1391</v>
      </c>
      <c r="G355" s="327"/>
      <c r="H355" s="315">
        <f>0.2*0.2*4.1+0.14*0.7*4.1</f>
        <v>0.56579999999999997</v>
      </c>
      <c r="I355" s="194">
        <v>0</v>
      </c>
      <c r="L355" s="41"/>
      <c r="M355" s="195"/>
      <c r="N355" s="328"/>
      <c r="O355" s="328"/>
      <c r="P355" s="328"/>
      <c r="Q355" s="328"/>
      <c r="R355" s="328"/>
      <c r="S355" s="328"/>
      <c r="T355" s="197"/>
      <c r="AT355" s="191"/>
      <c r="AU355" s="191"/>
      <c r="AY355" s="191"/>
    </row>
    <row r="356" spans="2:65" s="12" customFormat="1" x14ac:dyDescent="0.3">
      <c r="B356" s="190"/>
      <c r="D356" s="183"/>
      <c r="F356" s="312" t="s">
        <v>1392</v>
      </c>
      <c r="G356" s="327"/>
      <c r="H356" s="315"/>
      <c r="I356" s="194">
        <v>0</v>
      </c>
      <c r="L356" s="41"/>
      <c r="M356" s="195"/>
      <c r="N356" s="328"/>
      <c r="O356" s="328"/>
      <c r="P356" s="328"/>
      <c r="Q356" s="328"/>
      <c r="R356" s="328"/>
      <c r="S356" s="328"/>
      <c r="T356" s="197"/>
      <c r="AT356" s="191"/>
      <c r="AU356" s="191"/>
      <c r="AY356" s="191"/>
    </row>
    <row r="357" spans="2:65" s="12" customFormat="1" x14ac:dyDescent="0.3">
      <c r="B357" s="190"/>
      <c r="D357" s="183"/>
      <c r="F357" s="312" t="s">
        <v>1393</v>
      </c>
      <c r="G357" s="327"/>
      <c r="H357" s="315">
        <f>0.25*0.09*4.1</f>
        <v>9.2249999999999985E-2</v>
      </c>
      <c r="I357" s="194">
        <v>0</v>
      </c>
      <c r="L357" s="41"/>
      <c r="M357" s="195"/>
      <c r="N357" s="328"/>
      <c r="O357" s="328"/>
      <c r="P357" s="328"/>
      <c r="Q357" s="328"/>
      <c r="R357" s="328"/>
      <c r="S357" s="328"/>
      <c r="T357" s="197"/>
      <c r="AT357" s="191"/>
      <c r="AU357" s="191"/>
      <c r="AY357" s="191"/>
    </row>
    <row r="358" spans="2:65" s="12" customFormat="1" x14ac:dyDescent="0.3">
      <c r="B358" s="190"/>
      <c r="D358" s="183"/>
      <c r="F358" s="312" t="s">
        <v>1394</v>
      </c>
      <c r="G358" s="327"/>
      <c r="H358" s="315"/>
      <c r="I358" s="194">
        <v>0</v>
      </c>
      <c r="L358" s="41"/>
      <c r="M358" s="195"/>
      <c r="N358" s="328"/>
      <c r="O358" s="328"/>
      <c r="P358" s="328"/>
      <c r="Q358" s="328"/>
      <c r="R358" s="328"/>
      <c r="S358" s="328"/>
      <c r="T358" s="197"/>
      <c r="AT358" s="191"/>
      <c r="AU358" s="191"/>
      <c r="AY358" s="191"/>
    </row>
    <row r="359" spans="2:65" s="12" customFormat="1" x14ac:dyDescent="0.3">
      <c r="B359" s="190"/>
      <c r="D359" s="183"/>
      <c r="F359" s="312" t="s">
        <v>1395</v>
      </c>
      <c r="G359" s="327"/>
      <c r="H359" s="315">
        <f>0.14*0.46*(5.2*2+9.8)</f>
        <v>1.3008800000000005</v>
      </c>
      <c r="I359" s="194">
        <v>0</v>
      </c>
      <c r="L359" s="41"/>
      <c r="M359" s="195"/>
      <c r="N359" s="328"/>
      <c r="O359" s="328"/>
      <c r="P359" s="328"/>
      <c r="Q359" s="328"/>
      <c r="R359" s="328"/>
      <c r="S359" s="328"/>
      <c r="T359" s="197"/>
      <c r="AT359" s="191"/>
      <c r="AU359" s="191"/>
      <c r="AY359" s="191"/>
    </row>
    <row r="360" spans="2:65" s="12" customFormat="1" x14ac:dyDescent="0.3">
      <c r="B360" s="190"/>
      <c r="D360" s="183"/>
      <c r="F360" s="312" t="s">
        <v>1382</v>
      </c>
      <c r="G360" s="327"/>
      <c r="H360" s="315"/>
      <c r="I360" s="194">
        <v>0</v>
      </c>
      <c r="L360" s="41"/>
      <c r="M360" s="195"/>
      <c r="N360" s="328"/>
      <c r="O360" s="328"/>
      <c r="P360" s="328"/>
      <c r="Q360" s="328"/>
      <c r="R360" s="328"/>
      <c r="S360" s="328"/>
      <c r="T360" s="197"/>
      <c r="AT360" s="191"/>
      <c r="AU360" s="191"/>
      <c r="AY360" s="191"/>
    </row>
    <row r="361" spans="2:65" s="12" customFormat="1" x14ac:dyDescent="0.3">
      <c r="B361" s="190"/>
      <c r="D361" s="183"/>
      <c r="F361" s="312" t="s">
        <v>1396</v>
      </c>
      <c r="G361" s="327"/>
      <c r="H361" s="315">
        <f>0.66*0.16*(5.2*2+9.8*2)</f>
        <v>3.1680000000000006</v>
      </c>
      <c r="I361" s="194">
        <v>0</v>
      </c>
      <c r="L361" s="41"/>
      <c r="M361" s="195"/>
      <c r="N361" s="328"/>
      <c r="O361" s="328"/>
      <c r="P361" s="328"/>
      <c r="Q361" s="328"/>
      <c r="R361" s="328"/>
      <c r="S361" s="328"/>
      <c r="T361" s="197"/>
      <c r="AT361" s="191"/>
      <c r="AU361" s="191"/>
      <c r="AY361" s="191"/>
    </row>
    <row r="362" spans="2:65" s="1" customFormat="1" ht="25.5" customHeight="1" x14ac:dyDescent="0.3">
      <c r="B362" s="169"/>
      <c r="C362" s="170" t="s">
        <v>383</v>
      </c>
      <c r="D362" s="170" t="s">
        <v>138</v>
      </c>
      <c r="E362" s="171" t="s">
        <v>384</v>
      </c>
      <c r="F362" s="172" t="s">
        <v>385</v>
      </c>
      <c r="G362" s="173" t="s">
        <v>179</v>
      </c>
      <c r="H362" s="320">
        <f>H332</f>
        <v>391.95362499999993</v>
      </c>
      <c r="I362" s="175">
        <v>28.749999999999996</v>
      </c>
      <c r="J362" s="176">
        <f>ROUND(I362*H362,2)</f>
        <v>11268.67</v>
      </c>
      <c r="K362" s="172" t="s">
        <v>142</v>
      </c>
      <c r="L362" s="41"/>
      <c r="M362" s="177" t="s">
        <v>5</v>
      </c>
      <c r="N362" s="178" t="s">
        <v>42</v>
      </c>
      <c r="O362" s="42"/>
      <c r="P362" s="179">
        <f>O362*H362</f>
        <v>0</v>
      </c>
      <c r="Q362" s="179">
        <v>6.0000000000000002E-5</v>
      </c>
      <c r="R362" s="179">
        <f>Q362*H362</f>
        <v>2.3517217499999996E-2</v>
      </c>
      <c r="S362" s="179">
        <v>0</v>
      </c>
      <c r="T362" s="180">
        <f>S362*H362</f>
        <v>0</v>
      </c>
      <c r="AR362" s="24" t="s">
        <v>143</v>
      </c>
      <c r="AT362" s="24" t="s">
        <v>138</v>
      </c>
      <c r="AU362" s="24" t="s">
        <v>81</v>
      </c>
      <c r="AY362" s="24" t="s">
        <v>136</v>
      </c>
      <c r="BE362" s="181">
        <f>IF(N362="základní",J362,0)</f>
        <v>11268.67</v>
      </c>
      <c r="BF362" s="181">
        <f>IF(N362="snížená",J362,0)</f>
        <v>0</v>
      </c>
      <c r="BG362" s="181">
        <f>IF(N362="zákl. přenesená",J362,0)</f>
        <v>0</v>
      </c>
      <c r="BH362" s="181">
        <f>IF(N362="sníž. přenesená",J362,0)</f>
        <v>0</v>
      </c>
      <c r="BI362" s="181">
        <f>IF(N362="nulová",J362,0)</f>
        <v>0</v>
      </c>
      <c r="BJ362" s="24" t="s">
        <v>79</v>
      </c>
      <c r="BK362" s="181">
        <f>ROUND(I362*H362,2)</f>
        <v>11268.67</v>
      </c>
      <c r="BL362" s="24" t="s">
        <v>143</v>
      </c>
      <c r="BM362" s="24" t="s">
        <v>386</v>
      </c>
    </row>
    <row r="363" spans="2:65" s="1" customFormat="1" ht="16.5" customHeight="1" x14ac:dyDescent="0.3">
      <c r="B363" s="169"/>
      <c r="C363" s="170" t="s">
        <v>387</v>
      </c>
      <c r="D363" s="170" t="s">
        <v>138</v>
      </c>
      <c r="E363" s="171" t="s">
        <v>388</v>
      </c>
      <c r="F363" s="172" t="s">
        <v>389</v>
      </c>
      <c r="G363" s="173" t="s">
        <v>249</v>
      </c>
      <c r="H363" s="320">
        <f>H365+H375+H385</f>
        <v>250.29174999999995</v>
      </c>
      <c r="I363" s="175">
        <v>28.749999999999996</v>
      </c>
      <c r="J363" s="176">
        <f>ROUND(I363*H363,2)</f>
        <v>7195.89</v>
      </c>
      <c r="K363" s="172" t="s">
        <v>142</v>
      </c>
      <c r="L363" s="41"/>
      <c r="M363" s="177" t="s">
        <v>5</v>
      </c>
      <c r="N363" s="178" t="s">
        <v>42</v>
      </c>
      <c r="O363" s="42"/>
      <c r="P363" s="179">
        <f>O363*H363</f>
        <v>0</v>
      </c>
      <c r="Q363" s="179">
        <v>2.5000000000000001E-4</v>
      </c>
      <c r="R363" s="179">
        <f>Q363*H363</f>
        <v>6.2572937499999995E-2</v>
      </c>
      <c r="S363" s="179">
        <v>0</v>
      </c>
      <c r="T363" s="180">
        <f>S363*H363</f>
        <v>0</v>
      </c>
      <c r="AR363" s="24" t="s">
        <v>143</v>
      </c>
      <c r="AT363" s="24" t="s">
        <v>138</v>
      </c>
      <c r="AU363" s="24" t="s">
        <v>81</v>
      </c>
      <c r="AY363" s="24" t="s">
        <v>136</v>
      </c>
      <c r="BE363" s="181">
        <f>IF(N363="základní",J363,0)</f>
        <v>7195.89</v>
      </c>
      <c r="BF363" s="181">
        <f>IF(N363="snížená",J363,0)</f>
        <v>0</v>
      </c>
      <c r="BG363" s="181">
        <f>IF(N363="zákl. přenesená",J363,0)</f>
        <v>0</v>
      </c>
      <c r="BH363" s="181">
        <f>IF(N363="sníž. přenesená",J363,0)</f>
        <v>0</v>
      </c>
      <c r="BI363" s="181">
        <f>IF(N363="nulová",J363,0)</f>
        <v>0</v>
      </c>
      <c r="BJ363" s="24" t="s">
        <v>79</v>
      </c>
      <c r="BK363" s="181">
        <f>ROUND(I363*H363,2)</f>
        <v>7195.89</v>
      </c>
      <c r="BL363" s="24" t="s">
        <v>143</v>
      </c>
      <c r="BM363" s="24" t="s">
        <v>390</v>
      </c>
    </row>
    <row r="364" spans="2:65" s="12" customFormat="1" x14ac:dyDescent="0.3">
      <c r="B364" s="190"/>
      <c r="D364" s="183" t="s">
        <v>145</v>
      </c>
      <c r="E364" s="191" t="s">
        <v>5</v>
      </c>
      <c r="F364" s="192"/>
      <c r="H364" s="193"/>
      <c r="I364" s="194">
        <v>0</v>
      </c>
      <c r="L364" s="41"/>
      <c r="M364" s="195"/>
      <c r="N364" s="196"/>
      <c r="O364" s="196"/>
      <c r="P364" s="196"/>
      <c r="Q364" s="196"/>
      <c r="R364" s="196"/>
      <c r="S364" s="196"/>
      <c r="T364" s="197"/>
      <c r="AT364" s="191" t="s">
        <v>145</v>
      </c>
      <c r="AU364" s="191" t="s">
        <v>81</v>
      </c>
      <c r="AV364" s="12" t="s">
        <v>81</v>
      </c>
      <c r="AW364" s="12" t="s">
        <v>35</v>
      </c>
      <c r="AX364" s="12" t="s">
        <v>79</v>
      </c>
      <c r="AY364" s="191" t="s">
        <v>136</v>
      </c>
    </row>
    <row r="365" spans="2:65" s="1" customFormat="1" ht="16.5" customHeight="1" x14ac:dyDescent="0.3">
      <c r="B365" s="169"/>
      <c r="C365" s="206" t="s">
        <v>391</v>
      </c>
      <c r="D365" s="206" t="s">
        <v>355</v>
      </c>
      <c r="E365" s="207" t="s">
        <v>392</v>
      </c>
      <c r="F365" s="208" t="s">
        <v>393</v>
      </c>
      <c r="G365" s="209" t="s">
        <v>249</v>
      </c>
      <c r="H365" s="355">
        <f>H374</f>
        <v>195.32174999999995</v>
      </c>
      <c r="I365" s="211">
        <v>48.3</v>
      </c>
      <c r="J365" s="212">
        <f>ROUND(I365*H365,2)</f>
        <v>9434.0400000000009</v>
      </c>
      <c r="K365" s="208" t="s">
        <v>142</v>
      </c>
      <c r="L365" s="41"/>
      <c r="M365" s="213" t="s">
        <v>5</v>
      </c>
      <c r="N365" s="214" t="s">
        <v>42</v>
      </c>
      <c r="O365" s="42"/>
      <c r="P365" s="179">
        <f>O365*H365</f>
        <v>0</v>
      </c>
      <c r="Q365" s="179">
        <v>3.0000000000000001E-5</v>
      </c>
      <c r="R365" s="179">
        <f>Q365*H365</f>
        <v>5.8596524999999988E-3</v>
      </c>
      <c r="S365" s="179">
        <v>0</v>
      </c>
      <c r="T365" s="180">
        <f>S365*H365</f>
        <v>0</v>
      </c>
      <c r="AR365" s="24" t="s">
        <v>171</v>
      </c>
      <c r="AT365" s="24" t="s">
        <v>355</v>
      </c>
      <c r="AU365" s="24" t="s">
        <v>81</v>
      </c>
      <c r="AY365" s="24" t="s">
        <v>136</v>
      </c>
      <c r="BE365" s="181">
        <f>IF(N365="základní",J365,0)</f>
        <v>9434.0400000000009</v>
      </c>
      <c r="BF365" s="181">
        <f>IF(N365="snížená",J365,0)</f>
        <v>0</v>
      </c>
      <c r="BG365" s="181">
        <f>IF(N365="zákl. přenesená",J365,0)</f>
        <v>0</v>
      </c>
      <c r="BH365" s="181">
        <f>IF(N365="sníž. přenesená",J365,0)</f>
        <v>0</v>
      </c>
      <c r="BI365" s="181">
        <f>IF(N365="nulová",J365,0)</f>
        <v>0</v>
      </c>
      <c r="BJ365" s="24" t="s">
        <v>79</v>
      </c>
      <c r="BK365" s="181">
        <f>ROUND(I365*H365,2)</f>
        <v>9434.0400000000009</v>
      </c>
      <c r="BL365" s="24" t="s">
        <v>143</v>
      </c>
      <c r="BM365" s="24" t="s">
        <v>394</v>
      </c>
    </row>
    <row r="366" spans="2:65" s="11" customFormat="1" x14ac:dyDescent="0.3">
      <c r="B366" s="182"/>
      <c r="D366" s="183" t="s">
        <v>145</v>
      </c>
      <c r="E366" s="184" t="s">
        <v>5</v>
      </c>
      <c r="F366" s="329" t="s">
        <v>1288</v>
      </c>
      <c r="H366" s="184"/>
      <c r="I366" s="186">
        <v>0</v>
      </c>
      <c r="L366" s="41"/>
      <c r="M366" s="187"/>
      <c r="N366" s="188"/>
      <c r="O366" s="188"/>
      <c r="P366" s="188"/>
      <c r="Q366" s="188"/>
      <c r="R366" s="188"/>
      <c r="S366" s="188"/>
      <c r="T366" s="189"/>
      <c r="AT366" s="184" t="s">
        <v>145</v>
      </c>
      <c r="AU366" s="184" t="s">
        <v>81</v>
      </c>
      <c r="AV366" s="11" t="s">
        <v>79</v>
      </c>
      <c r="AW366" s="11" t="s">
        <v>35</v>
      </c>
      <c r="AX366" s="11" t="s">
        <v>71</v>
      </c>
      <c r="AY366" s="184" t="s">
        <v>136</v>
      </c>
    </row>
    <row r="367" spans="2:65" s="12" customFormat="1" x14ac:dyDescent="0.3">
      <c r="B367" s="190"/>
      <c r="D367" s="183" t="s">
        <v>145</v>
      </c>
      <c r="E367" s="191" t="s">
        <v>5</v>
      </c>
      <c r="F367" s="312" t="s">
        <v>1297</v>
      </c>
      <c r="G367" s="327"/>
      <c r="H367" s="315">
        <f>7.75+2.4+1.25*3+2.7+2.44*2+2.8+2.28+10.75+1.5*3+6.7+2.44+1.55*2</f>
        <v>54.050000000000004</v>
      </c>
      <c r="I367" s="194">
        <v>0</v>
      </c>
      <c r="L367" s="41"/>
      <c r="M367" s="195"/>
      <c r="N367" s="196"/>
      <c r="O367" s="196"/>
      <c r="P367" s="196"/>
      <c r="Q367" s="196"/>
      <c r="R367" s="196"/>
      <c r="S367" s="196"/>
      <c r="T367" s="197"/>
      <c r="AT367" s="191" t="s">
        <v>145</v>
      </c>
      <c r="AU367" s="191" t="s">
        <v>81</v>
      </c>
      <c r="AV367" s="12" t="s">
        <v>81</v>
      </c>
      <c r="AW367" s="12" t="s">
        <v>35</v>
      </c>
      <c r="AX367" s="12" t="s">
        <v>71</v>
      </c>
      <c r="AY367" s="191" t="s">
        <v>136</v>
      </c>
    </row>
    <row r="368" spans="2:65" s="12" customFormat="1" x14ac:dyDescent="0.3">
      <c r="B368" s="190"/>
      <c r="D368" s="183" t="s">
        <v>145</v>
      </c>
      <c r="E368" s="191" t="s">
        <v>5</v>
      </c>
      <c r="F368" s="321" t="s">
        <v>1286</v>
      </c>
      <c r="H368" s="193"/>
      <c r="I368" s="194">
        <v>0</v>
      </c>
      <c r="L368" s="41"/>
      <c r="M368" s="195"/>
      <c r="N368" s="196"/>
      <c r="O368" s="196"/>
      <c r="P368" s="196"/>
      <c r="Q368" s="196"/>
      <c r="R368" s="196"/>
      <c r="S368" s="196"/>
      <c r="T368" s="197"/>
      <c r="AT368" s="191" t="s">
        <v>145</v>
      </c>
      <c r="AU368" s="191" t="s">
        <v>81</v>
      </c>
      <c r="AV368" s="12" t="s">
        <v>81</v>
      </c>
      <c r="AW368" s="12" t="s">
        <v>35</v>
      </c>
      <c r="AX368" s="12" t="s">
        <v>71</v>
      </c>
      <c r="AY368" s="191" t="s">
        <v>136</v>
      </c>
    </row>
    <row r="369" spans="2:65" s="12" customFormat="1" x14ac:dyDescent="0.3">
      <c r="B369" s="190"/>
      <c r="D369" s="183" t="s">
        <v>145</v>
      </c>
      <c r="E369" s="191" t="s">
        <v>5</v>
      </c>
      <c r="F369" s="312" t="s">
        <v>1298</v>
      </c>
      <c r="G369" s="327"/>
      <c r="H369" s="315">
        <f>8.8+5.7+0.625*3*5+1.05*5+2.19*2*5</f>
        <v>51.024999999999999</v>
      </c>
      <c r="I369" s="194">
        <v>0</v>
      </c>
      <c r="L369" s="41"/>
      <c r="M369" s="195"/>
      <c r="N369" s="196"/>
      <c r="O369" s="196"/>
      <c r="P369" s="196"/>
      <c r="Q369" s="196"/>
      <c r="R369" s="196"/>
      <c r="S369" s="196"/>
      <c r="T369" s="197"/>
      <c r="AT369" s="191" t="s">
        <v>145</v>
      </c>
      <c r="AU369" s="191" t="s">
        <v>81</v>
      </c>
      <c r="AV369" s="12" t="s">
        <v>81</v>
      </c>
      <c r="AW369" s="12" t="s">
        <v>35</v>
      </c>
      <c r="AX369" s="12" t="s">
        <v>71</v>
      </c>
      <c r="AY369" s="191" t="s">
        <v>136</v>
      </c>
    </row>
    <row r="370" spans="2:65" s="12" customFormat="1" x14ac:dyDescent="0.3">
      <c r="B370" s="190"/>
      <c r="D370" s="183" t="s">
        <v>145</v>
      </c>
      <c r="E370" s="191" t="s">
        <v>5</v>
      </c>
      <c r="F370" s="321" t="s">
        <v>1287</v>
      </c>
      <c r="H370" s="193"/>
      <c r="I370" s="194">
        <v>0</v>
      </c>
      <c r="L370" s="41"/>
      <c r="M370" s="195"/>
      <c r="N370" s="196"/>
      <c r="O370" s="196"/>
      <c r="P370" s="196"/>
      <c r="Q370" s="196"/>
      <c r="R370" s="196"/>
      <c r="S370" s="196"/>
      <c r="T370" s="197"/>
      <c r="AT370" s="191" t="s">
        <v>145</v>
      </c>
      <c r="AU370" s="191" t="s">
        <v>81</v>
      </c>
      <c r="AV370" s="12" t="s">
        <v>81</v>
      </c>
      <c r="AW370" s="12" t="s">
        <v>35</v>
      </c>
      <c r="AX370" s="12" t="s">
        <v>71</v>
      </c>
      <c r="AY370" s="191" t="s">
        <v>136</v>
      </c>
    </row>
    <row r="371" spans="2:65" s="12" customFormat="1" x14ac:dyDescent="0.3">
      <c r="B371" s="190"/>
      <c r="D371" s="183" t="s">
        <v>145</v>
      </c>
      <c r="E371" s="191" t="s">
        <v>5</v>
      </c>
      <c r="F371" s="312" t="s">
        <v>1299</v>
      </c>
      <c r="G371" s="327"/>
      <c r="H371" s="315">
        <f>3.25+2.44+1.8*3+0.625*3+1.8+2.44*2+2.6+2.44*2</f>
        <v>27.125</v>
      </c>
      <c r="I371" s="194">
        <v>0</v>
      </c>
      <c r="L371" s="41"/>
      <c r="M371" s="195"/>
      <c r="N371" s="196"/>
      <c r="O371" s="196"/>
      <c r="P371" s="196"/>
      <c r="Q371" s="196"/>
      <c r="R371" s="196"/>
      <c r="S371" s="196"/>
      <c r="T371" s="197"/>
      <c r="AT371" s="191" t="s">
        <v>145</v>
      </c>
      <c r="AU371" s="191" t="s">
        <v>81</v>
      </c>
      <c r="AV371" s="12" t="s">
        <v>81</v>
      </c>
      <c r="AW371" s="12" t="s">
        <v>35</v>
      </c>
      <c r="AX371" s="12" t="s">
        <v>71</v>
      </c>
      <c r="AY371" s="191" t="s">
        <v>136</v>
      </c>
    </row>
    <row r="372" spans="2:65" s="12" customFormat="1" x14ac:dyDescent="0.3">
      <c r="B372" s="190"/>
      <c r="D372" s="183" t="s">
        <v>145</v>
      </c>
      <c r="E372" s="191" t="s">
        <v>5</v>
      </c>
      <c r="F372" s="321" t="s">
        <v>1290</v>
      </c>
      <c r="H372" s="193"/>
      <c r="I372" s="194">
        <v>0</v>
      </c>
      <c r="L372" s="41"/>
      <c r="M372" s="195"/>
      <c r="N372" s="196"/>
      <c r="O372" s="196"/>
      <c r="P372" s="196"/>
      <c r="Q372" s="196"/>
      <c r="R372" s="196"/>
      <c r="S372" s="196"/>
      <c r="T372" s="197"/>
      <c r="AT372" s="191" t="s">
        <v>145</v>
      </c>
      <c r="AU372" s="191" t="s">
        <v>81</v>
      </c>
      <c r="AV372" s="12" t="s">
        <v>81</v>
      </c>
      <c r="AW372" s="12" t="s">
        <v>35</v>
      </c>
      <c r="AX372" s="12" t="s">
        <v>71</v>
      </c>
      <c r="AY372" s="191" t="s">
        <v>136</v>
      </c>
    </row>
    <row r="373" spans="2:65" s="12" customFormat="1" x14ac:dyDescent="0.3">
      <c r="B373" s="190"/>
      <c r="D373" s="183" t="s">
        <v>145</v>
      </c>
      <c r="E373" s="191" t="s">
        <v>5</v>
      </c>
      <c r="F373" s="312" t="s">
        <v>1300</v>
      </c>
      <c r="G373" s="327"/>
      <c r="H373" s="315">
        <f>0.625*3+1*3+1.8+2.44*2+3.85+2.44+1.3*4+2.8*2+1.8+2.1*2+1*3</f>
        <v>37.644999999999996</v>
      </c>
      <c r="I373" s="194">
        <v>0</v>
      </c>
      <c r="L373" s="41"/>
      <c r="M373" s="195"/>
      <c r="N373" s="196"/>
      <c r="O373" s="196"/>
      <c r="P373" s="196"/>
      <c r="Q373" s="196"/>
      <c r="R373" s="196"/>
      <c r="S373" s="196"/>
      <c r="T373" s="197"/>
      <c r="AT373" s="191" t="s">
        <v>145</v>
      </c>
      <c r="AU373" s="191" t="s">
        <v>81</v>
      </c>
      <c r="AV373" s="12" t="s">
        <v>81</v>
      </c>
      <c r="AW373" s="12" t="s">
        <v>35</v>
      </c>
      <c r="AX373" s="12" t="s">
        <v>71</v>
      </c>
      <c r="AY373" s="191" t="s">
        <v>136</v>
      </c>
    </row>
    <row r="374" spans="2:65" s="12" customFormat="1" x14ac:dyDescent="0.3">
      <c r="B374" s="190"/>
      <c r="D374" s="183"/>
      <c r="E374" s="191"/>
      <c r="F374" s="312" t="s">
        <v>1301</v>
      </c>
      <c r="G374" s="327"/>
      <c r="H374" s="315">
        <f>(H367+H369+H371+H373)*1.15</f>
        <v>195.32174999999995</v>
      </c>
      <c r="I374" s="194">
        <v>0</v>
      </c>
      <c r="L374" s="41"/>
      <c r="M374" s="195"/>
      <c r="N374" s="328"/>
      <c r="O374" s="328"/>
      <c r="P374" s="328"/>
      <c r="Q374" s="328"/>
      <c r="R374" s="328"/>
      <c r="S374" s="328"/>
      <c r="T374" s="197"/>
      <c r="AT374" s="191"/>
      <c r="AU374" s="191"/>
      <c r="AY374" s="191"/>
    </row>
    <row r="375" spans="2:65" s="1" customFormat="1" ht="16.5" customHeight="1" x14ac:dyDescent="0.3">
      <c r="B375" s="169"/>
      <c r="C375" s="206" t="s">
        <v>395</v>
      </c>
      <c r="D375" s="206" t="s">
        <v>355</v>
      </c>
      <c r="E375" s="207" t="s">
        <v>396</v>
      </c>
      <c r="F375" s="208" t="s">
        <v>397</v>
      </c>
      <c r="G375" s="209" t="s">
        <v>249</v>
      </c>
      <c r="H375" s="355">
        <f>H384</f>
        <v>43.556249999999999</v>
      </c>
      <c r="I375" s="211">
        <v>51.749999999999993</v>
      </c>
      <c r="J375" s="212">
        <f>ROUND(I375*H375,2)</f>
        <v>2254.04</v>
      </c>
      <c r="K375" s="208" t="s">
        <v>5</v>
      </c>
      <c r="L375" s="41"/>
      <c r="M375" s="213" t="s">
        <v>5</v>
      </c>
      <c r="N375" s="214" t="s">
        <v>42</v>
      </c>
      <c r="O375" s="42"/>
      <c r="P375" s="179">
        <f>O375*H375</f>
        <v>0</v>
      </c>
      <c r="Q375" s="179">
        <v>4.0000000000000002E-4</v>
      </c>
      <c r="R375" s="179">
        <f>Q375*H375</f>
        <v>1.74225E-2</v>
      </c>
      <c r="S375" s="179">
        <v>0</v>
      </c>
      <c r="T375" s="180">
        <f>S375*H375</f>
        <v>0</v>
      </c>
      <c r="AR375" s="24" t="s">
        <v>171</v>
      </c>
      <c r="AT375" s="24" t="s">
        <v>355</v>
      </c>
      <c r="AU375" s="24" t="s">
        <v>81</v>
      </c>
      <c r="AY375" s="24" t="s">
        <v>136</v>
      </c>
      <c r="BE375" s="181">
        <f>IF(N375="základní",J375,0)</f>
        <v>2254.04</v>
      </c>
      <c r="BF375" s="181">
        <f>IF(N375="snížená",J375,0)</f>
        <v>0</v>
      </c>
      <c r="BG375" s="181">
        <f>IF(N375="zákl. přenesená",J375,0)</f>
        <v>0</v>
      </c>
      <c r="BH375" s="181">
        <f>IF(N375="sníž. přenesená",J375,0)</f>
        <v>0</v>
      </c>
      <c r="BI375" s="181">
        <f>IF(N375="nulová",J375,0)</f>
        <v>0</v>
      </c>
      <c r="BJ375" s="24" t="s">
        <v>79</v>
      </c>
      <c r="BK375" s="181">
        <f>ROUND(I375*H375,2)</f>
        <v>2254.04</v>
      </c>
      <c r="BL375" s="24" t="s">
        <v>143</v>
      </c>
      <c r="BM375" s="24" t="s">
        <v>398</v>
      </c>
    </row>
    <row r="376" spans="2:65" s="11" customFormat="1" x14ac:dyDescent="0.3">
      <c r="B376" s="182"/>
      <c r="D376" s="183" t="s">
        <v>145</v>
      </c>
      <c r="E376" s="184" t="s">
        <v>5</v>
      </c>
      <c r="F376" s="329" t="s">
        <v>1288</v>
      </c>
      <c r="H376" s="184"/>
      <c r="I376" s="186">
        <v>0</v>
      </c>
      <c r="L376" s="41"/>
      <c r="M376" s="187"/>
      <c r="N376" s="188"/>
      <c r="O376" s="188"/>
      <c r="P376" s="188"/>
      <c r="Q376" s="188"/>
      <c r="R376" s="188"/>
      <c r="S376" s="188"/>
      <c r="T376" s="189"/>
      <c r="AT376" s="184" t="s">
        <v>145</v>
      </c>
      <c r="AU376" s="184" t="s">
        <v>81</v>
      </c>
      <c r="AV376" s="11" t="s">
        <v>79</v>
      </c>
      <c r="AW376" s="11" t="s">
        <v>35</v>
      </c>
      <c r="AX376" s="11" t="s">
        <v>71</v>
      </c>
      <c r="AY376" s="184" t="s">
        <v>136</v>
      </c>
    </row>
    <row r="377" spans="2:65" s="12" customFormat="1" x14ac:dyDescent="0.3">
      <c r="B377" s="190"/>
      <c r="D377" s="183" t="s">
        <v>145</v>
      </c>
      <c r="E377" s="191" t="s">
        <v>5</v>
      </c>
      <c r="F377" s="312" t="s">
        <v>1302</v>
      </c>
      <c r="G377" s="327"/>
      <c r="H377" s="315">
        <f>1.25+2.7+1.5+6.7</f>
        <v>12.15</v>
      </c>
      <c r="I377" s="194">
        <v>0</v>
      </c>
      <c r="L377" s="41"/>
      <c r="M377" s="195"/>
      <c r="N377" s="196"/>
      <c r="O377" s="196"/>
      <c r="P377" s="196"/>
      <c r="Q377" s="196"/>
      <c r="R377" s="196"/>
      <c r="S377" s="196"/>
      <c r="T377" s="197"/>
      <c r="AT377" s="191" t="s">
        <v>145</v>
      </c>
      <c r="AU377" s="191" t="s">
        <v>81</v>
      </c>
      <c r="AV377" s="12" t="s">
        <v>81</v>
      </c>
      <c r="AW377" s="12" t="s">
        <v>35</v>
      </c>
      <c r="AX377" s="12" t="s">
        <v>71</v>
      </c>
      <c r="AY377" s="191" t="s">
        <v>136</v>
      </c>
    </row>
    <row r="378" spans="2:65" s="12" customFormat="1" x14ac:dyDescent="0.3">
      <c r="B378" s="190"/>
      <c r="D378" s="183" t="s">
        <v>145</v>
      </c>
      <c r="E378" s="191" t="s">
        <v>5</v>
      </c>
      <c r="F378" s="321" t="s">
        <v>1287</v>
      </c>
      <c r="H378" s="193"/>
      <c r="I378" s="194">
        <v>0</v>
      </c>
      <c r="L378" s="41"/>
      <c r="M378" s="195"/>
      <c r="N378" s="196"/>
      <c r="O378" s="196"/>
      <c r="P378" s="196"/>
      <c r="Q378" s="196"/>
      <c r="R378" s="196"/>
      <c r="S378" s="196"/>
      <c r="T378" s="197"/>
      <c r="AT378" s="191" t="s">
        <v>145</v>
      </c>
      <c r="AU378" s="191" t="s">
        <v>81</v>
      </c>
      <c r="AV378" s="12" t="s">
        <v>81</v>
      </c>
      <c r="AW378" s="12" t="s">
        <v>35</v>
      </c>
      <c r="AX378" s="12" t="s">
        <v>71</v>
      </c>
      <c r="AY378" s="191" t="s">
        <v>136</v>
      </c>
    </row>
    <row r="379" spans="2:65" s="12" customFormat="1" x14ac:dyDescent="0.3">
      <c r="B379" s="190"/>
      <c r="D379" s="183" t="s">
        <v>145</v>
      </c>
      <c r="E379" s="191" t="s">
        <v>5</v>
      </c>
      <c r="F379" s="312" t="s">
        <v>1303</v>
      </c>
      <c r="G379" s="327"/>
      <c r="H379" s="315">
        <f>1.8+0.625+1.8+3.25+2.6</f>
        <v>10.074999999999999</v>
      </c>
      <c r="I379" s="194">
        <v>0</v>
      </c>
      <c r="L379" s="41"/>
      <c r="M379" s="195"/>
      <c r="N379" s="196"/>
      <c r="O379" s="196"/>
      <c r="P379" s="196"/>
      <c r="Q379" s="196"/>
      <c r="R379" s="196"/>
      <c r="S379" s="196"/>
      <c r="T379" s="197"/>
      <c r="AT379" s="191" t="s">
        <v>145</v>
      </c>
      <c r="AU379" s="191" t="s">
        <v>81</v>
      </c>
      <c r="AV379" s="12" t="s">
        <v>81</v>
      </c>
      <c r="AW379" s="12" t="s">
        <v>35</v>
      </c>
      <c r="AX379" s="12" t="s">
        <v>71</v>
      </c>
      <c r="AY379" s="191" t="s">
        <v>136</v>
      </c>
    </row>
    <row r="380" spans="2:65" s="12" customFormat="1" x14ac:dyDescent="0.3">
      <c r="B380" s="190"/>
      <c r="D380" s="183" t="s">
        <v>145</v>
      </c>
      <c r="E380" s="191" t="s">
        <v>5</v>
      </c>
      <c r="F380" s="321" t="s">
        <v>1286</v>
      </c>
      <c r="H380" s="193"/>
      <c r="I380" s="194">
        <v>0</v>
      </c>
      <c r="L380" s="41"/>
      <c r="M380" s="195"/>
      <c r="N380" s="196"/>
      <c r="O380" s="196"/>
      <c r="P380" s="196"/>
      <c r="Q380" s="196"/>
      <c r="R380" s="196"/>
      <c r="S380" s="196"/>
      <c r="T380" s="197"/>
      <c r="AT380" s="191" t="s">
        <v>145</v>
      </c>
      <c r="AU380" s="191" t="s">
        <v>81</v>
      </c>
      <c r="AV380" s="12" t="s">
        <v>81</v>
      </c>
      <c r="AW380" s="12" t="s">
        <v>35</v>
      </c>
      <c r="AX380" s="12" t="s">
        <v>71</v>
      </c>
      <c r="AY380" s="191" t="s">
        <v>136</v>
      </c>
    </row>
    <row r="381" spans="2:65" s="12" customFormat="1" x14ac:dyDescent="0.3">
      <c r="B381" s="190"/>
      <c r="D381" s="183" t="s">
        <v>145</v>
      </c>
      <c r="E381" s="191" t="s">
        <v>5</v>
      </c>
      <c r="F381" s="312" t="s">
        <v>1304</v>
      </c>
      <c r="G381" s="327"/>
      <c r="H381" s="315">
        <f>0.625*5+1.05*5</f>
        <v>8.375</v>
      </c>
      <c r="I381" s="194">
        <v>0</v>
      </c>
      <c r="L381" s="41"/>
      <c r="M381" s="195"/>
      <c r="N381" s="196"/>
      <c r="O381" s="196"/>
      <c r="P381" s="196"/>
      <c r="Q381" s="196"/>
      <c r="R381" s="196"/>
      <c r="S381" s="196"/>
      <c r="T381" s="197"/>
      <c r="AT381" s="191" t="s">
        <v>145</v>
      </c>
      <c r="AU381" s="191" t="s">
        <v>81</v>
      </c>
      <c r="AV381" s="12" t="s">
        <v>81</v>
      </c>
      <c r="AW381" s="12" t="s">
        <v>35</v>
      </c>
      <c r="AX381" s="12" t="s">
        <v>71</v>
      </c>
      <c r="AY381" s="191" t="s">
        <v>136</v>
      </c>
    </row>
    <row r="382" spans="2:65" s="12" customFormat="1" x14ac:dyDescent="0.3">
      <c r="B382" s="190"/>
      <c r="D382" s="183" t="s">
        <v>145</v>
      </c>
      <c r="E382" s="191" t="s">
        <v>5</v>
      </c>
      <c r="F382" s="321" t="s">
        <v>1290</v>
      </c>
      <c r="H382" s="193"/>
      <c r="I382" s="194">
        <v>0</v>
      </c>
      <c r="L382" s="41"/>
      <c r="M382" s="195"/>
      <c r="N382" s="196"/>
      <c r="O382" s="196"/>
      <c r="P382" s="196"/>
      <c r="Q382" s="196"/>
      <c r="R382" s="196"/>
      <c r="S382" s="196"/>
      <c r="T382" s="197"/>
      <c r="AT382" s="191" t="s">
        <v>145</v>
      </c>
      <c r="AU382" s="191" t="s">
        <v>81</v>
      </c>
      <c r="AV382" s="12" t="s">
        <v>81</v>
      </c>
      <c r="AW382" s="12" t="s">
        <v>35</v>
      </c>
      <c r="AX382" s="12" t="s">
        <v>71</v>
      </c>
      <c r="AY382" s="191" t="s">
        <v>136</v>
      </c>
    </row>
    <row r="383" spans="2:65" s="12" customFormat="1" x14ac:dyDescent="0.3">
      <c r="B383" s="190"/>
      <c r="D383" s="183" t="s">
        <v>145</v>
      </c>
      <c r="E383" s="191" t="s">
        <v>5</v>
      </c>
      <c r="F383" s="312" t="s">
        <v>1305</v>
      </c>
      <c r="G383" s="327"/>
      <c r="H383" s="315">
        <f>0.625+1+1.8+3.85</f>
        <v>7.2750000000000004</v>
      </c>
      <c r="I383" s="194">
        <v>0</v>
      </c>
      <c r="L383" s="41"/>
      <c r="M383" s="195"/>
      <c r="N383" s="196"/>
      <c r="O383" s="196"/>
      <c r="P383" s="196"/>
      <c r="Q383" s="196"/>
      <c r="R383" s="196"/>
      <c r="S383" s="196"/>
      <c r="T383" s="197"/>
      <c r="AT383" s="191" t="s">
        <v>145</v>
      </c>
      <c r="AU383" s="191" t="s">
        <v>81</v>
      </c>
      <c r="AV383" s="12" t="s">
        <v>81</v>
      </c>
      <c r="AW383" s="12" t="s">
        <v>35</v>
      </c>
      <c r="AX383" s="12" t="s">
        <v>71</v>
      </c>
      <c r="AY383" s="191" t="s">
        <v>136</v>
      </c>
    </row>
    <row r="384" spans="2:65" s="12" customFormat="1" x14ac:dyDescent="0.3">
      <c r="B384" s="190"/>
      <c r="D384" s="183" t="s">
        <v>145</v>
      </c>
      <c r="E384" s="191" t="s">
        <v>5</v>
      </c>
      <c r="F384" s="312" t="s">
        <v>1306</v>
      </c>
      <c r="G384" s="327"/>
      <c r="H384" s="315">
        <f>(12.15+10.075+8.375+7.275)*1.15</f>
        <v>43.556249999999999</v>
      </c>
      <c r="I384" s="194">
        <v>0</v>
      </c>
      <c r="L384" s="41"/>
      <c r="M384" s="195"/>
      <c r="N384" s="196"/>
      <c r="O384" s="196"/>
      <c r="P384" s="196"/>
      <c r="Q384" s="196"/>
      <c r="R384" s="196"/>
      <c r="S384" s="196"/>
      <c r="T384" s="197"/>
      <c r="AT384" s="191" t="s">
        <v>145</v>
      </c>
      <c r="AU384" s="191" t="s">
        <v>81</v>
      </c>
      <c r="AV384" s="12" t="s">
        <v>81</v>
      </c>
      <c r="AW384" s="12" t="s">
        <v>35</v>
      </c>
      <c r="AX384" s="12" t="s">
        <v>71</v>
      </c>
      <c r="AY384" s="191" t="s">
        <v>136</v>
      </c>
    </row>
    <row r="385" spans="2:65" s="1" customFormat="1" ht="16.5" customHeight="1" x14ac:dyDescent="0.3">
      <c r="B385" s="169"/>
      <c r="C385" s="206" t="s">
        <v>399</v>
      </c>
      <c r="D385" s="206" t="s">
        <v>355</v>
      </c>
      <c r="E385" s="207" t="s">
        <v>400</v>
      </c>
      <c r="F385" s="208" t="s">
        <v>401</v>
      </c>
      <c r="G385" s="209" t="s">
        <v>249</v>
      </c>
      <c r="H385" s="355">
        <f>H394</f>
        <v>11.41375</v>
      </c>
      <c r="I385" s="211">
        <v>51.749999999999993</v>
      </c>
      <c r="J385" s="212">
        <f>ROUND(I385*H385,2)</f>
        <v>590.66</v>
      </c>
      <c r="K385" s="208" t="s">
        <v>5</v>
      </c>
      <c r="L385" s="41"/>
      <c r="M385" s="213" t="s">
        <v>5</v>
      </c>
      <c r="N385" s="214" t="s">
        <v>42</v>
      </c>
      <c r="O385" s="42"/>
      <c r="P385" s="179">
        <f>O385*H385</f>
        <v>0</v>
      </c>
      <c r="Q385" s="179">
        <v>4.0000000000000002E-4</v>
      </c>
      <c r="R385" s="179">
        <f>Q385*H385</f>
        <v>4.5655000000000001E-3</v>
      </c>
      <c r="S385" s="179">
        <v>0</v>
      </c>
      <c r="T385" s="180">
        <f>S385*H385</f>
        <v>0</v>
      </c>
      <c r="AR385" s="24" t="s">
        <v>171</v>
      </c>
      <c r="AT385" s="24" t="s">
        <v>355</v>
      </c>
      <c r="AU385" s="24" t="s">
        <v>81</v>
      </c>
      <c r="AY385" s="24" t="s">
        <v>136</v>
      </c>
      <c r="BE385" s="181">
        <f>IF(N385="základní",J385,0)</f>
        <v>590.66</v>
      </c>
      <c r="BF385" s="181">
        <f>IF(N385="snížená",J385,0)</f>
        <v>0</v>
      </c>
      <c r="BG385" s="181">
        <f>IF(N385="zákl. přenesená",J385,0)</f>
        <v>0</v>
      </c>
      <c r="BH385" s="181">
        <f>IF(N385="sníž. přenesená",J385,0)</f>
        <v>0</v>
      </c>
      <c r="BI385" s="181">
        <f>IF(N385="nulová",J385,0)</f>
        <v>0</v>
      </c>
      <c r="BJ385" s="24" t="s">
        <v>79</v>
      </c>
      <c r="BK385" s="181">
        <f>ROUND(I385*H385,2)</f>
        <v>590.66</v>
      </c>
      <c r="BL385" s="24" t="s">
        <v>143</v>
      </c>
      <c r="BM385" s="24" t="s">
        <v>402</v>
      </c>
    </row>
    <row r="386" spans="2:65" s="11" customFormat="1" x14ac:dyDescent="0.3">
      <c r="B386" s="182"/>
      <c r="D386" s="183" t="s">
        <v>145</v>
      </c>
      <c r="E386" s="184" t="s">
        <v>5</v>
      </c>
      <c r="F386" s="329" t="s">
        <v>1288</v>
      </c>
      <c r="H386" s="184"/>
      <c r="I386" s="186">
        <v>0</v>
      </c>
      <c r="L386" s="41"/>
      <c r="M386" s="187"/>
      <c r="N386" s="188"/>
      <c r="O386" s="188"/>
      <c r="P386" s="188"/>
      <c r="Q386" s="188"/>
      <c r="R386" s="188"/>
      <c r="S386" s="188"/>
      <c r="T386" s="189"/>
      <c r="AT386" s="184" t="s">
        <v>145</v>
      </c>
      <c r="AU386" s="184" t="s">
        <v>81</v>
      </c>
      <c r="AV386" s="11" t="s">
        <v>79</v>
      </c>
      <c r="AW386" s="11" t="s">
        <v>35</v>
      </c>
      <c r="AX386" s="11" t="s">
        <v>71</v>
      </c>
      <c r="AY386" s="184" t="s">
        <v>136</v>
      </c>
    </row>
    <row r="387" spans="2:65" s="12" customFormat="1" x14ac:dyDescent="0.3">
      <c r="B387" s="190"/>
      <c r="D387" s="183" t="s">
        <v>145</v>
      </c>
      <c r="E387" s="191" t="s">
        <v>5</v>
      </c>
      <c r="F387" s="312" t="s">
        <v>1307</v>
      </c>
      <c r="G387" s="327"/>
      <c r="H387" s="315">
        <f>1.25+1.5</f>
        <v>2.75</v>
      </c>
      <c r="I387" s="194">
        <v>0</v>
      </c>
      <c r="L387" s="41"/>
      <c r="M387" s="195"/>
      <c r="N387" s="196"/>
      <c r="O387" s="196"/>
      <c r="P387" s="196"/>
      <c r="Q387" s="196"/>
      <c r="R387" s="196"/>
      <c r="S387" s="196"/>
      <c r="T387" s="197"/>
      <c r="AT387" s="191" t="s">
        <v>145</v>
      </c>
      <c r="AU387" s="191" t="s">
        <v>81</v>
      </c>
      <c r="AV387" s="12" t="s">
        <v>81</v>
      </c>
      <c r="AW387" s="12" t="s">
        <v>35</v>
      </c>
      <c r="AX387" s="12" t="s">
        <v>71</v>
      </c>
      <c r="AY387" s="191" t="s">
        <v>136</v>
      </c>
    </row>
    <row r="388" spans="2:65" s="12" customFormat="1" x14ac:dyDescent="0.3">
      <c r="B388" s="190"/>
      <c r="D388" s="183" t="s">
        <v>145</v>
      </c>
      <c r="E388" s="191" t="s">
        <v>5</v>
      </c>
      <c r="F388" s="321" t="s">
        <v>1287</v>
      </c>
      <c r="H388" s="193"/>
      <c r="I388" s="194">
        <v>0</v>
      </c>
      <c r="L388" s="41"/>
      <c r="M388" s="195"/>
      <c r="N388" s="196"/>
      <c r="O388" s="196"/>
      <c r="P388" s="196"/>
      <c r="Q388" s="196"/>
      <c r="R388" s="196"/>
      <c r="S388" s="196"/>
      <c r="T388" s="197"/>
      <c r="AT388" s="191" t="s">
        <v>145</v>
      </c>
      <c r="AU388" s="191" t="s">
        <v>81</v>
      </c>
      <c r="AV388" s="12" t="s">
        <v>81</v>
      </c>
      <c r="AW388" s="12" t="s">
        <v>35</v>
      </c>
      <c r="AX388" s="12" t="s">
        <v>71</v>
      </c>
      <c r="AY388" s="191" t="s">
        <v>136</v>
      </c>
    </row>
    <row r="389" spans="2:65" s="12" customFormat="1" x14ac:dyDescent="0.3">
      <c r="B389" s="190"/>
      <c r="D389" s="183" t="s">
        <v>145</v>
      </c>
      <c r="E389" s="191" t="s">
        <v>5</v>
      </c>
      <c r="F389" s="312" t="s">
        <v>1308</v>
      </c>
      <c r="G389" s="327"/>
      <c r="H389" s="315">
        <f>1.8+0.625</f>
        <v>2.4249999999999998</v>
      </c>
      <c r="I389" s="194">
        <v>0</v>
      </c>
      <c r="L389" s="41"/>
      <c r="M389" s="195"/>
      <c r="N389" s="196"/>
      <c r="O389" s="196"/>
      <c r="P389" s="196"/>
      <c r="Q389" s="196"/>
      <c r="R389" s="196"/>
      <c r="S389" s="196"/>
      <c r="T389" s="197"/>
      <c r="AT389" s="191" t="s">
        <v>145</v>
      </c>
      <c r="AU389" s="191" t="s">
        <v>81</v>
      </c>
      <c r="AV389" s="12" t="s">
        <v>81</v>
      </c>
      <c r="AW389" s="12" t="s">
        <v>35</v>
      </c>
      <c r="AX389" s="12" t="s">
        <v>71</v>
      </c>
      <c r="AY389" s="191" t="s">
        <v>136</v>
      </c>
    </row>
    <row r="390" spans="2:65" s="12" customFormat="1" x14ac:dyDescent="0.3">
      <c r="B390" s="190"/>
      <c r="D390" s="183" t="s">
        <v>145</v>
      </c>
      <c r="E390" s="191" t="s">
        <v>5</v>
      </c>
      <c r="F390" s="321" t="s">
        <v>1286</v>
      </c>
      <c r="H390" s="193"/>
      <c r="I390" s="194">
        <v>0</v>
      </c>
      <c r="L390" s="41"/>
      <c r="M390" s="195"/>
      <c r="N390" s="196"/>
      <c r="O390" s="196"/>
      <c r="P390" s="196"/>
      <c r="Q390" s="196"/>
      <c r="R390" s="196"/>
      <c r="S390" s="196"/>
      <c r="T390" s="197"/>
      <c r="AT390" s="191" t="s">
        <v>145</v>
      </c>
      <c r="AU390" s="191" t="s">
        <v>81</v>
      </c>
      <c r="AV390" s="12" t="s">
        <v>81</v>
      </c>
      <c r="AW390" s="12" t="s">
        <v>35</v>
      </c>
      <c r="AX390" s="12" t="s">
        <v>71</v>
      </c>
      <c r="AY390" s="191" t="s">
        <v>136</v>
      </c>
    </row>
    <row r="391" spans="2:65" s="12" customFormat="1" x14ac:dyDescent="0.3">
      <c r="B391" s="190"/>
      <c r="D391" s="183" t="s">
        <v>145</v>
      </c>
      <c r="E391" s="191" t="s">
        <v>5</v>
      </c>
      <c r="F391" s="312" t="s">
        <v>1309</v>
      </c>
      <c r="G391" s="327"/>
      <c r="H391" s="315">
        <f>0.625*5</f>
        <v>3.125</v>
      </c>
      <c r="I391" s="194">
        <v>0</v>
      </c>
      <c r="L391" s="41"/>
      <c r="M391" s="195"/>
      <c r="N391" s="196"/>
      <c r="O391" s="196"/>
      <c r="P391" s="196"/>
      <c r="Q391" s="196"/>
      <c r="R391" s="196"/>
      <c r="S391" s="196"/>
      <c r="T391" s="197"/>
      <c r="AT391" s="191" t="s">
        <v>145</v>
      </c>
      <c r="AU391" s="191" t="s">
        <v>81</v>
      </c>
      <c r="AV391" s="12" t="s">
        <v>81</v>
      </c>
      <c r="AW391" s="12" t="s">
        <v>35</v>
      </c>
      <c r="AX391" s="12" t="s">
        <v>71</v>
      </c>
      <c r="AY391" s="191" t="s">
        <v>136</v>
      </c>
    </row>
    <row r="392" spans="2:65" s="12" customFormat="1" x14ac:dyDescent="0.3">
      <c r="B392" s="190"/>
      <c r="D392" s="183" t="s">
        <v>145</v>
      </c>
      <c r="E392" s="191" t="s">
        <v>5</v>
      </c>
      <c r="F392" s="321" t="s">
        <v>1290</v>
      </c>
      <c r="H392" s="193"/>
      <c r="I392" s="194">
        <v>0</v>
      </c>
      <c r="L392" s="41"/>
      <c r="M392" s="195"/>
      <c r="N392" s="196"/>
      <c r="O392" s="196"/>
      <c r="P392" s="196"/>
      <c r="Q392" s="196"/>
      <c r="R392" s="196"/>
      <c r="S392" s="196"/>
      <c r="T392" s="197"/>
      <c r="AT392" s="191" t="s">
        <v>145</v>
      </c>
      <c r="AU392" s="191" t="s">
        <v>81</v>
      </c>
      <c r="AV392" s="12" t="s">
        <v>81</v>
      </c>
      <c r="AW392" s="12" t="s">
        <v>35</v>
      </c>
      <c r="AX392" s="12" t="s">
        <v>71</v>
      </c>
      <c r="AY392" s="191" t="s">
        <v>136</v>
      </c>
    </row>
    <row r="393" spans="2:65" s="12" customFormat="1" x14ac:dyDescent="0.3">
      <c r="B393" s="190"/>
      <c r="D393" s="183" t="s">
        <v>145</v>
      </c>
      <c r="E393" s="191" t="s">
        <v>5</v>
      </c>
      <c r="F393" s="312" t="s">
        <v>1310</v>
      </c>
      <c r="G393" s="327"/>
      <c r="H393" s="315">
        <f>1+0.625</f>
        <v>1.625</v>
      </c>
      <c r="I393" s="194">
        <v>0</v>
      </c>
      <c r="L393" s="41"/>
      <c r="M393" s="195"/>
      <c r="N393" s="196"/>
      <c r="O393" s="196"/>
      <c r="P393" s="196"/>
      <c r="Q393" s="196"/>
      <c r="R393" s="196"/>
      <c r="S393" s="196"/>
      <c r="T393" s="197"/>
      <c r="AT393" s="191" t="s">
        <v>145</v>
      </c>
      <c r="AU393" s="191" t="s">
        <v>81</v>
      </c>
      <c r="AV393" s="12" t="s">
        <v>81</v>
      </c>
      <c r="AW393" s="12" t="s">
        <v>35</v>
      </c>
      <c r="AX393" s="12" t="s">
        <v>71</v>
      </c>
      <c r="AY393" s="191" t="s">
        <v>136</v>
      </c>
    </row>
    <row r="394" spans="2:65" s="12" customFormat="1" x14ac:dyDescent="0.3">
      <c r="B394" s="190"/>
      <c r="D394" s="183" t="s">
        <v>145</v>
      </c>
      <c r="E394" s="191" t="s">
        <v>5</v>
      </c>
      <c r="F394" s="312" t="s">
        <v>1311</v>
      </c>
      <c r="G394" s="327"/>
      <c r="H394" s="315">
        <f>(2.75+2.425+3.125+1.625)*1.15</f>
        <v>11.41375</v>
      </c>
      <c r="I394" s="194">
        <v>0</v>
      </c>
      <c r="L394" s="41"/>
      <c r="M394" s="195"/>
      <c r="N394" s="196"/>
      <c r="O394" s="196"/>
      <c r="P394" s="196"/>
      <c r="Q394" s="196"/>
      <c r="R394" s="196"/>
      <c r="S394" s="196"/>
      <c r="T394" s="197"/>
      <c r="AT394" s="191" t="s">
        <v>145</v>
      </c>
      <c r="AU394" s="191" t="s">
        <v>81</v>
      </c>
      <c r="AV394" s="12" t="s">
        <v>81</v>
      </c>
      <c r="AW394" s="12" t="s">
        <v>35</v>
      </c>
      <c r="AX394" s="12" t="s">
        <v>71</v>
      </c>
      <c r="AY394" s="191" t="s">
        <v>136</v>
      </c>
    </row>
    <row r="395" spans="2:65" s="12" customFormat="1" x14ac:dyDescent="0.3">
      <c r="B395" s="190"/>
      <c r="D395" s="183" t="s">
        <v>145</v>
      </c>
      <c r="E395" s="191" t="s">
        <v>5</v>
      </c>
      <c r="F395" s="192"/>
      <c r="H395" s="193"/>
      <c r="I395" s="194">
        <v>0</v>
      </c>
      <c r="L395" s="41"/>
      <c r="M395" s="195"/>
      <c r="N395" s="196"/>
      <c r="O395" s="196"/>
      <c r="P395" s="196"/>
      <c r="Q395" s="196"/>
      <c r="R395" s="196"/>
      <c r="S395" s="196"/>
      <c r="T395" s="197"/>
      <c r="AT395" s="191" t="s">
        <v>145</v>
      </c>
      <c r="AU395" s="191" t="s">
        <v>81</v>
      </c>
      <c r="AV395" s="12" t="s">
        <v>81</v>
      </c>
      <c r="AW395" s="12" t="s">
        <v>35</v>
      </c>
      <c r="AX395" s="12" t="s">
        <v>71</v>
      </c>
      <c r="AY395" s="191" t="s">
        <v>136</v>
      </c>
    </row>
    <row r="396" spans="2:65" s="13" customFormat="1" x14ac:dyDescent="0.3">
      <c r="B396" s="198"/>
      <c r="D396" s="183" t="s">
        <v>145</v>
      </c>
      <c r="E396" s="199" t="s">
        <v>5</v>
      </c>
      <c r="F396" s="200"/>
      <c r="H396" s="201"/>
      <c r="I396" s="202">
        <v>0</v>
      </c>
      <c r="L396" s="41"/>
      <c r="M396" s="203"/>
      <c r="N396" s="204"/>
      <c r="O396" s="204"/>
      <c r="P396" s="204"/>
      <c r="Q396" s="204"/>
      <c r="R396" s="204"/>
      <c r="S396" s="204"/>
      <c r="T396" s="205"/>
      <c r="AT396" s="199" t="s">
        <v>145</v>
      </c>
      <c r="AU396" s="199" t="s">
        <v>81</v>
      </c>
      <c r="AV396" s="13" t="s">
        <v>143</v>
      </c>
      <c r="AW396" s="13" t="s">
        <v>35</v>
      </c>
      <c r="AX396" s="13" t="s">
        <v>79</v>
      </c>
      <c r="AY396" s="199" t="s">
        <v>136</v>
      </c>
    </row>
    <row r="397" spans="2:65" s="12" customFormat="1" x14ac:dyDescent="0.3">
      <c r="B397" s="190"/>
      <c r="D397" s="183" t="s">
        <v>145</v>
      </c>
      <c r="F397" s="192"/>
      <c r="H397" s="193"/>
      <c r="I397" s="194">
        <v>0</v>
      </c>
      <c r="L397" s="41"/>
      <c r="M397" s="195"/>
      <c r="N397" s="196"/>
      <c r="O397" s="196"/>
      <c r="P397" s="196"/>
      <c r="Q397" s="196"/>
      <c r="R397" s="196"/>
      <c r="S397" s="196"/>
      <c r="T397" s="197"/>
      <c r="AT397" s="191" t="s">
        <v>145</v>
      </c>
      <c r="AU397" s="191" t="s">
        <v>81</v>
      </c>
      <c r="AV397" s="12" t="s">
        <v>81</v>
      </c>
      <c r="AW397" s="12" t="s">
        <v>6</v>
      </c>
      <c r="AX397" s="12" t="s">
        <v>79</v>
      </c>
      <c r="AY397" s="191" t="s">
        <v>136</v>
      </c>
    </row>
    <row r="398" spans="2:65" s="1" customFormat="1" ht="25.5" customHeight="1" x14ac:dyDescent="0.3">
      <c r="B398" s="169"/>
      <c r="C398" s="170" t="s">
        <v>403</v>
      </c>
      <c r="D398" s="170" t="s">
        <v>138</v>
      </c>
      <c r="E398" s="171" t="s">
        <v>404</v>
      </c>
      <c r="F398" s="172" t="s">
        <v>1564</v>
      </c>
      <c r="G398" s="173" t="s">
        <v>179</v>
      </c>
      <c r="H398" s="320">
        <f>H400+H402</f>
        <v>455.79399999999998</v>
      </c>
      <c r="I398" s="175">
        <v>356.5</v>
      </c>
      <c r="J398" s="176">
        <f>ROUND(I398*H398,2)</f>
        <v>162490.56</v>
      </c>
      <c r="K398" s="172" t="s">
        <v>5</v>
      </c>
      <c r="L398" s="41"/>
      <c r="M398" s="177" t="s">
        <v>5</v>
      </c>
      <c r="N398" s="178" t="s">
        <v>42</v>
      </c>
      <c r="O398" s="42"/>
      <c r="P398" s="179">
        <f>O398*H398</f>
        <v>0</v>
      </c>
      <c r="Q398" s="179">
        <v>2.8800000000000002E-3</v>
      </c>
      <c r="R398" s="179">
        <f>Q398*H398</f>
        <v>1.3126867200000001</v>
      </c>
      <c r="S398" s="179">
        <v>0</v>
      </c>
      <c r="T398" s="180">
        <f>S398*H398</f>
        <v>0</v>
      </c>
      <c r="AR398" s="24" t="s">
        <v>143</v>
      </c>
      <c r="AT398" s="24" t="s">
        <v>138</v>
      </c>
      <c r="AU398" s="24" t="s">
        <v>81</v>
      </c>
      <c r="AY398" s="24" t="s">
        <v>136</v>
      </c>
      <c r="BE398" s="181">
        <f>IF(N398="základní",J398,0)</f>
        <v>162490.56</v>
      </c>
      <c r="BF398" s="181">
        <f>IF(N398="snížená",J398,0)</f>
        <v>0</v>
      </c>
      <c r="BG398" s="181">
        <f>IF(N398="zákl. přenesená",J398,0)</f>
        <v>0</v>
      </c>
      <c r="BH398" s="181">
        <f>IF(N398="sníž. přenesená",J398,0)</f>
        <v>0</v>
      </c>
      <c r="BI398" s="181">
        <f>IF(N398="nulová",J398,0)</f>
        <v>0</v>
      </c>
      <c r="BJ398" s="24" t="s">
        <v>79</v>
      </c>
      <c r="BK398" s="181">
        <f>ROUND(I398*H398,2)</f>
        <v>162490.56</v>
      </c>
      <c r="BL398" s="24" t="s">
        <v>143</v>
      </c>
      <c r="BM398" s="24" t="s">
        <v>405</v>
      </c>
    </row>
    <row r="399" spans="2:65" s="1" customFormat="1" ht="54" x14ac:dyDescent="0.3">
      <c r="B399" s="41"/>
      <c r="D399" s="183" t="s">
        <v>406</v>
      </c>
      <c r="F399" s="357" t="s">
        <v>1565</v>
      </c>
      <c r="I399" s="224">
        <v>0</v>
      </c>
      <c r="L399" s="41"/>
      <c r="M399" s="225"/>
      <c r="N399" s="42"/>
      <c r="O399" s="42"/>
      <c r="P399" s="42"/>
      <c r="Q399" s="42"/>
      <c r="R399" s="42"/>
      <c r="S399" s="42"/>
      <c r="T399" s="70"/>
      <c r="AT399" s="24" t="s">
        <v>406</v>
      </c>
      <c r="AU399" s="24" t="s">
        <v>81</v>
      </c>
    </row>
    <row r="400" spans="2:65" s="12" customFormat="1" x14ac:dyDescent="0.3">
      <c r="B400" s="190"/>
      <c r="D400" s="183" t="s">
        <v>145</v>
      </c>
      <c r="E400" s="333"/>
      <c r="F400" s="321" t="s">
        <v>1312</v>
      </c>
      <c r="H400" s="356">
        <v>391.95400000000001</v>
      </c>
      <c r="I400" s="12">
        <v>0</v>
      </c>
      <c r="L400" s="41"/>
      <c r="M400" s="195"/>
      <c r="N400" s="196"/>
      <c r="O400" s="196"/>
      <c r="P400" s="196"/>
      <c r="Q400" s="196"/>
      <c r="R400" s="196"/>
      <c r="S400" s="196"/>
      <c r="T400" s="197"/>
      <c r="AT400" s="191" t="s">
        <v>145</v>
      </c>
      <c r="AU400" s="191" t="s">
        <v>81</v>
      </c>
      <c r="AV400" s="12" t="s">
        <v>81</v>
      </c>
      <c r="AW400" s="12" t="s">
        <v>35</v>
      </c>
      <c r="AX400" s="12" t="s">
        <v>71</v>
      </c>
      <c r="AY400" s="191" t="s">
        <v>136</v>
      </c>
    </row>
    <row r="401" spans="2:65" s="12" customFormat="1" x14ac:dyDescent="0.3">
      <c r="B401" s="190"/>
      <c r="D401" s="183" t="s">
        <v>145</v>
      </c>
      <c r="E401" s="333"/>
      <c r="F401" s="321" t="s">
        <v>1313</v>
      </c>
      <c r="H401" s="193"/>
      <c r="I401" s="194">
        <v>0</v>
      </c>
      <c r="L401" s="41"/>
      <c r="M401" s="195"/>
      <c r="N401" s="196"/>
      <c r="O401" s="196"/>
      <c r="P401" s="196"/>
      <c r="Q401" s="196"/>
      <c r="R401" s="196"/>
      <c r="S401" s="196"/>
      <c r="T401" s="197"/>
      <c r="AT401" s="191" t="s">
        <v>145</v>
      </c>
      <c r="AU401" s="191" t="s">
        <v>81</v>
      </c>
      <c r="AV401" s="12" t="s">
        <v>81</v>
      </c>
      <c r="AW401" s="12" t="s">
        <v>35</v>
      </c>
      <c r="AX401" s="12" t="s">
        <v>71</v>
      </c>
      <c r="AY401" s="191" t="s">
        <v>136</v>
      </c>
    </row>
    <row r="402" spans="2:65" s="13" customFormat="1" x14ac:dyDescent="0.3">
      <c r="B402" s="198"/>
      <c r="D402" s="183" t="s">
        <v>145</v>
      </c>
      <c r="E402" s="199" t="s">
        <v>5</v>
      </c>
      <c r="F402" s="312" t="s">
        <v>1314</v>
      </c>
      <c r="H402" s="202">
        <f>0.625*3*3+1.05*2+2.19*4+1.8*2+2.44*4+2.7+2.44*2+1.5*3+0.625*3*3+1.05*3+2.19*6</f>
        <v>63.84</v>
      </c>
      <c r="I402" s="13">
        <v>0</v>
      </c>
      <c r="L402" s="41"/>
      <c r="M402" s="203"/>
      <c r="N402" s="204"/>
      <c r="O402" s="204"/>
      <c r="P402" s="204"/>
      <c r="Q402" s="204"/>
      <c r="R402" s="204"/>
      <c r="S402" s="204"/>
      <c r="T402" s="205"/>
      <c r="AT402" s="199" t="s">
        <v>145</v>
      </c>
      <c r="AU402" s="199" t="s">
        <v>81</v>
      </c>
      <c r="AV402" s="13" t="s">
        <v>143</v>
      </c>
      <c r="AW402" s="13" t="s">
        <v>35</v>
      </c>
      <c r="AX402" s="13" t="s">
        <v>79</v>
      </c>
      <c r="AY402" s="199" t="s">
        <v>136</v>
      </c>
    </row>
    <row r="403" spans="2:65" s="1" customFormat="1" ht="25.5" customHeight="1" x14ac:dyDescent="0.3">
      <c r="B403" s="169"/>
      <c r="C403" s="170" t="s">
        <v>407</v>
      </c>
      <c r="D403" s="170" t="s">
        <v>138</v>
      </c>
      <c r="E403" s="171" t="s">
        <v>408</v>
      </c>
      <c r="F403" s="172" t="s">
        <v>409</v>
      </c>
      <c r="G403" s="173" t="s">
        <v>179</v>
      </c>
      <c r="H403" s="320">
        <f>H404</f>
        <v>14.7</v>
      </c>
      <c r="I403" s="175">
        <v>529</v>
      </c>
      <c r="J403" s="176">
        <f>ROUND(I403*H403,2)</f>
        <v>7776.3</v>
      </c>
      <c r="K403" s="172" t="s">
        <v>142</v>
      </c>
      <c r="L403" s="41"/>
      <c r="M403" s="177" t="s">
        <v>5</v>
      </c>
      <c r="N403" s="178" t="s">
        <v>42</v>
      </c>
      <c r="O403" s="42"/>
      <c r="P403" s="179">
        <f>O403*H403</f>
        <v>0</v>
      </c>
      <c r="Q403" s="179">
        <v>6.28E-3</v>
      </c>
      <c r="R403" s="179">
        <f>Q403*H403</f>
        <v>9.2315999999999995E-2</v>
      </c>
      <c r="S403" s="179">
        <v>0</v>
      </c>
      <c r="T403" s="180">
        <f>S403*H403</f>
        <v>0</v>
      </c>
      <c r="AR403" s="24" t="s">
        <v>143</v>
      </c>
      <c r="AT403" s="24" t="s">
        <v>138</v>
      </c>
      <c r="AU403" s="24" t="s">
        <v>81</v>
      </c>
      <c r="AY403" s="24" t="s">
        <v>136</v>
      </c>
      <c r="BE403" s="181">
        <f>IF(N403="základní",J403,0)</f>
        <v>7776.3</v>
      </c>
      <c r="BF403" s="181">
        <f>IF(N403="snížená",J403,0)</f>
        <v>0</v>
      </c>
      <c r="BG403" s="181">
        <f>IF(N403="zákl. přenesená",J403,0)</f>
        <v>0</v>
      </c>
      <c r="BH403" s="181">
        <f>IF(N403="sníž. přenesená",J403,0)</f>
        <v>0</v>
      </c>
      <c r="BI403" s="181">
        <f>IF(N403="nulová",J403,0)</f>
        <v>0</v>
      </c>
      <c r="BJ403" s="24" t="s">
        <v>79</v>
      </c>
      <c r="BK403" s="181">
        <f>ROUND(I403*H403,2)</f>
        <v>7776.3</v>
      </c>
      <c r="BL403" s="24" t="s">
        <v>143</v>
      </c>
      <c r="BM403" s="24" t="s">
        <v>410</v>
      </c>
    </row>
    <row r="404" spans="2:65" s="13" customFormat="1" x14ac:dyDescent="0.3">
      <c r="B404" s="198"/>
      <c r="D404" s="183"/>
      <c r="E404" s="199"/>
      <c r="F404" s="312" t="s">
        <v>1315</v>
      </c>
      <c r="H404" s="202">
        <f>(14.9*2+9.6*2)*0.3</f>
        <v>14.7</v>
      </c>
      <c r="I404" s="13">
        <v>0</v>
      </c>
      <c r="L404" s="41"/>
      <c r="M404" s="203"/>
      <c r="N404" s="204"/>
      <c r="O404" s="204"/>
      <c r="P404" s="204"/>
      <c r="Q404" s="204"/>
      <c r="R404" s="204"/>
      <c r="S404" s="204"/>
      <c r="T404" s="205"/>
      <c r="AT404" s="199"/>
      <c r="AU404" s="199"/>
      <c r="AY404" s="199"/>
    </row>
    <row r="405" spans="2:65" s="1" customFormat="1" ht="16.5" customHeight="1" x14ac:dyDescent="0.3">
      <c r="B405" s="169"/>
      <c r="C405" s="170" t="s">
        <v>411</v>
      </c>
      <c r="D405" s="170" t="s">
        <v>138</v>
      </c>
      <c r="E405" s="171" t="s">
        <v>412</v>
      </c>
      <c r="F405" s="172" t="s">
        <v>413</v>
      </c>
      <c r="G405" s="173" t="s">
        <v>179</v>
      </c>
      <c r="H405" s="320">
        <f>SUM(H407:H414)</f>
        <v>129.21237500000001</v>
      </c>
      <c r="I405" s="175">
        <v>57.499999999999993</v>
      </c>
      <c r="J405" s="176">
        <f>ROUND(I405*H405,2)</f>
        <v>7429.71</v>
      </c>
      <c r="K405" s="172" t="s">
        <v>142</v>
      </c>
      <c r="L405" s="41"/>
      <c r="M405" s="177" t="s">
        <v>5</v>
      </c>
      <c r="N405" s="178" t="s">
        <v>42</v>
      </c>
      <c r="O405" s="42"/>
      <c r="P405" s="179">
        <f>O405*H405</f>
        <v>0</v>
      </c>
      <c r="Q405" s="179">
        <v>0</v>
      </c>
      <c r="R405" s="179">
        <f>Q405*H405</f>
        <v>0</v>
      </c>
      <c r="S405" s="179">
        <v>0</v>
      </c>
      <c r="T405" s="180">
        <f>S405*H405</f>
        <v>0</v>
      </c>
      <c r="AR405" s="24" t="s">
        <v>143</v>
      </c>
      <c r="AT405" s="24" t="s">
        <v>138</v>
      </c>
      <c r="AU405" s="24" t="s">
        <v>81</v>
      </c>
      <c r="AY405" s="24" t="s">
        <v>136</v>
      </c>
      <c r="BE405" s="181">
        <f>IF(N405="základní",J405,0)</f>
        <v>7429.71</v>
      </c>
      <c r="BF405" s="181">
        <f>IF(N405="snížená",J405,0)</f>
        <v>0</v>
      </c>
      <c r="BG405" s="181">
        <f>IF(N405="zákl. přenesená",J405,0)</f>
        <v>0</v>
      </c>
      <c r="BH405" s="181">
        <f>IF(N405="sníž. přenesená",J405,0)</f>
        <v>0</v>
      </c>
      <c r="BI405" s="181">
        <f>IF(N405="nulová",J405,0)</f>
        <v>0</v>
      </c>
      <c r="BJ405" s="24" t="s">
        <v>79</v>
      </c>
      <c r="BK405" s="181">
        <f>ROUND(I405*H405,2)</f>
        <v>7429.71</v>
      </c>
      <c r="BL405" s="24" t="s">
        <v>143</v>
      </c>
      <c r="BM405" s="24" t="s">
        <v>414</v>
      </c>
    </row>
    <row r="406" spans="2:65" s="11" customFormat="1" x14ac:dyDescent="0.3">
      <c r="B406" s="182"/>
      <c r="D406" s="183" t="s">
        <v>145</v>
      </c>
      <c r="E406" s="184" t="s">
        <v>5</v>
      </c>
      <c r="F406" s="329" t="s">
        <v>1288</v>
      </c>
      <c r="H406" s="184"/>
      <c r="I406" s="186">
        <v>0</v>
      </c>
      <c r="L406" s="41"/>
      <c r="M406" s="187"/>
      <c r="N406" s="188"/>
      <c r="O406" s="188"/>
      <c r="P406" s="188"/>
      <c r="Q406" s="188"/>
      <c r="R406" s="188"/>
      <c r="S406" s="188"/>
      <c r="T406" s="189"/>
      <c r="AT406" s="184" t="s">
        <v>145</v>
      </c>
      <c r="AU406" s="184" t="s">
        <v>81</v>
      </c>
      <c r="AV406" s="11" t="s">
        <v>79</v>
      </c>
      <c r="AW406" s="11" t="s">
        <v>35</v>
      </c>
      <c r="AX406" s="11" t="s">
        <v>71</v>
      </c>
      <c r="AY406" s="184" t="s">
        <v>136</v>
      </c>
    </row>
    <row r="407" spans="2:65" s="12" customFormat="1" x14ac:dyDescent="0.3">
      <c r="B407" s="190"/>
      <c r="D407" s="183" t="s">
        <v>145</v>
      </c>
      <c r="E407" s="191" t="s">
        <v>5</v>
      </c>
      <c r="F407" s="312" t="s">
        <v>1316</v>
      </c>
      <c r="G407" s="327"/>
      <c r="H407" s="315">
        <f>1.25*1.25+2.7*2.44+1.5*1.5+6.7*2.44</f>
        <v>26.7485</v>
      </c>
      <c r="I407" s="194">
        <v>0</v>
      </c>
      <c r="L407" s="41"/>
      <c r="M407" s="195"/>
      <c r="N407" s="196"/>
      <c r="O407" s="196"/>
      <c r="P407" s="196"/>
      <c r="Q407" s="196"/>
      <c r="R407" s="196"/>
      <c r="S407" s="196"/>
      <c r="T407" s="197"/>
      <c r="AT407" s="191" t="s">
        <v>145</v>
      </c>
      <c r="AU407" s="191" t="s">
        <v>81</v>
      </c>
      <c r="AV407" s="12" t="s">
        <v>81</v>
      </c>
      <c r="AW407" s="12" t="s">
        <v>35</v>
      </c>
      <c r="AX407" s="12" t="s">
        <v>71</v>
      </c>
      <c r="AY407" s="191" t="s">
        <v>136</v>
      </c>
    </row>
    <row r="408" spans="2:65" s="12" customFormat="1" x14ac:dyDescent="0.3">
      <c r="B408" s="190"/>
      <c r="D408" s="183" t="s">
        <v>145</v>
      </c>
      <c r="E408" s="191" t="s">
        <v>5</v>
      </c>
      <c r="F408" s="321" t="s">
        <v>1287</v>
      </c>
      <c r="H408" s="193"/>
      <c r="I408" s="194">
        <v>0</v>
      </c>
      <c r="L408" s="41"/>
      <c r="M408" s="195"/>
      <c r="N408" s="196"/>
      <c r="O408" s="196"/>
      <c r="P408" s="196"/>
      <c r="Q408" s="196"/>
      <c r="R408" s="196"/>
      <c r="S408" s="196"/>
      <c r="T408" s="197"/>
      <c r="AT408" s="191" t="s">
        <v>145</v>
      </c>
      <c r="AU408" s="191" t="s">
        <v>81</v>
      </c>
      <c r="AV408" s="12" t="s">
        <v>81</v>
      </c>
      <c r="AW408" s="12" t="s">
        <v>35</v>
      </c>
      <c r="AX408" s="12" t="s">
        <v>71</v>
      </c>
      <c r="AY408" s="191" t="s">
        <v>136</v>
      </c>
    </row>
    <row r="409" spans="2:65" s="12" customFormat="1" x14ac:dyDescent="0.3">
      <c r="B409" s="190"/>
      <c r="D409" s="183" t="s">
        <v>145</v>
      </c>
      <c r="E409" s="191" t="s">
        <v>5</v>
      </c>
      <c r="F409" s="312" t="s">
        <v>1317</v>
      </c>
      <c r="G409" s="327"/>
      <c r="H409" s="315">
        <f>1.8*1.8+0.625*0.625+1.8*2.44+3.25*2.44+2.6*2.44</f>
        <v>22.296625000000002</v>
      </c>
      <c r="I409" s="194">
        <v>0</v>
      </c>
      <c r="L409" s="41"/>
      <c r="M409" s="195"/>
      <c r="N409" s="196"/>
      <c r="O409" s="196"/>
      <c r="P409" s="196"/>
      <c r="Q409" s="196"/>
      <c r="R409" s="196"/>
      <c r="S409" s="196"/>
      <c r="T409" s="197"/>
      <c r="AT409" s="191" t="s">
        <v>145</v>
      </c>
      <c r="AU409" s="191" t="s">
        <v>81</v>
      </c>
      <c r="AV409" s="12" t="s">
        <v>81</v>
      </c>
      <c r="AW409" s="12" t="s">
        <v>35</v>
      </c>
      <c r="AX409" s="12" t="s">
        <v>71</v>
      </c>
      <c r="AY409" s="191" t="s">
        <v>136</v>
      </c>
    </row>
    <row r="410" spans="2:65" s="12" customFormat="1" x14ac:dyDescent="0.3">
      <c r="B410" s="190"/>
      <c r="D410" s="183" t="s">
        <v>145</v>
      </c>
      <c r="E410" s="191" t="s">
        <v>5</v>
      </c>
      <c r="F410" s="321" t="s">
        <v>1286</v>
      </c>
      <c r="H410" s="193"/>
      <c r="I410" s="194">
        <v>0</v>
      </c>
      <c r="L410" s="41"/>
      <c r="M410" s="195"/>
      <c r="N410" s="196"/>
      <c r="O410" s="196"/>
      <c r="P410" s="196"/>
      <c r="Q410" s="196"/>
      <c r="R410" s="196"/>
      <c r="S410" s="196"/>
      <c r="T410" s="197"/>
      <c r="AT410" s="191" t="s">
        <v>145</v>
      </c>
      <c r="AU410" s="191" t="s">
        <v>81</v>
      </c>
      <c r="AV410" s="12" t="s">
        <v>81</v>
      </c>
      <c r="AW410" s="12" t="s">
        <v>35</v>
      </c>
      <c r="AX410" s="12" t="s">
        <v>71</v>
      </c>
      <c r="AY410" s="191" t="s">
        <v>136</v>
      </c>
    </row>
    <row r="411" spans="2:65" s="12" customFormat="1" x14ac:dyDescent="0.3">
      <c r="B411" s="190"/>
      <c r="D411" s="183" t="s">
        <v>145</v>
      </c>
      <c r="E411" s="191" t="s">
        <v>5</v>
      </c>
      <c r="F411" s="312" t="s">
        <v>1318</v>
      </c>
      <c r="G411" s="327"/>
      <c r="H411" s="315">
        <f>0.625*0.625*5+1.05*2.19*5+1.4*1.1</f>
        <v>14.990625000000001</v>
      </c>
      <c r="I411" s="194">
        <v>0</v>
      </c>
      <c r="L411" s="41"/>
      <c r="M411" s="195"/>
      <c r="N411" s="196"/>
      <c r="O411" s="196"/>
      <c r="P411" s="196"/>
      <c r="Q411" s="196"/>
      <c r="R411" s="196"/>
      <c r="S411" s="196"/>
      <c r="T411" s="197"/>
      <c r="AT411" s="191" t="s">
        <v>145</v>
      </c>
      <c r="AU411" s="191" t="s">
        <v>81</v>
      </c>
      <c r="AV411" s="12" t="s">
        <v>81</v>
      </c>
      <c r="AW411" s="12" t="s">
        <v>35</v>
      </c>
      <c r="AX411" s="12" t="s">
        <v>71</v>
      </c>
      <c r="AY411" s="191" t="s">
        <v>136</v>
      </c>
    </row>
    <row r="412" spans="2:65" s="12" customFormat="1" x14ac:dyDescent="0.3">
      <c r="B412" s="190"/>
      <c r="D412" s="183" t="s">
        <v>145</v>
      </c>
      <c r="E412" s="191" t="s">
        <v>5</v>
      </c>
      <c r="F412" s="321" t="s">
        <v>1290</v>
      </c>
      <c r="H412" s="193"/>
      <c r="I412" s="194">
        <v>0</v>
      </c>
      <c r="L412" s="41"/>
      <c r="M412" s="195"/>
      <c r="N412" s="196"/>
      <c r="O412" s="196"/>
      <c r="P412" s="196"/>
      <c r="Q412" s="196"/>
      <c r="R412" s="196"/>
      <c r="S412" s="196"/>
      <c r="T412" s="197"/>
      <c r="AT412" s="191" t="s">
        <v>145</v>
      </c>
      <c r="AU412" s="191" t="s">
        <v>81</v>
      </c>
      <c r="AV412" s="12" t="s">
        <v>81</v>
      </c>
      <c r="AW412" s="12" t="s">
        <v>35</v>
      </c>
      <c r="AX412" s="12" t="s">
        <v>71</v>
      </c>
      <c r="AY412" s="191" t="s">
        <v>136</v>
      </c>
    </row>
    <row r="413" spans="2:65" s="12" customFormat="1" x14ac:dyDescent="0.3">
      <c r="B413" s="190"/>
      <c r="D413" s="183" t="s">
        <v>145</v>
      </c>
      <c r="E413" s="191" t="s">
        <v>5</v>
      </c>
      <c r="F413" s="312" t="s">
        <v>1319</v>
      </c>
      <c r="G413" s="327"/>
      <c r="H413" s="315">
        <f>1*1+0.625*0.625+1.8*2.44+3.85*2.44</f>
        <v>15.176625000000001</v>
      </c>
      <c r="I413" s="194">
        <v>0</v>
      </c>
      <c r="L413" s="41"/>
      <c r="M413" s="195"/>
      <c r="N413" s="196"/>
      <c r="O413" s="196"/>
      <c r="P413" s="196"/>
      <c r="Q413" s="196"/>
      <c r="R413" s="196"/>
      <c r="S413" s="196"/>
      <c r="T413" s="197"/>
      <c r="AT413" s="191" t="s">
        <v>145</v>
      </c>
      <c r="AU413" s="191" t="s">
        <v>81</v>
      </c>
      <c r="AV413" s="12" t="s">
        <v>81</v>
      </c>
      <c r="AW413" s="12" t="s">
        <v>35</v>
      </c>
      <c r="AX413" s="12" t="s">
        <v>71</v>
      </c>
      <c r="AY413" s="191" t="s">
        <v>136</v>
      </c>
    </row>
    <row r="414" spans="2:65" s="12" customFormat="1" x14ac:dyDescent="0.3">
      <c r="B414" s="190"/>
      <c r="D414" s="183" t="s">
        <v>145</v>
      </c>
      <c r="E414" s="191" t="s">
        <v>5</v>
      </c>
      <c r="F414" s="312" t="s">
        <v>1320</v>
      </c>
      <c r="G414" s="327"/>
      <c r="H414" s="315">
        <v>50</v>
      </c>
      <c r="I414" s="194">
        <v>0</v>
      </c>
      <c r="L414" s="41"/>
      <c r="M414" s="195"/>
      <c r="N414" s="196"/>
      <c r="O414" s="196"/>
      <c r="P414" s="196"/>
      <c r="Q414" s="196"/>
      <c r="R414" s="196"/>
      <c r="S414" s="196"/>
      <c r="T414" s="197"/>
      <c r="AT414" s="191" t="s">
        <v>145</v>
      </c>
      <c r="AU414" s="191" t="s">
        <v>81</v>
      </c>
      <c r="AV414" s="12" t="s">
        <v>81</v>
      </c>
      <c r="AW414" s="12" t="s">
        <v>35</v>
      </c>
      <c r="AX414" s="12" t="s">
        <v>71</v>
      </c>
      <c r="AY414" s="191" t="s">
        <v>136</v>
      </c>
    </row>
    <row r="415" spans="2:65" s="1" customFormat="1" ht="16.5" customHeight="1" x14ac:dyDescent="0.3">
      <c r="B415" s="169"/>
      <c r="C415" s="404" t="s">
        <v>416</v>
      </c>
      <c r="D415" s="170" t="s">
        <v>138</v>
      </c>
      <c r="E415" s="171" t="s">
        <v>417</v>
      </c>
      <c r="F415" s="172" t="s">
        <v>1519</v>
      </c>
      <c r="G415" s="173" t="s">
        <v>179</v>
      </c>
      <c r="H415" s="320">
        <f>SUM(H416:H418)</f>
        <v>127</v>
      </c>
      <c r="I415" s="175">
        <v>368</v>
      </c>
      <c r="J415" s="176">
        <f>ROUND(I415*H415,2)</f>
        <v>46736</v>
      </c>
      <c r="K415" s="172" t="s">
        <v>5</v>
      </c>
      <c r="L415" s="41"/>
      <c r="M415" s="177" t="s">
        <v>5</v>
      </c>
      <c r="N415" s="178" t="s">
        <v>42</v>
      </c>
      <c r="O415" s="42"/>
      <c r="P415" s="179">
        <f>O415*H415</f>
        <v>0</v>
      </c>
      <c r="Q415" s="179">
        <v>0.10199999999999999</v>
      </c>
      <c r="R415" s="179">
        <f>Q415*H415</f>
        <v>12.953999999999999</v>
      </c>
      <c r="S415" s="179">
        <v>0</v>
      </c>
      <c r="T415" s="180">
        <f>S415*H415</f>
        <v>0</v>
      </c>
      <c r="AR415" s="24" t="s">
        <v>143</v>
      </c>
      <c r="AT415" s="24" t="s">
        <v>138</v>
      </c>
      <c r="AU415" s="24" t="s">
        <v>81</v>
      </c>
      <c r="AY415" s="24" t="s">
        <v>136</v>
      </c>
      <c r="BE415" s="181">
        <f>IF(N415="základní",J415,0)</f>
        <v>46736</v>
      </c>
      <c r="BF415" s="181">
        <f>IF(N415="snížená",J415,0)</f>
        <v>0</v>
      </c>
      <c r="BG415" s="181">
        <f>IF(N415="zákl. přenesená",J415,0)</f>
        <v>0</v>
      </c>
      <c r="BH415" s="181">
        <f>IF(N415="sníž. přenesená",J415,0)</f>
        <v>0</v>
      </c>
      <c r="BI415" s="181">
        <f>IF(N415="nulová",J415,0)</f>
        <v>0</v>
      </c>
      <c r="BJ415" s="24" t="s">
        <v>79</v>
      </c>
      <c r="BK415" s="181">
        <f>ROUND(I415*H415,2)</f>
        <v>46736</v>
      </c>
      <c r="BL415" s="24" t="s">
        <v>143</v>
      </c>
      <c r="BM415" s="24" t="s">
        <v>418</v>
      </c>
    </row>
    <row r="416" spans="2:65" s="12" customFormat="1" x14ac:dyDescent="0.3">
      <c r="B416" s="190"/>
      <c r="C416" s="428"/>
      <c r="D416" s="183" t="s">
        <v>145</v>
      </c>
      <c r="E416" s="314" t="s">
        <v>1520</v>
      </c>
      <c r="F416" s="312">
        <v>0</v>
      </c>
      <c r="H416" s="315">
        <v>0</v>
      </c>
      <c r="I416" s="194">
        <v>0</v>
      </c>
      <c r="J416" s="176">
        <f t="shared" ref="J416:J422" si="7">ROUND(I416*H416,2)</f>
        <v>0</v>
      </c>
      <c r="L416" s="41"/>
      <c r="M416" s="195"/>
      <c r="N416" s="196"/>
      <c r="O416" s="196"/>
      <c r="P416" s="196"/>
      <c r="Q416" s="196"/>
      <c r="R416" s="196"/>
      <c r="S416" s="196"/>
      <c r="T416" s="197"/>
      <c r="AT416" s="191" t="s">
        <v>145</v>
      </c>
      <c r="AU416" s="191" t="s">
        <v>81</v>
      </c>
      <c r="AV416" s="12" t="s">
        <v>81</v>
      </c>
      <c r="AW416" s="12" t="s">
        <v>35</v>
      </c>
      <c r="AX416" s="12" t="s">
        <v>71</v>
      </c>
      <c r="AY416" s="191" t="s">
        <v>136</v>
      </c>
    </row>
    <row r="417" spans="2:65" s="12" customFormat="1" x14ac:dyDescent="0.3">
      <c r="B417" s="190"/>
      <c r="C417" s="428"/>
      <c r="D417" s="183"/>
      <c r="E417" s="314" t="s">
        <v>1525</v>
      </c>
      <c r="F417" s="312" t="s">
        <v>1531</v>
      </c>
      <c r="H417" s="315">
        <f>31+31+13.5+12.4+2.5</f>
        <v>90.4</v>
      </c>
      <c r="I417" s="194">
        <v>0</v>
      </c>
      <c r="J417" s="176">
        <f t="shared" si="7"/>
        <v>0</v>
      </c>
      <c r="L417" s="41"/>
      <c r="M417" s="195"/>
      <c r="N417" s="328"/>
      <c r="O417" s="328"/>
      <c r="P417" s="328"/>
      <c r="Q417" s="328"/>
      <c r="R417" s="328"/>
      <c r="S417" s="328"/>
      <c r="T417" s="197"/>
      <c r="AT417" s="191"/>
      <c r="AU417" s="191"/>
      <c r="AY417" s="191"/>
    </row>
    <row r="418" spans="2:65" s="12" customFormat="1" x14ac:dyDescent="0.3">
      <c r="B418" s="190"/>
      <c r="C418" s="428"/>
      <c r="D418" s="183"/>
      <c r="E418" s="314" t="s">
        <v>1528</v>
      </c>
      <c r="F418" s="312" t="s">
        <v>1466</v>
      </c>
      <c r="H418" s="315">
        <f>35.1+1.5</f>
        <v>36.6</v>
      </c>
      <c r="I418" s="194">
        <v>0</v>
      </c>
      <c r="J418" s="176">
        <f t="shared" si="7"/>
        <v>0</v>
      </c>
      <c r="L418" s="41"/>
      <c r="M418" s="195"/>
      <c r="N418" s="328"/>
      <c r="O418" s="328"/>
      <c r="P418" s="328"/>
      <c r="Q418" s="328"/>
      <c r="R418" s="328"/>
      <c r="S418" s="328"/>
      <c r="T418" s="197"/>
      <c r="AT418" s="191"/>
      <c r="AU418" s="191"/>
      <c r="AY418" s="191"/>
    </row>
    <row r="419" spans="2:65" s="310" customFormat="1" ht="16.5" customHeight="1" x14ac:dyDescent="0.3">
      <c r="B419" s="169"/>
      <c r="C419" s="404"/>
      <c r="D419" s="170" t="s">
        <v>145</v>
      </c>
      <c r="E419" s="171" t="s">
        <v>5</v>
      </c>
      <c r="F419" s="172" t="s">
        <v>1521</v>
      </c>
      <c r="G419" s="173" t="s">
        <v>179</v>
      </c>
      <c r="H419" s="320">
        <f>SUM(H420:H421)</f>
        <v>134</v>
      </c>
      <c r="I419" s="175">
        <v>345</v>
      </c>
      <c r="J419" s="176">
        <f t="shared" si="7"/>
        <v>46230</v>
      </c>
      <c r="K419" s="172"/>
      <c r="L419" s="41"/>
      <c r="M419" s="177"/>
      <c r="N419" s="178"/>
      <c r="O419" s="311"/>
      <c r="P419" s="179"/>
      <c r="Q419" s="179"/>
      <c r="R419" s="179"/>
      <c r="S419" s="179"/>
      <c r="T419" s="180"/>
      <c r="AR419" s="24"/>
      <c r="AT419" s="24" t="s">
        <v>145</v>
      </c>
      <c r="AU419" s="24" t="s">
        <v>81</v>
      </c>
      <c r="AV419" s="310" t="s">
        <v>81</v>
      </c>
      <c r="AW419" s="310" t="s">
        <v>35</v>
      </c>
      <c r="AX419" s="310" t="s">
        <v>71</v>
      </c>
      <c r="AY419" s="24" t="s">
        <v>136</v>
      </c>
      <c r="BE419" s="181"/>
      <c r="BF419" s="181"/>
      <c r="BG419" s="181"/>
      <c r="BH419" s="181"/>
      <c r="BI419" s="181"/>
      <c r="BJ419" s="24"/>
      <c r="BK419" s="181"/>
      <c r="BL419" s="24"/>
      <c r="BM419" s="24"/>
    </row>
    <row r="420" spans="2:65" s="12" customFormat="1" x14ac:dyDescent="0.3">
      <c r="B420" s="190"/>
      <c r="C420" s="428"/>
      <c r="D420" s="183" t="s">
        <v>145</v>
      </c>
      <c r="E420" s="314" t="s">
        <v>1522</v>
      </c>
      <c r="F420" s="312">
        <v>117.8</v>
      </c>
      <c r="H420" s="315">
        <v>117.8</v>
      </c>
      <c r="I420" s="194">
        <v>0</v>
      </c>
      <c r="J420" s="176">
        <f t="shared" si="7"/>
        <v>0</v>
      </c>
      <c r="L420" s="41"/>
      <c r="M420" s="195"/>
      <c r="N420" s="196"/>
      <c r="O420" s="196"/>
      <c r="P420" s="196"/>
      <c r="Q420" s="196"/>
      <c r="R420" s="196"/>
      <c r="S420" s="196"/>
      <c r="T420" s="197"/>
      <c r="AT420" s="191" t="s">
        <v>145</v>
      </c>
      <c r="AU420" s="191" t="s">
        <v>81</v>
      </c>
      <c r="AV420" s="12" t="s">
        <v>81</v>
      </c>
      <c r="AW420" s="12" t="s">
        <v>35</v>
      </c>
      <c r="AX420" s="12" t="s">
        <v>71</v>
      </c>
      <c r="AY420" s="191" t="s">
        <v>136</v>
      </c>
    </row>
    <row r="421" spans="2:65" s="12" customFormat="1" x14ac:dyDescent="0.3">
      <c r="B421" s="190"/>
      <c r="C421" s="428"/>
      <c r="D421" s="183"/>
      <c r="E421" s="314" t="s">
        <v>1526</v>
      </c>
      <c r="F421" s="312" t="s">
        <v>1529</v>
      </c>
      <c r="H421" s="315">
        <f>4.1+4.1+8</f>
        <v>16.2</v>
      </c>
      <c r="I421" s="194">
        <v>0</v>
      </c>
      <c r="J421" s="176">
        <f t="shared" si="7"/>
        <v>0</v>
      </c>
      <c r="L421" s="41"/>
      <c r="M421" s="195"/>
      <c r="N421" s="328"/>
      <c r="O421" s="328"/>
      <c r="P421" s="328"/>
      <c r="Q421" s="328"/>
      <c r="R421" s="328"/>
      <c r="S421" s="328"/>
      <c r="T421" s="197"/>
      <c r="AT421" s="191"/>
      <c r="AU421" s="191"/>
      <c r="AY421" s="191"/>
    </row>
    <row r="422" spans="2:65" s="310" customFormat="1" ht="16.5" customHeight="1" x14ac:dyDescent="0.3">
      <c r="B422" s="169"/>
      <c r="C422" s="404"/>
      <c r="D422" s="170" t="s">
        <v>145</v>
      </c>
      <c r="E422" s="171" t="s">
        <v>5</v>
      </c>
      <c r="F422" s="172" t="s">
        <v>1523</v>
      </c>
      <c r="G422" s="173" t="s">
        <v>179</v>
      </c>
      <c r="H422" s="320">
        <f>SUM(H423:H424)</f>
        <v>13.499999999999998</v>
      </c>
      <c r="I422" s="175">
        <v>327.75</v>
      </c>
      <c r="J422" s="176">
        <f t="shared" si="7"/>
        <v>4424.63</v>
      </c>
      <c r="K422" s="172"/>
      <c r="L422" s="41"/>
      <c r="M422" s="177"/>
      <c r="N422" s="178"/>
      <c r="O422" s="311"/>
      <c r="P422" s="179"/>
      <c r="Q422" s="179"/>
      <c r="R422" s="179"/>
      <c r="S422" s="179"/>
      <c r="T422" s="180"/>
      <c r="AR422" s="24"/>
      <c r="AT422" s="24" t="s">
        <v>145</v>
      </c>
      <c r="AU422" s="24" t="s">
        <v>81</v>
      </c>
      <c r="AV422" s="310" t="s">
        <v>143</v>
      </c>
      <c r="AW422" s="310" t="s">
        <v>35</v>
      </c>
      <c r="AX422" s="310" t="s">
        <v>79</v>
      </c>
      <c r="AY422" s="24" t="s">
        <v>136</v>
      </c>
      <c r="BE422" s="181"/>
      <c r="BF422" s="181"/>
      <c r="BG422" s="181"/>
      <c r="BH422" s="181"/>
      <c r="BI422" s="181"/>
      <c r="BJ422" s="24"/>
      <c r="BK422" s="181"/>
      <c r="BL422" s="24"/>
      <c r="BM422" s="24"/>
    </row>
    <row r="423" spans="2:65" s="12" customFormat="1" x14ac:dyDescent="0.3">
      <c r="B423" s="190"/>
      <c r="D423" s="183"/>
      <c r="E423" s="314" t="s">
        <v>1524</v>
      </c>
      <c r="F423" s="312">
        <v>0</v>
      </c>
      <c r="H423" s="315">
        <v>0</v>
      </c>
      <c r="I423" s="194">
        <v>0</v>
      </c>
      <c r="L423" s="41"/>
      <c r="M423" s="195"/>
      <c r="N423" s="196"/>
      <c r="O423" s="196"/>
      <c r="P423" s="196"/>
      <c r="Q423" s="196"/>
      <c r="R423" s="196"/>
      <c r="S423" s="196"/>
      <c r="T423" s="197"/>
      <c r="AT423" s="191"/>
      <c r="AU423" s="191"/>
      <c r="AY423" s="191"/>
    </row>
    <row r="424" spans="2:65" s="12" customFormat="1" x14ac:dyDescent="0.3">
      <c r="B424" s="190"/>
      <c r="D424" s="183"/>
      <c r="E424" s="314" t="s">
        <v>1527</v>
      </c>
      <c r="F424" s="312" t="s">
        <v>1530</v>
      </c>
      <c r="H424" s="315">
        <f>4.6+4.3+4.6</f>
        <v>13.499999999999998</v>
      </c>
      <c r="I424" s="194">
        <v>0</v>
      </c>
      <c r="L424" s="41"/>
      <c r="M424" s="195"/>
      <c r="N424" s="328"/>
      <c r="O424" s="328"/>
      <c r="P424" s="328"/>
      <c r="Q424" s="328"/>
      <c r="R424" s="328"/>
      <c r="S424" s="328"/>
      <c r="T424" s="197"/>
      <c r="AT424" s="191"/>
      <c r="AU424" s="191"/>
      <c r="AY424" s="191"/>
    </row>
    <row r="425" spans="2:65" s="1" customFormat="1" ht="16.5" customHeight="1" x14ac:dyDescent="0.3">
      <c r="B425" s="169"/>
      <c r="C425" s="170" t="s">
        <v>419</v>
      </c>
      <c r="D425" s="170" t="s">
        <v>138</v>
      </c>
      <c r="E425" s="171" t="s">
        <v>420</v>
      </c>
      <c r="F425" s="172" t="s">
        <v>421</v>
      </c>
      <c r="G425" s="173" t="s">
        <v>179</v>
      </c>
      <c r="H425" s="320">
        <f>H422+H419+H415</f>
        <v>274.5</v>
      </c>
      <c r="I425" s="175">
        <v>23</v>
      </c>
      <c r="J425" s="176">
        <f>ROUND(I425*H425,2)</f>
        <v>6313.5</v>
      </c>
      <c r="K425" s="172" t="s">
        <v>142</v>
      </c>
      <c r="L425" s="41"/>
      <c r="M425" s="177" t="s">
        <v>5</v>
      </c>
      <c r="N425" s="178" t="s">
        <v>42</v>
      </c>
      <c r="O425" s="42"/>
      <c r="P425" s="179">
        <f>O425*H425</f>
        <v>0</v>
      </c>
      <c r="Q425" s="179">
        <v>0</v>
      </c>
      <c r="R425" s="179">
        <f>Q425*H425</f>
        <v>0</v>
      </c>
      <c r="S425" s="179">
        <v>0</v>
      </c>
      <c r="T425" s="180">
        <f>S425*H425</f>
        <v>0</v>
      </c>
      <c r="AR425" s="24" t="s">
        <v>143</v>
      </c>
      <c r="AT425" s="24" t="s">
        <v>138</v>
      </c>
      <c r="AU425" s="24" t="s">
        <v>81</v>
      </c>
      <c r="AY425" s="24" t="s">
        <v>136</v>
      </c>
      <c r="BE425" s="181">
        <f>IF(N425="základní",J425,0)</f>
        <v>6313.5</v>
      </c>
      <c r="BF425" s="181">
        <f>IF(N425="snížená",J425,0)</f>
        <v>0</v>
      </c>
      <c r="BG425" s="181">
        <f>IF(N425="zákl. přenesená",J425,0)</f>
        <v>0</v>
      </c>
      <c r="BH425" s="181">
        <f>IF(N425="sníž. přenesená",J425,0)</f>
        <v>0</v>
      </c>
      <c r="BI425" s="181">
        <f>IF(N425="nulová",J425,0)</f>
        <v>0</v>
      </c>
      <c r="BJ425" s="24" t="s">
        <v>79</v>
      </c>
      <c r="BK425" s="181">
        <f>ROUND(I425*H425,2)</f>
        <v>6313.5</v>
      </c>
      <c r="BL425" s="24" t="s">
        <v>143</v>
      </c>
      <c r="BM425" s="24" t="s">
        <v>422</v>
      </c>
    </row>
    <row r="426" spans="2:65" s="1" customFormat="1" ht="27" x14ac:dyDescent="0.3">
      <c r="B426" s="41"/>
      <c r="D426" s="183" t="s">
        <v>406</v>
      </c>
      <c r="F426" s="223" t="s">
        <v>423</v>
      </c>
      <c r="I426" s="224">
        <v>0</v>
      </c>
      <c r="L426" s="41"/>
      <c r="M426" s="225"/>
      <c r="N426" s="42"/>
      <c r="O426" s="42"/>
      <c r="P426" s="42"/>
      <c r="Q426" s="42"/>
      <c r="R426" s="42"/>
      <c r="S426" s="42"/>
      <c r="T426" s="70"/>
      <c r="AT426" s="24" t="s">
        <v>406</v>
      </c>
      <c r="AU426" s="24" t="s">
        <v>81</v>
      </c>
    </row>
    <row r="427" spans="2:65" s="1" customFormat="1" ht="25.5" customHeight="1" x14ac:dyDescent="0.3">
      <c r="B427" s="169"/>
      <c r="C427" s="170" t="s">
        <v>424</v>
      </c>
      <c r="D427" s="170" t="s">
        <v>138</v>
      </c>
      <c r="E427" s="171" t="s">
        <v>425</v>
      </c>
      <c r="F427" s="172" t="s">
        <v>426</v>
      </c>
      <c r="G427" s="173" t="s">
        <v>249</v>
      </c>
      <c r="H427" s="174">
        <v>297.7</v>
      </c>
      <c r="I427" s="175">
        <v>26.45</v>
      </c>
      <c r="J427" s="176">
        <f>ROUND(I427*H427,2)</f>
        <v>7874.17</v>
      </c>
      <c r="K427" s="172" t="s">
        <v>142</v>
      </c>
      <c r="L427" s="41"/>
      <c r="M427" s="177" t="s">
        <v>5</v>
      </c>
      <c r="N427" s="178" t="s">
        <v>42</v>
      </c>
      <c r="O427" s="42"/>
      <c r="P427" s="179">
        <f>O427*H427</f>
        <v>0</v>
      </c>
      <c r="Q427" s="179">
        <v>6.0000000000000002E-5</v>
      </c>
      <c r="R427" s="179">
        <f>Q427*H427</f>
        <v>1.7861999999999999E-2</v>
      </c>
      <c r="S427" s="179">
        <v>0</v>
      </c>
      <c r="T427" s="180">
        <f>S427*H427</f>
        <v>0</v>
      </c>
      <c r="AR427" s="24" t="s">
        <v>143</v>
      </c>
      <c r="AT427" s="24" t="s">
        <v>138</v>
      </c>
      <c r="AU427" s="24" t="s">
        <v>81</v>
      </c>
      <c r="AY427" s="24" t="s">
        <v>136</v>
      </c>
      <c r="BE427" s="181">
        <f>IF(N427="základní",J427,0)</f>
        <v>7874.17</v>
      </c>
      <c r="BF427" s="181">
        <f>IF(N427="snížená",J427,0)</f>
        <v>0</v>
      </c>
      <c r="BG427" s="181">
        <f>IF(N427="zákl. přenesená",J427,0)</f>
        <v>0</v>
      </c>
      <c r="BH427" s="181">
        <f>IF(N427="sníž. přenesená",J427,0)</f>
        <v>0</v>
      </c>
      <c r="BI427" s="181">
        <f>IF(N427="nulová",J427,0)</f>
        <v>0</v>
      </c>
      <c r="BJ427" s="24" t="s">
        <v>79</v>
      </c>
      <c r="BK427" s="181">
        <f>ROUND(I427*H427,2)</f>
        <v>7874.17</v>
      </c>
      <c r="BL427" s="24" t="s">
        <v>143</v>
      </c>
      <c r="BM427" s="24" t="s">
        <v>427</v>
      </c>
    </row>
    <row r="428" spans="2:65" s="11" customFormat="1" x14ac:dyDescent="0.3">
      <c r="B428" s="182"/>
      <c r="D428" s="183" t="s">
        <v>145</v>
      </c>
      <c r="E428" s="184" t="s">
        <v>5</v>
      </c>
      <c r="F428" s="185" t="s">
        <v>216</v>
      </c>
      <c r="H428" s="184" t="s">
        <v>5</v>
      </c>
      <c r="I428" s="186">
        <v>0</v>
      </c>
      <c r="L428" s="41"/>
      <c r="M428" s="187"/>
      <c r="N428" s="188"/>
      <c r="O428" s="188"/>
      <c r="P428" s="188"/>
      <c r="Q428" s="188"/>
      <c r="R428" s="188"/>
      <c r="S428" s="188"/>
      <c r="T428" s="189"/>
      <c r="AT428" s="184" t="s">
        <v>145</v>
      </c>
      <c r="AU428" s="184" t="s">
        <v>81</v>
      </c>
      <c r="AV428" s="11" t="s">
        <v>79</v>
      </c>
      <c r="AW428" s="11" t="s">
        <v>35</v>
      </c>
      <c r="AX428" s="11" t="s">
        <v>71</v>
      </c>
      <c r="AY428" s="184" t="s">
        <v>136</v>
      </c>
    </row>
    <row r="429" spans="2:65" s="11" customFormat="1" x14ac:dyDescent="0.3">
      <c r="B429" s="182"/>
      <c r="D429" s="183" t="s">
        <v>145</v>
      </c>
      <c r="E429" s="184" t="s">
        <v>5</v>
      </c>
      <c r="F429" s="185" t="s">
        <v>243</v>
      </c>
      <c r="H429" s="184" t="s">
        <v>5</v>
      </c>
      <c r="I429" s="186">
        <v>0</v>
      </c>
      <c r="L429" s="41"/>
      <c r="M429" s="187"/>
      <c r="N429" s="188"/>
      <c r="O429" s="188"/>
      <c r="P429" s="188"/>
      <c r="Q429" s="188"/>
      <c r="R429" s="188"/>
      <c r="S429" s="188"/>
      <c r="T429" s="189"/>
      <c r="AT429" s="184" t="s">
        <v>145</v>
      </c>
      <c r="AU429" s="184" t="s">
        <v>81</v>
      </c>
      <c r="AV429" s="11" t="s">
        <v>79</v>
      </c>
      <c r="AW429" s="11" t="s">
        <v>35</v>
      </c>
      <c r="AX429" s="11" t="s">
        <v>71</v>
      </c>
      <c r="AY429" s="184" t="s">
        <v>136</v>
      </c>
    </row>
    <row r="430" spans="2:65" s="12" customFormat="1" x14ac:dyDescent="0.3">
      <c r="B430" s="190"/>
      <c r="D430" s="183" t="s">
        <v>145</v>
      </c>
      <c r="E430" s="191" t="s">
        <v>5</v>
      </c>
      <c r="F430" s="192" t="s">
        <v>428</v>
      </c>
      <c r="H430" s="193">
        <v>54.6</v>
      </c>
      <c r="I430" s="194">
        <v>0</v>
      </c>
      <c r="L430" s="41"/>
      <c r="M430" s="195"/>
      <c r="N430" s="196"/>
      <c r="O430" s="196"/>
      <c r="P430" s="196"/>
      <c r="Q430" s="196"/>
      <c r="R430" s="196"/>
      <c r="S430" s="196"/>
      <c r="T430" s="197"/>
      <c r="AT430" s="191" t="s">
        <v>145</v>
      </c>
      <c r="AU430" s="191" t="s">
        <v>81</v>
      </c>
      <c r="AV430" s="12" t="s">
        <v>81</v>
      </c>
      <c r="AW430" s="12" t="s">
        <v>35</v>
      </c>
      <c r="AX430" s="12" t="s">
        <v>71</v>
      </c>
      <c r="AY430" s="191" t="s">
        <v>136</v>
      </c>
    </row>
    <row r="431" spans="2:65" s="12" customFormat="1" x14ac:dyDescent="0.3">
      <c r="B431" s="190"/>
      <c r="D431" s="183" t="s">
        <v>145</v>
      </c>
      <c r="E431" s="191" t="s">
        <v>5</v>
      </c>
      <c r="F431" s="192" t="s">
        <v>429</v>
      </c>
      <c r="H431" s="193">
        <v>28</v>
      </c>
      <c r="I431" s="194">
        <v>0</v>
      </c>
      <c r="L431" s="41"/>
      <c r="M431" s="195"/>
      <c r="N431" s="196"/>
      <c r="O431" s="196"/>
      <c r="P431" s="196"/>
      <c r="Q431" s="196"/>
      <c r="R431" s="196"/>
      <c r="S431" s="196"/>
      <c r="T431" s="197"/>
      <c r="AT431" s="191" t="s">
        <v>145</v>
      </c>
      <c r="AU431" s="191" t="s">
        <v>81</v>
      </c>
      <c r="AV431" s="12" t="s">
        <v>81</v>
      </c>
      <c r="AW431" s="12" t="s">
        <v>35</v>
      </c>
      <c r="AX431" s="12" t="s">
        <v>71</v>
      </c>
      <c r="AY431" s="191" t="s">
        <v>136</v>
      </c>
    </row>
    <row r="432" spans="2:65" s="11" customFormat="1" x14ac:dyDescent="0.3">
      <c r="B432" s="182"/>
      <c r="D432" s="183" t="s">
        <v>145</v>
      </c>
      <c r="E432" s="184" t="s">
        <v>5</v>
      </c>
      <c r="F432" s="185" t="s">
        <v>244</v>
      </c>
      <c r="H432" s="184" t="s">
        <v>5</v>
      </c>
      <c r="I432" s="186">
        <v>0</v>
      </c>
      <c r="L432" s="41"/>
      <c r="M432" s="187"/>
      <c r="N432" s="188"/>
      <c r="O432" s="188"/>
      <c r="P432" s="188"/>
      <c r="Q432" s="188"/>
      <c r="R432" s="188"/>
      <c r="S432" s="188"/>
      <c r="T432" s="189"/>
      <c r="AT432" s="184" t="s">
        <v>145</v>
      </c>
      <c r="AU432" s="184" t="s">
        <v>81</v>
      </c>
      <c r="AV432" s="11" t="s">
        <v>79</v>
      </c>
      <c r="AW432" s="11" t="s">
        <v>35</v>
      </c>
      <c r="AX432" s="11" t="s">
        <v>71</v>
      </c>
      <c r="AY432" s="184" t="s">
        <v>136</v>
      </c>
    </row>
    <row r="433" spans="2:51" s="12" customFormat="1" x14ac:dyDescent="0.3">
      <c r="B433" s="190"/>
      <c r="D433" s="183" t="s">
        <v>145</v>
      </c>
      <c r="E433" s="191" t="s">
        <v>5</v>
      </c>
      <c r="F433" s="192" t="s">
        <v>430</v>
      </c>
      <c r="H433" s="193">
        <v>9.1</v>
      </c>
      <c r="I433" s="194">
        <v>0</v>
      </c>
      <c r="L433" s="41"/>
      <c r="M433" s="195"/>
      <c r="N433" s="196"/>
      <c r="O433" s="196"/>
      <c r="P433" s="196"/>
      <c r="Q433" s="196"/>
      <c r="R433" s="196"/>
      <c r="S433" s="196"/>
      <c r="T433" s="197"/>
      <c r="AT433" s="191" t="s">
        <v>145</v>
      </c>
      <c r="AU433" s="191" t="s">
        <v>81</v>
      </c>
      <c r="AV433" s="12" t="s">
        <v>81</v>
      </c>
      <c r="AW433" s="12" t="s">
        <v>35</v>
      </c>
      <c r="AX433" s="12" t="s">
        <v>71</v>
      </c>
      <c r="AY433" s="191" t="s">
        <v>136</v>
      </c>
    </row>
    <row r="434" spans="2:51" s="12" customFormat="1" x14ac:dyDescent="0.3">
      <c r="B434" s="190"/>
      <c r="D434" s="183" t="s">
        <v>145</v>
      </c>
      <c r="E434" s="191" t="s">
        <v>5</v>
      </c>
      <c r="F434" s="192" t="s">
        <v>430</v>
      </c>
      <c r="H434" s="193">
        <v>9.1</v>
      </c>
      <c r="I434" s="194">
        <v>0</v>
      </c>
      <c r="L434" s="41"/>
      <c r="M434" s="195"/>
      <c r="N434" s="196"/>
      <c r="O434" s="196"/>
      <c r="P434" s="196"/>
      <c r="Q434" s="196"/>
      <c r="R434" s="196"/>
      <c r="S434" s="196"/>
      <c r="T434" s="197"/>
      <c r="AT434" s="191" t="s">
        <v>145</v>
      </c>
      <c r="AU434" s="191" t="s">
        <v>81</v>
      </c>
      <c r="AV434" s="12" t="s">
        <v>81</v>
      </c>
      <c r="AW434" s="12" t="s">
        <v>35</v>
      </c>
      <c r="AX434" s="12" t="s">
        <v>71</v>
      </c>
      <c r="AY434" s="191" t="s">
        <v>136</v>
      </c>
    </row>
    <row r="435" spans="2:51" s="12" customFormat="1" x14ac:dyDescent="0.3">
      <c r="B435" s="190"/>
      <c r="D435" s="183" t="s">
        <v>145</v>
      </c>
      <c r="E435" s="191" t="s">
        <v>5</v>
      </c>
      <c r="F435" s="192" t="s">
        <v>431</v>
      </c>
      <c r="H435" s="193">
        <v>36.4</v>
      </c>
      <c r="I435" s="194">
        <v>0</v>
      </c>
      <c r="L435" s="41"/>
      <c r="M435" s="195"/>
      <c r="N435" s="196"/>
      <c r="O435" s="196"/>
      <c r="P435" s="196"/>
      <c r="Q435" s="196"/>
      <c r="R435" s="196"/>
      <c r="S435" s="196"/>
      <c r="T435" s="197"/>
      <c r="AT435" s="191" t="s">
        <v>145</v>
      </c>
      <c r="AU435" s="191" t="s">
        <v>81</v>
      </c>
      <c r="AV435" s="12" t="s">
        <v>81</v>
      </c>
      <c r="AW435" s="12" t="s">
        <v>35</v>
      </c>
      <c r="AX435" s="12" t="s">
        <v>71</v>
      </c>
      <c r="AY435" s="191" t="s">
        <v>136</v>
      </c>
    </row>
    <row r="436" spans="2:51" s="12" customFormat="1" x14ac:dyDescent="0.3">
      <c r="B436" s="190"/>
      <c r="D436" s="183" t="s">
        <v>145</v>
      </c>
      <c r="E436" s="191" t="s">
        <v>5</v>
      </c>
      <c r="F436" s="192" t="s">
        <v>432</v>
      </c>
      <c r="H436" s="193">
        <v>9</v>
      </c>
      <c r="I436" s="194">
        <v>0</v>
      </c>
      <c r="L436" s="41"/>
      <c r="M436" s="195"/>
      <c r="N436" s="196"/>
      <c r="O436" s="196"/>
      <c r="P436" s="196"/>
      <c r="Q436" s="196"/>
      <c r="R436" s="196"/>
      <c r="S436" s="196"/>
      <c r="T436" s="197"/>
      <c r="AT436" s="191" t="s">
        <v>145</v>
      </c>
      <c r="AU436" s="191" t="s">
        <v>81</v>
      </c>
      <c r="AV436" s="12" t="s">
        <v>81</v>
      </c>
      <c r="AW436" s="12" t="s">
        <v>35</v>
      </c>
      <c r="AX436" s="12" t="s">
        <v>71</v>
      </c>
      <c r="AY436" s="191" t="s">
        <v>136</v>
      </c>
    </row>
    <row r="437" spans="2:51" s="12" customFormat="1" x14ac:dyDescent="0.3">
      <c r="B437" s="190"/>
      <c r="D437" s="183" t="s">
        <v>145</v>
      </c>
      <c r="E437" s="191" t="s">
        <v>5</v>
      </c>
      <c r="F437" s="192" t="s">
        <v>433</v>
      </c>
      <c r="H437" s="193">
        <v>19</v>
      </c>
      <c r="I437" s="194">
        <v>0</v>
      </c>
      <c r="L437" s="41"/>
      <c r="M437" s="195"/>
      <c r="N437" s="196"/>
      <c r="O437" s="196"/>
      <c r="P437" s="196"/>
      <c r="Q437" s="196"/>
      <c r="R437" s="196"/>
      <c r="S437" s="196"/>
      <c r="T437" s="197"/>
      <c r="AT437" s="191" t="s">
        <v>145</v>
      </c>
      <c r="AU437" s="191" t="s">
        <v>81</v>
      </c>
      <c r="AV437" s="12" t="s">
        <v>81</v>
      </c>
      <c r="AW437" s="12" t="s">
        <v>35</v>
      </c>
      <c r="AX437" s="12" t="s">
        <v>71</v>
      </c>
      <c r="AY437" s="191" t="s">
        <v>136</v>
      </c>
    </row>
    <row r="438" spans="2:51" s="12" customFormat="1" x14ac:dyDescent="0.3">
      <c r="B438" s="190"/>
      <c r="D438" s="183" t="s">
        <v>145</v>
      </c>
      <c r="E438" s="191" t="s">
        <v>5</v>
      </c>
      <c r="F438" s="192" t="s">
        <v>432</v>
      </c>
      <c r="H438" s="193">
        <v>9</v>
      </c>
      <c r="I438" s="194">
        <v>0</v>
      </c>
      <c r="L438" s="41"/>
      <c r="M438" s="195"/>
      <c r="N438" s="196"/>
      <c r="O438" s="196"/>
      <c r="P438" s="196"/>
      <c r="Q438" s="196"/>
      <c r="R438" s="196"/>
      <c r="S438" s="196"/>
      <c r="T438" s="197"/>
      <c r="AT438" s="191" t="s">
        <v>145</v>
      </c>
      <c r="AU438" s="191" t="s">
        <v>81</v>
      </c>
      <c r="AV438" s="12" t="s">
        <v>81</v>
      </c>
      <c r="AW438" s="12" t="s">
        <v>35</v>
      </c>
      <c r="AX438" s="12" t="s">
        <v>71</v>
      </c>
      <c r="AY438" s="191" t="s">
        <v>136</v>
      </c>
    </row>
    <row r="439" spans="2:51" s="11" customFormat="1" x14ac:dyDescent="0.3">
      <c r="B439" s="182"/>
      <c r="D439" s="183" t="s">
        <v>145</v>
      </c>
      <c r="E439" s="184" t="s">
        <v>5</v>
      </c>
      <c r="F439" s="185" t="s">
        <v>245</v>
      </c>
      <c r="H439" s="184" t="s">
        <v>5</v>
      </c>
      <c r="I439" s="186">
        <v>0</v>
      </c>
      <c r="L439" s="41"/>
      <c r="M439" s="187"/>
      <c r="N439" s="188"/>
      <c r="O439" s="188"/>
      <c r="P439" s="188"/>
      <c r="Q439" s="188"/>
      <c r="R439" s="188"/>
      <c r="S439" s="188"/>
      <c r="T439" s="189"/>
      <c r="AT439" s="184" t="s">
        <v>145</v>
      </c>
      <c r="AU439" s="184" t="s">
        <v>81</v>
      </c>
      <c r="AV439" s="11" t="s">
        <v>79</v>
      </c>
      <c r="AW439" s="11" t="s">
        <v>35</v>
      </c>
      <c r="AX439" s="11" t="s">
        <v>71</v>
      </c>
      <c r="AY439" s="184" t="s">
        <v>136</v>
      </c>
    </row>
    <row r="440" spans="2:51" s="12" customFormat="1" x14ac:dyDescent="0.3">
      <c r="B440" s="190"/>
      <c r="D440" s="183" t="s">
        <v>145</v>
      </c>
      <c r="E440" s="191" t="s">
        <v>5</v>
      </c>
      <c r="F440" s="192" t="s">
        <v>432</v>
      </c>
      <c r="H440" s="193">
        <v>9</v>
      </c>
      <c r="I440" s="194">
        <v>0</v>
      </c>
      <c r="L440" s="41"/>
      <c r="M440" s="195"/>
      <c r="N440" s="196"/>
      <c r="O440" s="196"/>
      <c r="P440" s="196"/>
      <c r="Q440" s="196"/>
      <c r="R440" s="196"/>
      <c r="S440" s="196"/>
      <c r="T440" s="197"/>
      <c r="AT440" s="191" t="s">
        <v>145</v>
      </c>
      <c r="AU440" s="191" t="s">
        <v>81</v>
      </c>
      <c r="AV440" s="12" t="s">
        <v>81</v>
      </c>
      <c r="AW440" s="12" t="s">
        <v>35</v>
      </c>
      <c r="AX440" s="12" t="s">
        <v>71</v>
      </c>
      <c r="AY440" s="191" t="s">
        <v>136</v>
      </c>
    </row>
    <row r="441" spans="2:51" s="12" customFormat="1" x14ac:dyDescent="0.3">
      <c r="B441" s="190"/>
      <c r="D441" s="183" t="s">
        <v>145</v>
      </c>
      <c r="E441" s="191" t="s">
        <v>5</v>
      </c>
      <c r="F441" s="192" t="s">
        <v>430</v>
      </c>
      <c r="H441" s="193">
        <v>9.1</v>
      </c>
      <c r="I441" s="194">
        <v>0</v>
      </c>
      <c r="L441" s="41"/>
      <c r="M441" s="195"/>
      <c r="N441" s="196"/>
      <c r="O441" s="196"/>
      <c r="P441" s="196"/>
      <c r="Q441" s="196"/>
      <c r="R441" s="196"/>
      <c r="S441" s="196"/>
      <c r="T441" s="197"/>
      <c r="AT441" s="191" t="s">
        <v>145</v>
      </c>
      <c r="AU441" s="191" t="s">
        <v>81</v>
      </c>
      <c r="AV441" s="12" t="s">
        <v>81</v>
      </c>
      <c r="AW441" s="12" t="s">
        <v>35</v>
      </c>
      <c r="AX441" s="12" t="s">
        <v>71</v>
      </c>
      <c r="AY441" s="191" t="s">
        <v>136</v>
      </c>
    </row>
    <row r="442" spans="2:51" s="12" customFormat="1" x14ac:dyDescent="0.3">
      <c r="B442" s="190"/>
      <c r="D442" s="183" t="s">
        <v>145</v>
      </c>
      <c r="E442" s="191" t="s">
        <v>5</v>
      </c>
      <c r="F442" s="192" t="s">
        <v>430</v>
      </c>
      <c r="H442" s="193">
        <v>9.1</v>
      </c>
      <c r="I442" s="194">
        <v>0</v>
      </c>
      <c r="L442" s="41"/>
      <c r="M442" s="195"/>
      <c r="N442" s="196"/>
      <c r="O442" s="196"/>
      <c r="P442" s="196"/>
      <c r="Q442" s="196"/>
      <c r="R442" s="196"/>
      <c r="S442" s="196"/>
      <c r="T442" s="197"/>
      <c r="AT442" s="191" t="s">
        <v>145</v>
      </c>
      <c r="AU442" s="191" t="s">
        <v>81</v>
      </c>
      <c r="AV442" s="12" t="s">
        <v>81</v>
      </c>
      <c r="AW442" s="12" t="s">
        <v>35</v>
      </c>
      <c r="AX442" s="12" t="s">
        <v>71</v>
      </c>
      <c r="AY442" s="191" t="s">
        <v>136</v>
      </c>
    </row>
    <row r="443" spans="2:51" s="11" customFormat="1" x14ac:dyDescent="0.3">
      <c r="B443" s="182"/>
      <c r="D443" s="183" t="s">
        <v>145</v>
      </c>
      <c r="E443" s="184" t="s">
        <v>5</v>
      </c>
      <c r="F443" s="185" t="s">
        <v>332</v>
      </c>
      <c r="H443" s="184" t="s">
        <v>5</v>
      </c>
      <c r="I443" s="186">
        <v>0</v>
      </c>
      <c r="L443" s="41"/>
      <c r="M443" s="187"/>
      <c r="N443" s="188"/>
      <c r="O443" s="188"/>
      <c r="P443" s="188"/>
      <c r="Q443" s="188"/>
      <c r="R443" s="188"/>
      <c r="S443" s="188"/>
      <c r="T443" s="189"/>
      <c r="AT443" s="184" t="s">
        <v>145</v>
      </c>
      <c r="AU443" s="184" t="s">
        <v>81</v>
      </c>
      <c r="AV443" s="11" t="s">
        <v>79</v>
      </c>
      <c r="AW443" s="11" t="s">
        <v>35</v>
      </c>
      <c r="AX443" s="11" t="s">
        <v>71</v>
      </c>
      <c r="AY443" s="184" t="s">
        <v>136</v>
      </c>
    </row>
    <row r="444" spans="2:51" s="11" customFormat="1" x14ac:dyDescent="0.3">
      <c r="B444" s="182"/>
      <c r="D444" s="183" t="s">
        <v>145</v>
      </c>
      <c r="E444" s="184" t="s">
        <v>5</v>
      </c>
      <c r="F444" s="185" t="s">
        <v>243</v>
      </c>
      <c r="H444" s="184" t="s">
        <v>5</v>
      </c>
      <c r="I444" s="186">
        <v>0</v>
      </c>
      <c r="L444" s="41"/>
      <c r="M444" s="187"/>
      <c r="N444" s="188"/>
      <c r="O444" s="188"/>
      <c r="P444" s="188"/>
      <c r="Q444" s="188"/>
      <c r="R444" s="188"/>
      <c r="S444" s="188"/>
      <c r="T444" s="189"/>
      <c r="AT444" s="184" t="s">
        <v>145</v>
      </c>
      <c r="AU444" s="184" t="s">
        <v>81</v>
      </c>
      <c r="AV444" s="11" t="s">
        <v>79</v>
      </c>
      <c r="AW444" s="11" t="s">
        <v>35</v>
      </c>
      <c r="AX444" s="11" t="s">
        <v>71</v>
      </c>
      <c r="AY444" s="184" t="s">
        <v>136</v>
      </c>
    </row>
    <row r="445" spans="2:51" s="12" customFormat="1" x14ac:dyDescent="0.3">
      <c r="B445" s="190"/>
      <c r="D445" s="183" t="s">
        <v>145</v>
      </c>
      <c r="E445" s="191" t="s">
        <v>5</v>
      </c>
      <c r="F445" s="192" t="s">
        <v>434</v>
      </c>
      <c r="H445" s="193">
        <v>47.85</v>
      </c>
      <c r="I445" s="194">
        <v>0</v>
      </c>
      <c r="L445" s="41"/>
      <c r="M445" s="195"/>
      <c r="N445" s="196"/>
      <c r="O445" s="196"/>
      <c r="P445" s="196"/>
      <c r="Q445" s="196"/>
      <c r="R445" s="196"/>
      <c r="S445" s="196"/>
      <c r="T445" s="197"/>
      <c r="AT445" s="191" t="s">
        <v>145</v>
      </c>
      <c r="AU445" s="191" t="s">
        <v>81</v>
      </c>
      <c r="AV445" s="12" t="s">
        <v>81</v>
      </c>
      <c r="AW445" s="12" t="s">
        <v>35</v>
      </c>
      <c r="AX445" s="12" t="s">
        <v>71</v>
      </c>
      <c r="AY445" s="191" t="s">
        <v>136</v>
      </c>
    </row>
    <row r="446" spans="2:51" s="11" customFormat="1" x14ac:dyDescent="0.3">
      <c r="B446" s="182"/>
      <c r="D446" s="183" t="s">
        <v>145</v>
      </c>
      <c r="E446" s="184" t="s">
        <v>5</v>
      </c>
      <c r="F446" s="185" t="s">
        <v>244</v>
      </c>
      <c r="H446" s="184" t="s">
        <v>5</v>
      </c>
      <c r="I446" s="186">
        <v>0</v>
      </c>
      <c r="L446" s="41"/>
      <c r="M446" s="187"/>
      <c r="N446" s="188"/>
      <c r="O446" s="188"/>
      <c r="P446" s="188"/>
      <c r="Q446" s="188"/>
      <c r="R446" s="188"/>
      <c r="S446" s="188"/>
      <c r="T446" s="189"/>
      <c r="AT446" s="184" t="s">
        <v>145</v>
      </c>
      <c r="AU446" s="184" t="s">
        <v>81</v>
      </c>
      <c r="AV446" s="11" t="s">
        <v>79</v>
      </c>
      <c r="AW446" s="11" t="s">
        <v>35</v>
      </c>
      <c r="AX446" s="11" t="s">
        <v>71</v>
      </c>
      <c r="AY446" s="184" t="s">
        <v>136</v>
      </c>
    </row>
    <row r="447" spans="2:51" s="12" customFormat="1" x14ac:dyDescent="0.3">
      <c r="B447" s="190"/>
      <c r="D447" s="183" t="s">
        <v>145</v>
      </c>
      <c r="E447" s="191" t="s">
        <v>5</v>
      </c>
      <c r="F447" s="192" t="s">
        <v>435</v>
      </c>
      <c r="H447" s="193">
        <v>47.2</v>
      </c>
      <c r="I447" s="194">
        <v>0</v>
      </c>
      <c r="L447" s="41"/>
      <c r="M447" s="195"/>
      <c r="N447" s="196"/>
      <c r="O447" s="196"/>
      <c r="P447" s="196"/>
      <c r="Q447" s="196"/>
      <c r="R447" s="196"/>
      <c r="S447" s="196"/>
      <c r="T447" s="197"/>
      <c r="AT447" s="191" t="s">
        <v>145</v>
      </c>
      <c r="AU447" s="191" t="s">
        <v>81</v>
      </c>
      <c r="AV447" s="12" t="s">
        <v>81</v>
      </c>
      <c r="AW447" s="12" t="s">
        <v>35</v>
      </c>
      <c r="AX447" s="12" t="s">
        <v>71</v>
      </c>
      <c r="AY447" s="191" t="s">
        <v>136</v>
      </c>
    </row>
    <row r="448" spans="2:51" s="11" customFormat="1" x14ac:dyDescent="0.3">
      <c r="B448" s="182"/>
      <c r="D448" s="183" t="s">
        <v>145</v>
      </c>
      <c r="E448" s="184" t="s">
        <v>5</v>
      </c>
      <c r="F448" s="185" t="s">
        <v>245</v>
      </c>
      <c r="H448" s="184" t="s">
        <v>5</v>
      </c>
      <c r="I448" s="186">
        <v>0</v>
      </c>
      <c r="L448" s="41"/>
      <c r="M448" s="187"/>
      <c r="N448" s="188"/>
      <c r="O448" s="188"/>
      <c r="P448" s="188"/>
      <c r="Q448" s="188"/>
      <c r="R448" s="188"/>
      <c r="S448" s="188"/>
      <c r="T448" s="189"/>
      <c r="AT448" s="184" t="s">
        <v>145</v>
      </c>
      <c r="AU448" s="184" t="s">
        <v>81</v>
      </c>
      <c r="AV448" s="11" t="s">
        <v>79</v>
      </c>
      <c r="AW448" s="11" t="s">
        <v>35</v>
      </c>
      <c r="AX448" s="11" t="s">
        <v>71</v>
      </c>
      <c r="AY448" s="184" t="s">
        <v>136</v>
      </c>
    </row>
    <row r="449" spans="2:65" s="12" customFormat="1" x14ac:dyDescent="0.3">
      <c r="B449" s="190"/>
      <c r="D449" s="183" t="s">
        <v>145</v>
      </c>
      <c r="E449" s="191" t="s">
        <v>5</v>
      </c>
      <c r="F449" s="192" t="s">
        <v>436</v>
      </c>
      <c r="H449" s="193">
        <v>1.25</v>
      </c>
      <c r="I449" s="194">
        <v>0</v>
      </c>
      <c r="L449" s="41"/>
      <c r="M449" s="195"/>
      <c r="N449" s="196"/>
      <c r="O449" s="196"/>
      <c r="P449" s="196"/>
      <c r="Q449" s="196"/>
      <c r="R449" s="196"/>
      <c r="S449" s="196"/>
      <c r="T449" s="197"/>
      <c r="AT449" s="191" t="s">
        <v>145</v>
      </c>
      <c r="AU449" s="191" t="s">
        <v>81</v>
      </c>
      <c r="AV449" s="12" t="s">
        <v>81</v>
      </c>
      <c r="AW449" s="12" t="s">
        <v>35</v>
      </c>
      <c r="AX449" s="12" t="s">
        <v>71</v>
      </c>
      <c r="AY449" s="191" t="s">
        <v>136</v>
      </c>
    </row>
    <row r="450" spans="2:65" s="13" customFormat="1" x14ac:dyDescent="0.3">
      <c r="B450" s="198"/>
      <c r="D450" s="183" t="s">
        <v>145</v>
      </c>
      <c r="E450" s="199" t="s">
        <v>5</v>
      </c>
      <c r="F450" s="200" t="s">
        <v>218</v>
      </c>
      <c r="H450" s="201">
        <v>297.7</v>
      </c>
      <c r="I450" s="202">
        <v>0</v>
      </c>
      <c r="L450" s="41"/>
      <c r="M450" s="203"/>
      <c r="N450" s="204"/>
      <c r="O450" s="204"/>
      <c r="P450" s="204"/>
      <c r="Q450" s="204"/>
      <c r="R450" s="204"/>
      <c r="S450" s="204"/>
      <c r="T450" s="205"/>
      <c r="AT450" s="199" t="s">
        <v>145</v>
      </c>
      <c r="AU450" s="199" t="s">
        <v>81</v>
      </c>
      <c r="AV450" s="13" t="s">
        <v>143</v>
      </c>
      <c r="AW450" s="13" t="s">
        <v>35</v>
      </c>
      <c r="AX450" s="13" t="s">
        <v>79</v>
      </c>
      <c r="AY450" s="199" t="s">
        <v>136</v>
      </c>
    </row>
    <row r="451" spans="2:65" s="1" customFormat="1" ht="25.5" customHeight="1" x14ac:dyDescent="0.3">
      <c r="B451" s="169"/>
      <c r="C451" s="170" t="s">
        <v>437</v>
      </c>
      <c r="D451" s="170" t="s">
        <v>138</v>
      </c>
      <c r="E451" s="171" t="s">
        <v>438</v>
      </c>
      <c r="F451" s="172" t="s">
        <v>439</v>
      </c>
      <c r="G451" s="173" t="s">
        <v>222</v>
      </c>
      <c r="H451" s="174">
        <v>9</v>
      </c>
      <c r="I451" s="175">
        <v>977.49999999999989</v>
      </c>
      <c r="J451" s="176">
        <f>ROUND(I451*H451,2)</f>
        <v>8797.5</v>
      </c>
      <c r="K451" s="172" t="s">
        <v>142</v>
      </c>
      <c r="L451" s="41"/>
      <c r="M451" s="177" t="s">
        <v>5</v>
      </c>
      <c r="N451" s="178" t="s">
        <v>42</v>
      </c>
      <c r="O451" s="42"/>
      <c r="P451" s="179">
        <f>O451*H451</f>
        <v>0</v>
      </c>
      <c r="Q451" s="179">
        <v>4.8000000000000001E-4</v>
      </c>
      <c r="R451" s="179">
        <f>Q451*H451</f>
        <v>4.3200000000000001E-3</v>
      </c>
      <c r="S451" s="179">
        <v>0</v>
      </c>
      <c r="T451" s="180">
        <f>S451*H451</f>
        <v>0</v>
      </c>
      <c r="AR451" s="24" t="s">
        <v>143</v>
      </c>
      <c r="AT451" s="24" t="s">
        <v>138</v>
      </c>
      <c r="AU451" s="24" t="s">
        <v>81</v>
      </c>
      <c r="AY451" s="24" t="s">
        <v>136</v>
      </c>
      <c r="BE451" s="181">
        <f>IF(N451="základní",J451,0)</f>
        <v>8797.5</v>
      </c>
      <c r="BF451" s="181">
        <f>IF(N451="snížená",J451,0)</f>
        <v>0</v>
      </c>
      <c r="BG451" s="181">
        <f>IF(N451="zákl. přenesená",J451,0)</f>
        <v>0</v>
      </c>
      <c r="BH451" s="181">
        <f>IF(N451="sníž. přenesená",J451,0)</f>
        <v>0</v>
      </c>
      <c r="BI451" s="181">
        <f>IF(N451="nulová",J451,0)</f>
        <v>0</v>
      </c>
      <c r="BJ451" s="24" t="s">
        <v>79</v>
      </c>
      <c r="BK451" s="181">
        <f>ROUND(I451*H451,2)</f>
        <v>8797.5</v>
      </c>
      <c r="BL451" s="24" t="s">
        <v>143</v>
      </c>
      <c r="BM451" s="24" t="s">
        <v>440</v>
      </c>
    </row>
    <row r="452" spans="2:65" s="1" customFormat="1" ht="16.5" customHeight="1" x14ac:dyDescent="0.3">
      <c r="B452" s="169"/>
      <c r="C452" s="206" t="s">
        <v>441</v>
      </c>
      <c r="D452" s="206" t="s">
        <v>355</v>
      </c>
      <c r="E452" s="207" t="s">
        <v>442</v>
      </c>
      <c r="F452" s="208" t="s">
        <v>443</v>
      </c>
      <c r="G452" s="209" t="s">
        <v>222</v>
      </c>
      <c r="H452" s="210">
        <v>9</v>
      </c>
      <c r="I452" s="211">
        <v>1609.9999999999998</v>
      </c>
      <c r="J452" s="212">
        <f>ROUND(I452*H452,2)</f>
        <v>14490</v>
      </c>
      <c r="K452" s="208" t="s">
        <v>5</v>
      </c>
      <c r="L452" s="41"/>
      <c r="M452" s="213" t="s">
        <v>5</v>
      </c>
      <c r="N452" s="214" t="s">
        <v>42</v>
      </c>
      <c r="O452" s="42"/>
      <c r="P452" s="179">
        <f>O452*H452</f>
        <v>0</v>
      </c>
      <c r="Q452" s="179">
        <v>0</v>
      </c>
      <c r="R452" s="179">
        <f>Q452*H452</f>
        <v>0</v>
      </c>
      <c r="S452" s="179">
        <v>0</v>
      </c>
      <c r="T452" s="180">
        <f>S452*H452</f>
        <v>0</v>
      </c>
      <c r="AR452" s="24" t="s">
        <v>171</v>
      </c>
      <c r="AT452" s="24" t="s">
        <v>355</v>
      </c>
      <c r="AU452" s="24" t="s">
        <v>81</v>
      </c>
      <c r="AY452" s="24" t="s">
        <v>136</v>
      </c>
      <c r="BE452" s="181">
        <f>IF(N452="základní",J452,0)</f>
        <v>14490</v>
      </c>
      <c r="BF452" s="181">
        <f>IF(N452="snížená",J452,0)</f>
        <v>0</v>
      </c>
      <c r="BG452" s="181">
        <f>IF(N452="zákl. přenesená",J452,0)</f>
        <v>0</v>
      </c>
      <c r="BH452" s="181">
        <f>IF(N452="sníž. přenesená",J452,0)</f>
        <v>0</v>
      </c>
      <c r="BI452" s="181">
        <f>IF(N452="nulová",J452,0)</f>
        <v>0</v>
      </c>
      <c r="BJ452" s="24" t="s">
        <v>79</v>
      </c>
      <c r="BK452" s="181">
        <f>ROUND(I452*H452,2)</f>
        <v>14490</v>
      </c>
      <c r="BL452" s="24" t="s">
        <v>143</v>
      </c>
      <c r="BM452" s="24" t="s">
        <v>444</v>
      </c>
    </row>
    <row r="453" spans="2:65" s="310" customFormat="1" ht="16.5" customHeight="1" x14ac:dyDescent="0.3">
      <c r="B453" s="169"/>
      <c r="C453" s="432"/>
      <c r="D453" s="386"/>
      <c r="E453" s="387"/>
      <c r="F453" s="391" t="s">
        <v>1501</v>
      </c>
      <c r="G453" s="392" t="s">
        <v>222</v>
      </c>
      <c r="H453" s="174">
        <v>8</v>
      </c>
      <c r="I453" s="389">
        <v>804.99999999999989</v>
      </c>
      <c r="J453" s="212">
        <f t="shared" ref="J453:J454" si="8">ROUND(I453*H453,2)</f>
        <v>6440</v>
      </c>
      <c r="K453" s="388"/>
      <c r="L453" s="41"/>
      <c r="M453" s="390"/>
      <c r="N453" s="375"/>
      <c r="O453" s="344"/>
      <c r="P453" s="345"/>
      <c r="Q453" s="345"/>
      <c r="R453" s="345"/>
      <c r="S453" s="345"/>
      <c r="T453" s="180"/>
      <c r="AR453" s="24"/>
      <c r="AT453" s="24"/>
      <c r="AU453" s="24"/>
      <c r="AY453" s="24"/>
      <c r="BE453" s="181"/>
      <c r="BF453" s="181"/>
      <c r="BG453" s="181"/>
      <c r="BH453" s="181"/>
      <c r="BI453" s="181"/>
      <c r="BJ453" s="24"/>
      <c r="BK453" s="181"/>
      <c r="BL453" s="24"/>
      <c r="BM453" s="24"/>
    </row>
    <row r="454" spans="2:65" s="310" customFormat="1" ht="16.5" customHeight="1" x14ac:dyDescent="0.3">
      <c r="B454" s="169"/>
      <c r="C454" s="432"/>
      <c r="D454" s="386"/>
      <c r="E454" s="387"/>
      <c r="F454" s="367" t="s">
        <v>1502</v>
      </c>
      <c r="G454" s="370" t="s">
        <v>222</v>
      </c>
      <c r="H454" s="210">
        <v>8</v>
      </c>
      <c r="I454" s="389">
        <v>2530</v>
      </c>
      <c r="J454" s="212">
        <f t="shared" si="8"/>
        <v>20240</v>
      </c>
      <c r="K454" s="388"/>
      <c r="L454" s="41"/>
      <c r="M454" s="390"/>
      <c r="N454" s="375"/>
      <c r="O454" s="344"/>
      <c r="P454" s="345"/>
      <c r="Q454" s="345"/>
      <c r="R454" s="345"/>
      <c r="S454" s="345"/>
      <c r="T454" s="180"/>
      <c r="AR454" s="24"/>
      <c r="AT454" s="24"/>
      <c r="AU454" s="24"/>
      <c r="AY454" s="24"/>
      <c r="BE454" s="181"/>
      <c r="BF454" s="181"/>
      <c r="BG454" s="181"/>
      <c r="BH454" s="181"/>
      <c r="BI454" s="181"/>
      <c r="BJ454" s="24"/>
      <c r="BK454" s="181"/>
      <c r="BL454" s="24"/>
      <c r="BM454" s="24"/>
    </row>
    <row r="455" spans="2:65" s="10" customFormat="1" ht="29.85" customHeight="1" x14ac:dyDescent="0.3">
      <c r="B455" s="156"/>
      <c r="D455" s="157" t="s">
        <v>70</v>
      </c>
      <c r="E455" s="167" t="s">
        <v>176</v>
      </c>
      <c r="F455" s="167" t="s">
        <v>445</v>
      </c>
      <c r="I455" s="159">
        <v>0</v>
      </c>
      <c r="J455" s="168">
        <f>SUM(J456:J482)</f>
        <v>178889.16999999998</v>
      </c>
      <c r="L455" s="41"/>
      <c r="M455" s="161"/>
      <c r="N455" s="162"/>
      <c r="O455" s="162"/>
      <c r="P455" s="163">
        <f>SUM(P456:P479)</f>
        <v>0</v>
      </c>
      <c r="Q455" s="162"/>
      <c r="R455" s="163">
        <f>SUM(R456:R479)</f>
        <v>4.8416000000000001E-2</v>
      </c>
      <c r="S455" s="162"/>
      <c r="T455" s="164">
        <f>SUM(T456:T479)</f>
        <v>0</v>
      </c>
      <c r="AR455" s="157" t="s">
        <v>79</v>
      </c>
      <c r="AT455" s="165" t="s">
        <v>70</v>
      </c>
      <c r="AU455" s="165" t="s">
        <v>79</v>
      </c>
      <c r="AY455" s="157" t="s">
        <v>136</v>
      </c>
      <c r="BK455" s="166">
        <f>SUM(BK456:BK479)</f>
        <v>174519.16999999998</v>
      </c>
    </row>
    <row r="456" spans="2:65" s="1" customFormat="1" ht="25.5" customHeight="1" x14ac:dyDescent="0.3">
      <c r="B456" s="169"/>
      <c r="C456" s="170" t="s">
        <v>446</v>
      </c>
      <c r="D456" s="170" t="s">
        <v>138</v>
      </c>
      <c r="E456" s="171" t="s">
        <v>447</v>
      </c>
      <c r="F456" s="172" t="s">
        <v>448</v>
      </c>
      <c r="G456" s="173" t="s">
        <v>179</v>
      </c>
      <c r="H456" s="320">
        <f>SUM(H458:H464)</f>
        <v>523.74</v>
      </c>
      <c r="I456" s="175">
        <v>57.499999999999993</v>
      </c>
      <c r="J456" s="176">
        <f>ROUND(I456*H456,2)</f>
        <v>30115.05</v>
      </c>
      <c r="K456" s="172" t="s">
        <v>142</v>
      </c>
      <c r="L456" s="41"/>
      <c r="M456" s="177" t="s">
        <v>5</v>
      </c>
      <c r="N456" s="178" t="s">
        <v>42</v>
      </c>
      <c r="O456" s="42"/>
      <c r="P456" s="179">
        <f>O456*H456</f>
        <v>0</v>
      </c>
      <c r="Q456" s="179">
        <v>0</v>
      </c>
      <c r="R456" s="179">
        <f>Q456*H456</f>
        <v>0</v>
      </c>
      <c r="S456" s="179">
        <v>0</v>
      </c>
      <c r="T456" s="180">
        <f>S456*H456</f>
        <v>0</v>
      </c>
      <c r="AR456" s="24" t="s">
        <v>143</v>
      </c>
      <c r="AT456" s="24" t="s">
        <v>138</v>
      </c>
      <c r="AU456" s="24" t="s">
        <v>81</v>
      </c>
      <c r="AY456" s="24" t="s">
        <v>136</v>
      </c>
      <c r="BE456" s="181">
        <f>IF(N456="základní",J456,0)</f>
        <v>30115.05</v>
      </c>
      <c r="BF456" s="181">
        <f>IF(N456="snížená",J456,0)</f>
        <v>0</v>
      </c>
      <c r="BG456" s="181">
        <f>IF(N456="zákl. přenesená",J456,0)</f>
        <v>0</v>
      </c>
      <c r="BH456" s="181">
        <f>IF(N456="sníž. přenesená",J456,0)</f>
        <v>0</v>
      </c>
      <c r="BI456" s="181">
        <f>IF(N456="nulová",J456,0)</f>
        <v>0</v>
      </c>
      <c r="BJ456" s="24" t="s">
        <v>79</v>
      </c>
      <c r="BK456" s="181">
        <f>ROUND(I456*H456,2)</f>
        <v>30115.05</v>
      </c>
      <c r="BL456" s="24" t="s">
        <v>143</v>
      </c>
      <c r="BM456" s="24" t="s">
        <v>449</v>
      </c>
    </row>
    <row r="457" spans="2:65" s="1" customFormat="1" x14ac:dyDescent="0.3">
      <c r="B457" s="41"/>
      <c r="D457" s="183" t="s">
        <v>406</v>
      </c>
      <c r="F457" s="357" t="s">
        <v>1288</v>
      </c>
      <c r="I457" s="224">
        <v>0</v>
      </c>
      <c r="L457" s="41"/>
      <c r="M457" s="225"/>
      <c r="N457" s="42"/>
      <c r="O457" s="42"/>
      <c r="P457" s="42"/>
      <c r="Q457" s="42"/>
      <c r="R457" s="42"/>
      <c r="S457" s="42"/>
      <c r="T457" s="70"/>
      <c r="AT457" s="24" t="s">
        <v>406</v>
      </c>
      <c r="AU457" s="24" t="s">
        <v>81</v>
      </c>
    </row>
    <row r="458" spans="2:65" s="11" customFormat="1" x14ac:dyDescent="0.3">
      <c r="B458" s="182"/>
      <c r="D458" s="183" t="s">
        <v>145</v>
      </c>
      <c r="E458" s="184" t="s">
        <v>5</v>
      </c>
      <c r="F458" s="312" t="s">
        <v>1322</v>
      </c>
      <c r="G458" s="327"/>
      <c r="H458" s="332">
        <f>10.6*5.5+8.8*9.5+10.6+8.8</f>
        <v>161.30000000000001</v>
      </c>
      <c r="I458" s="186">
        <v>0</v>
      </c>
      <c r="L458" s="41"/>
      <c r="M458" s="187"/>
      <c r="N458" s="188"/>
      <c r="O458" s="188"/>
      <c r="P458" s="188"/>
      <c r="Q458" s="188"/>
      <c r="R458" s="188"/>
      <c r="S458" s="188"/>
      <c r="T458" s="189"/>
      <c r="AT458" s="184" t="s">
        <v>145</v>
      </c>
      <c r="AU458" s="184" t="s">
        <v>81</v>
      </c>
      <c r="AV458" s="11" t="s">
        <v>79</v>
      </c>
      <c r="AW458" s="11" t="s">
        <v>35</v>
      </c>
      <c r="AX458" s="11" t="s">
        <v>71</v>
      </c>
      <c r="AY458" s="184" t="s">
        <v>136</v>
      </c>
    </row>
    <row r="459" spans="2:65" s="12" customFormat="1" x14ac:dyDescent="0.3">
      <c r="B459" s="190"/>
      <c r="D459" s="183" t="s">
        <v>145</v>
      </c>
      <c r="E459" s="191" t="s">
        <v>5</v>
      </c>
      <c r="F459" s="321" t="s">
        <v>1287</v>
      </c>
      <c r="H459" s="193"/>
      <c r="I459" s="194">
        <v>0</v>
      </c>
      <c r="L459" s="41"/>
      <c r="M459" s="195"/>
      <c r="N459" s="196"/>
      <c r="O459" s="196"/>
      <c r="P459" s="196"/>
      <c r="Q459" s="196"/>
      <c r="R459" s="196"/>
      <c r="S459" s="196"/>
      <c r="T459" s="197"/>
      <c r="AT459" s="191" t="s">
        <v>145</v>
      </c>
      <c r="AU459" s="191" t="s">
        <v>81</v>
      </c>
      <c r="AV459" s="12" t="s">
        <v>81</v>
      </c>
      <c r="AW459" s="12" t="s">
        <v>35</v>
      </c>
      <c r="AX459" s="12" t="s">
        <v>71</v>
      </c>
      <c r="AY459" s="191" t="s">
        <v>136</v>
      </c>
    </row>
    <row r="460" spans="2:65" s="12" customFormat="1" x14ac:dyDescent="0.3">
      <c r="B460" s="190"/>
      <c r="D460" s="183" t="s">
        <v>145</v>
      </c>
      <c r="E460" s="191" t="s">
        <v>5</v>
      </c>
      <c r="F460" s="312" t="s">
        <v>1323</v>
      </c>
      <c r="G460" s="327"/>
      <c r="H460" s="315">
        <f>10.5*10</f>
        <v>105</v>
      </c>
      <c r="I460" s="194">
        <v>0</v>
      </c>
      <c r="L460" s="41"/>
      <c r="M460" s="195"/>
      <c r="N460" s="196"/>
      <c r="O460" s="196"/>
      <c r="P460" s="196"/>
      <c r="Q460" s="196"/>
      <c r="R460" s="196"/>
      <c r="S460" s="196"/>
      <c r="T460" s="197"/>
      <c r="AT460" s="191" t="s">
        <v>145</v>
      </c>
      <c r="AU460" s="191" t="s">
        <v>81</v>
      </c>
      <c r="AV460" s="12" t="s">
        <v>81</v>
      </c>
      <c r="AW460" s="12" t="s">
        <v>35</v>
      </c>
      <c r="AX460" s="12" t="s">
        <v>71</v>
      </c>
      <c r="AY460" s="191" t="s">
        <v>136</v>
      </c>
    </row>
    <row r="461" spans="2:65" s="12" customFormat="1" x14ac:dyDescent="0.3">
      <c r="B461" s="190"/>
      <c r="D461" s="183" t="s">
        <v>145</v>
      </c>
      <c r="E461" s="191" t="s">
        <v>5</v>
      </c>
      <c r="F461" s="321" t="s">
        <v>1286</v>
      </c>
      <c r="H461" s="193"/>
      <c r="I461" s="194">
        <v>0</v>
      </c>
      <c r="L461" s="41"/>
      <c r="M461" s="195"/>
      <c r="N461" s="196"/>
      <c r="O461" s="196"/>
      <c r="P461" s="196"/>
      <c r="Q461" s="196"/>
      <c r="R461" s="196"/>
      <c r="S461" s="196"/>
      <c r="T461" s="197"/>
      <c r="AT461" s="191" t="s">
        <v>145</v>
      </c>
      <c r="AU461" s="191" t="s">
        <v>81</v>
      </c>
      <c r="AV461" s="12" t="s">
        <v>81</v>
      </c>
      <c r="AW461" s="12" t="s">
        <v>35</v>
      </c>
      <c r="AX461" s="12" t="s">
        <v>71</v>
      </c>
      <c r="AY461" s="191" t="s">
        <v>136</v>
      </c>
    </row>
    <row r="462" spans="2:65" s="12" customFormat="1" x14ac:dyDescent="0.3">
      <c r="B462" s="190"/>
      <c r="D462" s="183" t="s">
        <v>145</v>
      </c>
      <c r="E462" s="191" t="s">
        <v>5</v>
      </c>
      <c r="F462" s="312" t="s">
        <v>1324</v>
      </c>
      <c r="G462" s="327"/>
      <c r="H462" s="315">
        <f>8.6*5.4+6.8*9.5+6.8+8.6</f>
        <v>126.43999999999998</v>
      </c>
      <c r="I462" s="194">
        <v>0</v>
      </c>
      <c r="L462" s="41"/>
      <c r="M462" s="195"/>
      <c r="N462" s="196"/>
      <c r="O462" s="196"/>
      <c r="P462" s="196"/>
      <c r="Q462" s="196"/>
      <c r="R462" s="196"/>
      <c r="S462" s="196"/>
      <c r="T462" s="197"/>
      <c r="AT462" s="191" t="s">
        <v>145</v>
      </c>
      <c r="AU462" s="191" t="s">
        <v>81</v>
      </c>
      <c r="AV462" s="12" t="s">
        <v>81</v>
      </c>
      <c r="AW462" s="12" t="s">
        <v>35</v>
      </c>
      <c r="AX462" s="12" t="s">
        <v>71</v>
      </c>
      <c r="AY462" s="191" t="s">
        <v>136</v>
      </c>
    </row>
    <row r="463" spans="2:65" s="12" customFormat="1" x14ac:dyDescent="0.3">
      <c r="B463" s="190"/>
      <c r="D463" s="183" t="s">
        <v>145</v>
      </c>
      <c r="E463" s="191" t="s">
        <v>5</v>
      </c>
      <c r="F463" s="321" t="s">
        <v>1290</v>
      </c>
      <c r="H463" s="193"/>
      <c r="I463" s="194">
        <v>0</v>
      </c>
      <c r="L463" s="41"/>
      <c r="M463" s="195"/>
      <c r="N463" s="196"/>
      <c r="O463" s="196"/>
      <c r="P463" s="196"/>
      <c r="Q463" s="196"/>
      <c r="R463" s="196"/>
      <c r="S463" s="196"/>
      <c r="T463" s="197"/>
      <c r="AT463" s="191" t="s">
        <v>145</v>
      </c>
      <c r="AU463" s="191" t="s">
        <v>81</v>
      </c>
      <c r="AV463" s="12" t="s">
        <v>143</v>
      </c>
      <c r="AW463" s="12" t="s">
        <v>35</v>
      </c>
      <c r="AX463" s="12" t="s">
        <v>79</v>
      </c>
      <c r="AY463" s="191" t="s">
        <v>136</v>
      </c>
    </row>
    <row r="464" spans="2:65" s="13" customFormat="1" x14ac:dyDescent="0.3">
      <c r="B464" s="198"/>
      <c r="D464" s="183"/>
      <c r="E464" s="199"/>
      <c r="F464" s="312" t="s">
        <v>1325</v>
      </c>
      <c r="H464" s="201">
        <f>7.5*10+10*3.2+10*2.4</f>
        <v>131</v>
      </c>
      <c r="I464" s="202">
        <v>0</v>
      </c>
      <c r="L464" s="41"/>
      <c r="M464" s="203"/>
      <c r="N464" s="358"/>
      <c r="O464" s="358"/>
      <c r="P464" s="358"/>
      <c r="Q464" s="358"/>
      <c r="R464" s="358"/>
      <c r="S464" s="358"/>
      <c r="T464" s="205"/>
      <c r="AT464" s="199"/>
      <c r="AU464" s="199"/>
      <c r="AY464" s="199"/>
    </row>
    <row r="465" spans="2:65" s="1" customFormat="1" ht="25.5" customHeight="1" x14ac:dyDescent="0.3">
      <c r="B465" s="169"/>
      <c r="C465" s="170" t="s">
        <v>451</v>
      </c>
      <c r="D465" s="170" t="s">
        <v>138</v>
      </c>
      <c r="E465" s="171" t="s">
        <v>452</v>
      </c>
      <c r="F465" s="172" t="s">
        <v>453</v>
      </c>
      <c r="G465" s="173" t="s">
        <v>179</v>
      </c>
      <c r="H465" s="320">
        <f>H467</f>
        <v>47136.6</v>
      </c>
      <c r="I465" s="175">
        <v>1.1499999999999999</v>
      </c>
      <c r="J465" s="176">
        <f>ROUND(I465*H465,2)</f>
        <v>54207.09</v>
      </c>
      <c r="K465" s="172" t="s">
        <v>142</v>
      </c>
      <c r="L465" s="41"/>
      <c r="M465" s="177" t="s">
        <v>5</v>
      </c>
      <c r="N465" s="178" t="s">
        <v>42</v>
      </c>
      <c r="O465" s="42"/>
      <c r="P465" s="179">
        <f>O465*H465</f>
        <v>0</v>
      </c>
      <c r="Q465" s="179">
        <v>0</v>
      </c>
      <c r="R465" s="179">
        <f>Q465*H465</f>
        <v>0</v>
      </c>
      <c r="S465" s="179">
        <v>0</v>
      </c>
      <c r="T465" s="180">
        <f>S465*H465</f>
        <v>0</v>
      </c>
      <c r="AR465" s="24" t="s">
        <v>143</v>
      </c>
      <c r="AT465" s="24" t="s">
        <v>138</v>
      </c>
      <c r="AU465" s="24" t="s">
        <v>81</v>
      </c>
      <c r="AY465" s="24" t="s">
        <v>136</v>
      </c>
      <c r="BE465" s="181">
        <f>IF(N465="základní",J465,0)</f>
        <v>54207.09</v>
      </c>
      <c r="BF465" s="181">
        <f>IF(N465="snížená",J465,0)</f>
        <v>0</v>
      </c>
      <c r="BG465" s="181">
        <f>IF(N465="zákl. přenesená",J465,0)</f>
        <v>0</v>
      </c>
      <c r="BH465" s="181">
        <f>IF(N465="sníž. přenesená",J465,0)</f>
        <v>0</v>
      </c>
      <c r="BI465" s="181">
        <f>IF(N465="nulová",J465,0)</f>
        <v>0</v>
      </c>
      <c r="BJ465" s="24" t="s">
        <v>79</v>
      </c>
      <c r="BK465" s="181">
        <f>ROUND(I465*H465,2)</f>
        <v>54207.09</v>
      </c>
      <c r="BL465" s="24" t="s">
        <v>143</v>
      </c>
      <c r="BM465" s="24" t="s">
        <v>454</v>
      </c>
    </row>
    <row r="466" spans="2:65" s="1" customFormat="1" ht="40.5" x14ac:dyDescent="0.3">
      <c r="B466" s="41"/>
      <c r="D466" s="183" t="s">
        <v>406</v>
      </c>
      <c r="F466" s="223" t="s">
        <v>455</v>
      </c>
      <c r="I466" s="224">
        <v>0</v>
      </c>
      <c r="L466" s="41"/>
      <c r="M466" s="225"/>
      <c r="N466" s="42"/>
      <c r="O466" s="42"/>
      <c r="P466" s="42"/>
      <c r="Q466" s="42"/>
      <c r="R466" s="42"/>
      <c r="S466" s="42"/>
      <c r="T466" s="70"/>
      <c r="AT466" s="24" t="s">
        <v>406</v>
      </c>
      <c r="AU466" s="24" t="s">
        <v>81</v>
      </c>
    </row>
    <row r="467" spans="2:65" s="12" customFormat="1" x14ac:dyDescent="0.3">
      <c r="B467" s="190"/>
      <c r="D467" s="183" t="s">
        <v>145</v>
      </c>
      <c r="F467" s="200" t="s">
        <v>1581</v>
      </c>
      <c r="H467" s="315">
        <v>47136.6</v>
      </c>
      <c r="I467" s="194">
        <v>0</v>
      </c>
      <c r="L467" s="41"/>
      <c r="M467" s="195"/>
      <c r="N467" s="196"/>
      <c r="O467" s="196"/>
      <c r="P467" s="196"/>
      <c r="Q467" s="196"/>
      <c r="R467" s="196"/>
      <c r="S467" s="196"/>
      <c r="T467" s="197"/>
      <c r="AT467" s="191" t="s">
        <v>145</v>
      </c>
      <c r="AU467" s="191" t="s">
        <v>81</v>
      </c>
      <c r="AV467" s="12" t="s">
        <v>81</v>
      </c>
      <c r="AW467" s="12" t="s">
        <v>6</v>
      </c>
      <c r="AX467" s="12" t="s">
        <v>79</v>
      </c>
      <c r="AY467" s="191" t="s">
        <v>136</v>
      </c>
    </row>
    <row r="468" spans="2:65" s="1" customFormat="1" ht="25.5" customHeight="1" x14ac:dyDescent="0.3">
      <c r="B468" s="169"/>
      <c r="C468" s="170" t="s">
        <v>456</v>
      </c>
      <c r="D468" s="170" t="s">
        <v>138</v>
      </c>
      <c r="E468" s="171" t="s">
        <v>457</v>
      </c>
      <c r="F468" s="172" t="s">
        <v>458</v>
      </c>
      <c r="G468" s="173" t="s">
        <v>179</v>
      </c>
      <c r="H468" s="320">
        <f>H456</f>
        <v>523.74</v>
      </c>
      <c r="I468" s="175">
        <v>34.5</v>
      </c>
      <c r="J468" s="176">
        <f>ROUND(I468*H468,2)</f>
        <v>18069.03</v>
      </c>
      <c r="K468" s="172" t="s">
        <v>142</v>
      </c>
      <c r="L468" s="41"/>
      <c r="M468" s="177" t="s">
        <v>5</v>
      </c>
      <c r="N468" s="178" t="s">
        <v>42</v>
      </c>
      <c r="O468" s="42"/>
      <c r="P468" s="179">
        <f>O468*H468</f>
        <v>0</v>
      </c>
      <c r="Q468" s="179">
        <v>0</v>
      </c>
      <c r="R468" s="179">
        <f>Q468*H468</f>
        <v>0</v>
      </c>
      <c r="S468" s="179">
        <v>0</v>
      </c>
      <c r="T468" s="180">
        <f>S468*H468</f>
        <v>0</v>
      </c>
      <c r="AR468" s="24" t="s">
        <v>143</v>
      </c>
      <c r="AT468" s="24" t="s">
        <v>138</v>
      </c>
      <c r="AU468" s="24" t="s">
        <v>81</v>
      </c>
      <c r="AY468" s="24" t="s">
        <v>136</v>
      </c>
      <c r="BE468" s="181">
        <f>IF(N468="základní",J468,0)</f>
        <v>18069.03</v>
      </c>
      <c r="BF468" s="181">
        <f>IF(N468="snížená",J468,0)</f>
        <v>0</v>
      </c>
      <c r="BG468" s="181">
        <f>IF(N468="zákl. přenesená",J468,0)</f>
        <v>0</v>
      </c>
      <c r="BH468" s="181">
        <f>IF(N468="sníž. přenesená",J468,0)</f>
        <v>0</v>
      </c>
      <c r="BI468" s="181">
        <f>IF(N468="nulová",J468,0)</f>
        <v>0</v>
      </c>
      <c r="BJ468" s="24" t="s">
        <v>79</v>
      </c>
      <c r="BK468" s="181">
        <f>ROUND(I468*H468,2)</f>
        <v>18069.03</v>
      </c>
      <c r="BL468" s="24" t="s">
        <v>143</v>
      </c>
      <c r="BM468" s="24" t="s">
        <v>459</v>
      </c>
    </row>
    <row r="469" spans="2:65" s="1" customFormat="1" ht="27" x14ac:dyDescent="0.3">
      <c r="B469" s="41"/>
      <c r="D469" s="183" t="s">
        <v>406</v>
      </c>
      <c r="F469" s="223" t="s">
        <v>450</v>
      </c>
      <c r="I469" s="224">
        <v>0</v>
      </c>
      <c r="L469" s="41"/>
      <c r="M469" s="225"/>
      <c r="N469" s="42"/>
      <c r="O469" s="42"/>
      <c r="P469" s="42"/>
      <c r="Q469" s="42"/>
      <c r="R469" s="42"/>
      <c r="S469" s="42"/>
      <c r="T469" s="70"/>
      <c r="AT469" s="24" t="s">
        <v>406</v>
      </c>
      <c r="AU469" s="24" t="s">
        <v>81</v>
      </c>
    </row>
    <row r="470" spans="2:65" s="399" customFormat="1" ht="25.5" customHeight="1" x14ac:dyDescent="0.3">
      <c r="B470" s="169"/>
      <c r="C470" s="170" t="s">
        <v>456</v>
      </c>
      <c r="D470" s="170" t="s">
        <v>138</v>
      </c>
      <c r="E470" s="171" t="s">
        <v>457</v>
      </c>
      <c r="F470" s="172" t="s">
        <v>1566</v>
      </c>
      <c r="G470" s="173" t="s">
        <v>844</v>
      </c>
      <c r="H470" s="320">
        <v>4</v>
      </c>
      <c r="I470" s="175">
        <v>5750</v>
      </c>
      <c r="J470" s="176">
        <f>ROUND(I470*H470,2)</f>
        <v>23000</v>
      </c>
      <c r="K470" s="172" t="s">
        <v>142</v>
      </c>
      <c r="L470" s="41"/>
      <c r="M470" s="177" t="s">
        <v>5</v>
      </c>
      <c r="N470" s="178" t="s">
        <v>42</v>
      </c>
      <c r="O470" s="400"/>
      <c r="P470" s="179">
        <f>O470*H470</f>
        <v>0</v>
      </c>
      <c r="Q470" s="179">
        <v>0</v>
      </c>
      <c r="R470" s="179">
        <f>Q470*H470</f>
        <v>0</v>
      </c>
      <c r="S470" s="179">
        <v>0</v>
      </c>
      <c r="T470" s="180">
        <f>S470*H470</f>
        <v>0</v>
      </c>
      <c r="AR470" s="24" t="s">
        <v>143</v>
      </c>
      <c r="AT470" s="24" t="s">
        <v>138</v>
      </c>
      <c r="AU470" s="24" t="s">
        <v>81</v>
      </c>
      <c r="AY470" s="24" t="s">
        <v>136</v>
      </c>
      <c r="BE470" s="181">
        <f>IF(N470="základní",J470,0)</f>
        <v>23000</v>
      </c>
      <c r="BF470" s="181">
        <f>IF(N470="snížená",J470,0)</f>
        <v>0</v>
      </c>
      <c r="BG470" s="181">
        <f>IF(N470="zákl. přenesená",J470,0)</f>
        <v>0</v>
      </c>
      <c r="BH470" s="181">
        <f>IF(N470="sníž. přenesená",J470,0)</f>
        <v>0</v>
      </c>
      <c r="BI470" s="181">
        <f>IF(N470="nulová",J470,0)</f>
        <v>0</v>
      </c>
      <c r="BJ470" s="24" t="s">
        <v>79</v>
      </c>
      <c r="BK470" s="181">
        <f>ROUND(I470*H470,2)</f>
        <v>23000</v>
      </c>
      <c r="BL470" s="24" t="s">
        <v>143</v>
      </c>
      <c r="BM470" s="24" t="s">
        <v>459</v>
      </c>
    </row>
    <row r="471" spans="2:65" s="1" customFormat="1" ht="16.5" customHeight="1" x14ac:dyDescent="0.3">
      <c r="B471" s="169"/>
      <c r="C471" s="170" t="s">
        <v>460</v>
      </c>
      <c r="D471" s="170" t="s">
        <v>138</v>
      </c>
      <c r="E471" s="171" t="s">
        <v>461</v>
      </c>
      <c r="F471" s="172" t="s">
        <v>462</v>
      </c>
      <c r="G471" s="173" t="s">
        <v>179</v>
      </c>
      <c r="H471" s="320">
        <f>H468</f>
        <v>523.74</v>
      </c>
      <c r="I471" s="175">
        <v>0</v>
      </c>
      <c r="J471" s="176">
        <f>ROUND(I471*H471,2)</f>
        <v>0</v>
      </c>
      <c r="K471" s="172" t="s">
        <v>142</v>
      </c>
      <c r="L471" s="41"/>
      <c r="M471" s="177" t="s">
        <v>5</v>
      </c>
      <c r="N471" s="178" t="s">
        <v>42</v>
      </c>
      <c r="O471" s="42"/>
      <c r="P471" s="179">
        <f>O471*H471</f>
        <v>0</v>
      </c>
      <c r="Q471" s="179">
        <v>0</v>
      </c>
      <c r="R471" s="179">
        <f>Q471*H471</f>
        <v>0</v>
      </c>
      <c r="S471" s="179">
        <v>0</v>
      </c>
      <c r="T471" s="180">
        <f>S471*H471</f>
        <v>0</v>
      </c>
      <c r="AR471" s="24" t="s">
        <v>143</v>
      </c>
      <c r="AT471" s="24" t="s">
        <v>138</v>
      </c>
      <c r="AU471" s="24" t="s">
        <v>81</v>
      </c>
      <c r="AY471" s="24" t="s">
        <v>136</v>
      </c>
      <c r="BE471" s="181">
        <f>IF(N471="základní",J471,0)</f>
        <v>0</v>
      </c>
      <c r="BF471" s="181">
        <f>IF(N471="snížená",J471,0)</f>
        <v>0</v>
      </c>
      <c r="BG471" s="181">
        <f>IF(N471="zákl. přenesená",J471,0)</f>
        <v>0</v>
      </c>
      <c r="BH471" s="181">
        <f>IF(N471="sníž. přenesená",J471,0)</f>
        <v>0</v>
      </c>
      <c r="BI471" s="181">
        <f>IF(N471="nulová",J471,0)</f>
        <v>0</v>
      </c>
      <c r="BJ471" s="24" t="s">
        <v>79</v>
      </c>
      <c r="BK471" s="181">
        <f>ROUND(I471*H471,2)</f>
        <v>0</v>
      </c>
      <c r="BL471" s="24" t="s">
        <v>143</v>
      </c>
      <c r="BM471" s="24" t="s">
        <v>463</v>
      </c>
    </row>
    <row r="472" spans="2:65" s="1" customFormat="1" ht="16.5" customHeight="1" x14ac:dyDescent="0.3">
      <c r="B472" s="169"/>
      <c r="C472" s="170" t="s">
        <v>464</v>
      </c>
      <c r="D472" s="170" t="s">
        <v>138</v>
      </c>
      <c r="E472" s="171" t="s">
        <v>465</v>
      </c>
      <c r="F472" s="172" t="s">
        <v>466</v>
      </c>
      <c r="G472" s="173" t="s">
        <v>179</v>
      </c>
      <c r="H472" s="320">
        <f>H465</f>
        <v>47136.6</v>
      </c>
      <c r="I472" s="175">
        <v>0</v>
      </c>
      <c r="J472" s="176">
        <f>ROUND(I472*H472,2)</f>
        <v>0</v>
      </c>
      <c r="K472" s="172" t="s">
        <v>142</v>
      </c>
      <c r="L472" s="41"/>
      <c r="M472" s="177" t="s">
        <v>5</v>
      </c>
      <c r="N472" s="178" t="s">
        <v>42</v>
      </c>
      <c r="O472" s="42"/>
      <c r="P472" s="179">
        <f>O472*H472</f>
        <v>0</v>
      </c>
      <c r="Q472" s="179">
        <v>0</v>
      </c>
      <c r="R472" s="179">
        <f>Q472*H472</f>
        <v>0</v>
      </c>
      <c r="S472" s="179">
        <v>0</v>
      </c>
      <c r="T472" s="180">
        <f>S472*H472</f>
        <v>0</v>
      </c>
      <c r="AR472" s="24" t="s">
        <v>143</v>
      </c>
      <c r="AT472" s="24" t="s">
        <v>138</v>
      </c>
      <c r="AU472" s="24" t="s">
        <v>81</v>
      </c>
      <c r="AY472" s="24" t="s">
        <v>136</v>
      </c>
      <c r="BE472" s="181">
        <f>IF(N472="základní",J472,0)</f>
        <v>0</v>
      </c>
      <c r="BF472" s="181">
        <f>IF(N472="snížená",J472,0)</f>
        <v>0</v>
      </c>
      <c r="BG472" s="181">
        <f>IF(N472="zákl. přenesená",J472,0)</f>
        <v>0</v>
      </c>
      <c r="BH472" s="181">
        <f>IF(N472="sníž. přenesená",J472,0)</f>
        <v>0</v>
      </c>
      <c r="BI472" s="181">
        <f>IF(N472="nulová",J472,0)</f>
        <v>0</v>
      </c>
      <c r="BJ472" s="24" t="s">
        <v>79</v>
      </c>
      <c r="BK472" s="181">
        <f>ROUND(I472*H472,2)</f>
        <v>0</v>
      </c>
      <c r="BL472" s="24" t="s">
        <v>143</v>
      </c>
      <c r="BM472" s="24" t="s">
        <v>467</v>
      </c>
    </row>
    <row r="473" spans="2:65" s="1" customFormat="1" ht="40.5" x14ac:dyDescent="0.3">
      <c r="B473" s="41"/>
      <c r="D473" s="183" t="s">
        <v>406</v>
      </c>
      <c r="F473" s="223" t="s">
        <v>468</v>
      </c>
      <c r="I473" s="224">
        <v>0</v>
      </c>
      <c r="L473" s="41"/>
      <c r="M473" s="225"/>
      <c r="N473" s="42"/>
      <c r="O473" s="42"/>
      <c r="P473" s="42"/>
      <c r="Q473" s="42"/>
      <c r="R473" s="42"/>
      <c r="S473" s="42"/>
      <c r="T473" s="70"/>
      <c r="AT473" s="24" t="s">
        <v>406</v>
      </c>
      <c r="AU473" s="24" t="s">
        <v>81</v>
      </c>
    </row>
    <row r="474" spans="2:65" s="12" customFormat="1" x14ac:dyDescent="0.3">
      <c r="B474" s="190"/>
      <c r="D474" s="183" t="s">
        <v>145</v>
      </c>
      <c r="F474" s="192"/>
      <c r="H474" s="193"/>
      <c r="I474" s="194">
        <v>0</v>
      </c>
      <c r="L474" s="41"/>
      <c r="M474" s="195"/>
      <c r="N474" s="196"/>
      <c r="O474" s="196"/>
      <c r="P474" s="196"/>
      <c r="Q474" s="196"/>
      <c r="R474" s="196"/>
      <c r="S474" s="196"/>
      <c r="T474" s="197"/>
      <c r="AT474" s="191" t="s">
        <v>145</v>
      </c>
      <c r="AU474" s="191" t="s">
        <v>81</v>
      </c>
      <c r="AV474" s="12" t="s">
        <v>81</v>
      </c>
      <c r="AW474" s="12" t="s">
        <v>6</v>
      </c>
      <c r="AX474" s="12" t="s">
        <v>79</v>
      </c>
      <c r="AY474" s="191" t="s">
        <v>136</v>
      </c>
    </row>
    <row r="475" spans="2:65" s="1" customFormat="1" ht="16.5" customHeight="1" x14ac:dyDescent="0.3">
      <c r="B475" s="169"/>
      <c r="C475" s="170" t="s">
        <v>469</v>
      </c>
      <c r="D475" s="170" t="s">
        <v>138</v>
      </c>
      <c r="E475" s="171" t="s">
        <v>470</v>
      </c>
      <c r="F475" s="172" t="s">
        <v>471</v>
      </c>
      <c r="G475" s="173" t="s">
        <v>179</v>
      </c>
      <c r="H475" s="320">
        <f>H471</f>
        <v>523.74</v>
      </c>
      <c r="I475" s="175">
        <v>0</v>
      </c>
      <c r="J475" s="176">
        <f>ROUND(I475*H475,2)</f>
        <v>0</v>
      </c>
      <c r="K475" s="172" t="s">
        <v>142</v>
      </c>
      <c r="L475" s="41"/>
      <c r="M475" s="177" t="s">
        <v>5</v>
      </c>
      <c r="N475" s="178" t="s">
        <v>42</v>
      </c>
      <c r="O475" s="42"/>
      <c r="P475" s="179">
        <f>O475*H475</f>
        <v>0</v>
      </c>
      <c r="Q475" s="179">
        <v>0</v>
      </c>
      <c r="R475" s="179">
        <f>Q475*H475</f>
        <v>0</v>
      </c>
      <c r="S475" s="179">
        <v>0</v>
      </c>
      <c r="T475" s="180">
        <f>S475*H475</f>
        <v>0</v>
      </c>
      <c r="AR475" s="24" t="s">
        <v>143</v>
      </c>
      <c r="AT475" s="24" t="s">
        <v>138</v>
      </c>
      <c r="AU475" s="24" t="s">
        <v>81</v>
      </c>
      <c r="AY475" s="24" t="s">
        <v>136</v>
      </c>
      <c r="BE475" s="181">
        <f>IF(N475="základní",J475,0)</f>
        <v>0</v>
      </c>
      <c r="BF475" s="181">
        <f>IF(N475="snížená",J475,0)</f>
        <v>0</v>
      </c>
      <c r="BG475" s="181">
        <f>IF(N475="zákl. přenesená",J475,0)</f>
        <v>0</v>
      </c>
      <c r="BH475" s="181">
        <f>IF(N475="sníž. přenesená",J475,0)</f>
        <v>0</v>
      </c>
      <c r="BI475" s="181">
        <f>IF(N475="nulová",J475,0)</f>
        <v>0</v>
      </c>
      <c r="BJ475" s="24" t="s">
        <v>79</v>
      </c>
      <c r="BK475" s="181">
        <f>ROUND(I475*H475,2)</f>
        <v>0</v>
      </c>
      <c r="BL475" s="24" t="s">
        <v>143</v>
      </c>
      <c r="BM475" s="24" t="s">
        <v>472</v>
      </c>
    </row>
    <row r="476" spans="2:65" s="1" customFormat="1" ht="25.5" customHeight="1" x14ac:dyDescent="0.3">
      <c r="B476" s="169"/>
      <c r="C476" s="393" t="s">
        <v>473</v>
      </c>
      <c r="D476" s="170" t="s">
        <v>138</v>
      </c>
      <c r="E476" s="171" t="s">
        <v>474</v>
      </c>
      <c r="F476" s="172" t="s">
        <v>475</v>
      </c>
      <c r="G476" s="173" t="s">
        <v>179</v>
      </c>
      <c r="H476" s="320">
        <f>H478</f>
        <v>284.8</v>
      </c>
      <c r="I476" s="175">
        <v>57.499999999999993</v>
      </c>
      <c r="J476" s="176">
        <f>ROUND(I476*H476,2)</f>
        <v>16376</v>
      </c>
      <c r="K476" s="172" t="s">
        <v>142</v>
      </c>
      <c r="L476" s="41"/>
      <c r="M476" s="177" t="s">
        <v>5</v>
      </c>
      <c r="N476" s="178" t="s">
        <v>42</v>
      </c>
      <c r="O476" s="42"/>
      <c r="P476" s="179">
        <f>O476*H476</f>
        <v>0</v>
      </c>
      <c r="Q476" s="179">
        <v>1.2999999999999999E-4</v>
      </c>
      <c r="R476" s="179">
        <f>Q476*H476</f>
        <v>3.7024000000000001E-2</v>
      </c>
      <c r="S476" s="179">
        <v>0</v>
      </c>
      <c r="T476" s="180">
        <f>S476*H476</f>
        <v>0</v>
      </c>
      <c r="AR476" s="24" t="s">
        <v>143</v>
      </c>
      <c r="AT476" s="24" t="s">
        <v>138</v>
      </c>
      <c r="AU476" s="24" t="s">
        <v>81</v>
      </c>
      <c r="AY476" s="24" t="s">
        <v>136</v>
      </c>
      <c r="BE476" s="181">
        <f>IF(N476="základní",J476,0)</f>
        <v>16376</v>
      </c>
      <c r="BF476" s="181">
        <f>IF(N476="snížená",J476,0)</f>
        <v>0</v>
      </c>
      <c r="BG476" s="181">
        <f>IF(N476="zákl. přenesená",J476,0)</f>
        <v>0</v>
      </c>
      <c r="BH476" s="181">
        <f>IF(N476="sníž. přenesená",J476,0)</f>
        <v>0</v>
      </c>
      <c r="BI476" s="181">
        <f>IF(N476="nulová",J476,0)</f>
        <v>0</v>
      </c>
      <c r="BJ476" s="24" t="s">
        <v>79</v>
      </c>
      <c r="BK476" s="181">
        <f>ROUND(I476*H476,2)</f>
        <v>16376</v>
      </c>
      <c r="BL476" s="24" t="s">
        <v>143</v>
      </c>
      <c r="BM476" s="24" t="s">
        <v>476</v>
      </c>
    </row>
    <row r="477" spans="2:65" s="12" customFormat="1" x14ac:dyDescent="0.3">
      <c r="B477" s="190"/>
      <c r="D477" s="183" t="s">
        <v>145</v>
      </c>
      <c r="E477" s="191" t="s">
        <v>5</v>
      </c>
      <c r="F477" s="192"/>
      <c r="H477" s="193"/>
      <c r="I477" s="194">
        <v>0</v>
      </c>
      <c r="L477" s="41"/>
      <c r="M477" s="195"/>
      <c r="N477" s="196"/>
      <c r="O477" s="196"/>
      <c r="P477" s="196"/>
      <c r="Q477" s="196"/>
      <c r="R477" s="196"/>
      <c r="S477" s="196"/>
      <c r="T477" s="197"/>
      <c r="AT477" s="191" t="s">
        <v>145</v>
      </c>
      <c r="AU477" s="191" t="s">
        <v>81</v>
      </c>
      <c r="AV477" s="12" t="s">
        <v>81</v>
      </c>
      <c r="AW477" s="12" t="s">
        <v>35</v>
      </c>
      <c r="AX477" s="12" t="s">
        <v>79</v>
      </c>
      <c r="AY477" s="191" t="s">
        <v>136</v>
      </c>
    </row>
    <row r="478" spans="2:65" s="1" customFormat="1" ht="16.5" customHeight="1" x14ac:dyDescent="0.3">
      <c r="B478" s="169"/>
      <c r="C478" s="393" t="s">
        <v>477</v>
      </c>
      <c r="D478" s="170" t="s">
        <v>138</v>
      </c>
      <c r="E478" s="171" t="s">
        <v>478</v>
      </c>
      <c r="F478" s="172" t="s">
        <v>479</v>
      </c>
      <c r="G478" s="173" t="s">
        <v>179</v>
      </c>
      <c r="H478" s="313">
        <f>SUM(H479:H480)</f>
        <v>284.8</v>
      </c>
      <c r="I478" s="175">
        <v>114.99999999999999</v>
      </c>
      <c r="J478" s="176">
        <f>ROUND(I478*H478,2)</f>
        <v>32752</v>
      </c>
      <c r="K478" s="172" t="s">
        <v>142</v>
      </c>
      <c r="L478" s="41"/>
      <c r="M478" s="177" t="s">
        <v>5</v>
      </c>
      <c r="N478" s="178" t="s">
        <v>42</v>
      </c>
      <c r="O478" s="42"/>
      <c r="P478" s="179">
        <f>O478*H478</f>
        <v>0</v>
      </c>
      <c r="Q478" s="179">
        <v>4.0000000000000003E-5</v>
      </c>
      <c r="R478" s="179">
        <f>Q478*H478</f>
        <v>1.1392000000000001E-2</v>
      </c>
      <c r="S478" s="179">
        <v>0</v>
      </c>
      <c r="T478" s="180">
        <f>S478*H478</f>
        <v>0</v>
      </c>
      <c r="AR478" s="24" t="s">
        <v>143</v>
      </c>
      <c r="AT478" s="24" t="s">
        <v>138</v>
      </c>
      <c r="AU478" s="24" t="s">
        <v>81</v>
      </c>
      <c r="AY478" s="24" t="s">
        <v>136</v>
      </c>
      <c r="BE478" s="181">
        <f>IF(N478="základní",J478,0)</f>
        <v>32752</v>
      </c>
      <c r="BF478" s="181">
        <f>IF(N478="snížená",J478,0)</f>
        <v>0</v>
      </c>
      <c r="BG478" s="181">
        <f>IF(N478="zákl. přenesená",J478,0)</f>
        <v>0</v>
      </c>
      <c r="BH478" s="181">
        <f>IF(N478="sníž. přenesená",J478,0)</f>
        <v>0</v>
      </c>
      <c r="BI478" s="181">
        <f>IF(N478="nulová",J478,0)</f>
        <v>0</v>
      </c>
      <c r="BJ478" s="24" t="s">
        <v>79</v>
      </c>
      <c r="BK478" s="181">
        <f>ROUND(I478*H478,2)</f>
        <v>32752</v>
      </c>
      <c r="BL478" s="24" t="s">
        <v>143</v>
      </c>
      <c r="BM478" s="24" t="s">
        <v>480</v>
      </c>
    </row>
    <row r="479" spans="2:65" s="12" customFormat="1" x14ac:dyDescent="0.3">
      <c r="B479" s="190"/>
      <c r="D479" s="183" t="s">
        <v>145</v>
      </c>
      <c r="E479" s="191" t="s">
        <v>5</v>
      </c>
      <c r="F479" s="312" t="s">
        <v>1535</v>
      </c>
      <c r="H479" s="315">
        <v>117.8</v>
      </c>
      <c r="I479" s="194">
        <v>0</v>
      </c>
      <c r="J479" s="176">
        <f t="shared" ref="J479:J482" si="9">ROUND(I479*H479,2)</f>
        <v>0</v>
      </c>
      <c r="L479" s="41"/>
      <c r="M479" s="195"/>
      <c r="N479" s="196"/>
      <c r="O479" s="196"/>
      <c r="P479" s="196"/>
      <c r="Q479" s="196"/>
      <c r="R479" s="196"/>
      <c r="S479" s="196"/>
      <c r="T479" s="197"/>
      <c r="AT479" s="191" t="s">
        <v>145</v>
      </c>
      <c r="AU479" s="191" t="s">
        <v>81</v>
      </c>
      <c r="AV479" s="12" t="s">
        <v>81</v>
      </c>
      <c r="AW479" s="12" t="s">
        <v>35</v>
      </c>
      <c r="AX479" s="12" t="s">
        <v>79</v>
      </c>
      <c r="AY479" s="191" t="s">
        <v>136</v>
      </c>
    </row>
    <row r="480" spans="2:65" s="12" customFormat="1" x14ac:dyDescent="0.3">
      <c r="B480" s="190"/>
      <c r="D480" s="183"/>
      <c r="E480" s="191"/>
      <c r="F480" s="312" t="s">
        <v>1536</v>
      </c>
      <c r="H480" s="315">
        <f>50+53.2+63.8</f>
        <v>167</v>
      </c>
      <c r="I480" s="194">
        <v>0</v>
      </c>
      <c r="J480" s="176">
        <f t="shared" si="9"/>
        <v>0</v>
      </c>
      <c r="L480" s="41"/>
      <c r="M480" s="195"/>
      <c r="N480" s="328"/>
      <c r="O480" s="328"/>
      <c r="P480" s="328"/>
      <c r="Q480" s="328"/>
      <c r="R480" s="328"/>
      <c r="S480" s="328"/>
      <c r="T480" s="197"/>
      <c r="AT480" s="191"/>
      <c r="AU480" s="191"/>
      <c r="AY480" s="191"/>
    </row>
    <row r="481" spans="2:65" s="310" customFormat="1" ht="16.5" customHeight="1" x14ac:dyDescent="0.3">
      <c r="B481" s="169"/>
      <c r="C481" s="393"/>
      <c r="D481" s="170"/>
      <c r="E481" s="171"/>
      <c r="F481" s="172" t="s">
        <v>1552</v>
      </c>
      <c r="G481" s="173" t="s">
        <v>222</v>
      </c>
      <c r="H481" s="313">
        <v>3</v>
      </c>
      <c r="I481" s="175">
        <v>1092.5</v>
      </c>
      <c r="J481" s="176">
        <f t="shared" si="9"/>
        <v>3277.5</v>
      </c>
      <c r="K481" s="172"/>
      <c r="L481" s="41"/>
      <c r="M481" s="177"/>
      <c r="N481" s="178"/>
      <c r="O481" s="311"/>
      <c r="P481" s="179"/>
      <c r="Q481" s="179"/>
      <c r="R481" s="179"/>
      <c r="S481" s="179"/>
      <c r="T481" s="180"/>
      <c r="AR481" s="24"/>
      <c r="AT481" s="24"/>
      <c r="AU481" s="24"/>
      <c r="AY481" s="24"/>
      <c r="BE481" s="181"/>
      <c r="BF481" s="181"/>
      <c r="BG481" s="181"/>
      <c r="BH481" s="181"/>
      <c r="BI481" s="181"/>
      <c r="BJ481" s="24"/>
      <c r="BK481" s="181"/>
      <c r="BL481" s="24"/>
      <c r="BM481" s="24"/>
    </row>
    <row r="482" spans="2:65" s="310" customFormat="1" ht="16.5" customHeight="1" x14ac:dyDescent="0.3">
      <c r="B482" s="169"/>
      <c r="C482" s="393"/>
      <c r="D482" s="170"/>
      <c r="E482" s="171"/>
      <c r="F482" s="172" t="s">
        <v>1553</v>
      </c>
      <c r="G482" s="173" t="s">
        <v>222</v>
      </c>
      <c r="H482" s="313">
        <v>1</v>
      </c>
      <c r="I482" s="175">
        <v>1092.5</v>
      </c>
      <c r="J482" s="176">
        <f t="shared" si="9"/>
        <v>1092.5</v>
      </c>
      <c r="K482" s="172"/>
      <c r="L482" s="41"/>
      <c r="M482" s="177"/>
      <c r="N482" s="178"/>
      <c r="O482" s="311"/>
      <c r="P482" s="179"/>
      <c r="Q482" s="179"/>
      <c r="R482" s="179"/>
      <c r="S482" s="179"/>
      <c r="T482" s="180"/>
      <c r="AR482" s="24"/>
      <c r="AT482" s="24"/>
      <c r="AU482" s="24"/>
      <c r="AY482" s="24"/>
      <c r="BE482" s="181"/>
      <c r="BF482" s="181"/>
      <c r="BG482" s="181"/>
      <c r="BH482" s="181"/>
      <c r="BI482" s="181"/>
      <c r="BJ482" s="24"/>
      <c r="BK482" s="181"/>
      <c r="BL482" s="24"/>
      <c r="BM482" s="24"/>
    </row>
    <row r="483" spans="2:65" s="10" customFormat="1" ht="29.85" customHeight="1" x14ac:dyDescent="0.3">
      <c r="B483" s="156"/>
      <c r="D483" s="157" t="s">
        <v>70</v>
      </c>
      <c r="E483" s="167" t="s">
        <v>481</v>
      </c>
      <c r="F483" s="167" t="s">
        <v>482</v>
      </c>
      <c r="I483" s="159">
        <v>0</v>
      </c>
      <c r="J483" s="168">
        <f>BK483</f>
        <v>100991</v>
      </c>
      <c r="L483" s="41"/>
      <c r="M483" s="161"/>
      <c r="N483" s="162"/>
      <c r="O483" s="162"/>
      <c r="P483" s="163">
        <f>P484</f>
        <v>0</v>
      </c>
      <c r="Q483" s="162"/>
      <c r="R483" s="163">
        <f>R484</f>
        <v>0</v>
      </c>
      <c r="S483" s="162"/>
      <c r="T483" s="164">
        <f>T484</f>
        <v>0</v>
      </c>
      <c r="AR483" s="157" t="s">
        <v>79</v>
      </c>
      <c r="AT483" s="165" t="s">
        <v>70</v>
      </c>
      <c r="AU483" s="165" t="s">
        <v>79</v>
      </c>
      <c r="AY483" s="157" t="s">
        <v>136</v>
      </c>
      <c r="BK483" s="166">
        <f>BK484</f>
        <v>100991</v>
      </c>
    </row>
    <row r="484" spans="2:65" s="1" customFormat="1" ht="16.5" customHeight="1" x14ac:dyDescent="0.3">
      <c r="B484" s="169"/>
      <c r="C484" s="170" t="s">
        <v>483</v>
      </c>
      <c r="D484" s="170" t="s">
        <v>138</v>
      </c>
      <c r="E484" s="171" t="s">
        <v>484</v>
      </c>
      <c r="F484" s="172" t="s">
        <v>485</v>
      </c>
      <c r="G484" s="173" t="s">
        <v>164</v>
      </c>
      <c r="H484" s="174">
        <v>516.57799999999997</v>
      </c>
      <c r="I484" s="175">
        <v>195.49999999999997</v>
      </c>
      <c r="J484" s="176">
        <f>ROUND(I484*H484,2)</f>
        <v>100991</v>
      </c>
      <c r="K484" s="172" t="s">
        <v>142</v>
      </c>
      <c r="L484" s="41"/>
      <c r="M484" s="177" t="s">
        <v>5</v>
      </c>
      <c r="N484" s="178" t="s">
        <v>42</v>
      </c>
      <c r="O484" s="42"/>
      <c r="P484" s="179">
        <f>O484*H484</f>
        <v>0</v>
      </c>
      <c r="Q484" s="179">
        <v>0</v>
      </c>
      <c r="R484" s="179">
        <f>Q484*H484</f>
        <v>0</v>
      </c>
      <c r="S484" s="179">
        <v>0</v>
      </c>
      <c r="T484" s="180">
        <f>S484*H484</f>
        <v>0</v>
      </c>
      <c r="AR484" s="24" t="s">
        <v>143</v>
      </c>
      <c r="AT484" s="24" t="s">
        <v>138</v>
      </c>
      <c r="AU484" s="24" t="s">
        <v>81</v>
      </c>
      <c r="AY484" s="24" t="s">
        <v>136</v>
      </c>
      <c r="BE484" s="181">
        <f>IF(N484="základní",J484,0)</f>
        <v>100991</v>
      </c>
      <c r="BF484" s="181">
        <f>IF(N484="snížená",J484,0)</f>
        <v>0</v>
      </c>
      <c r="BG484" s="181">
        <f>IF(N484="zákl. přenesená",J484,0)</f>
        <v>0</v>
      </c>
      <c r="BH484" s="181">
        <f>IF(N484="sníž. přenesená",J484,0)</f>
        <v>0</v>
      </c>
      <c r="BI484" s="181">
        <f>IF(N484="nulová",J484,0)</f>
        <v>0</v>
      </c>
      <c r="BJ484" s="24" t="s">
        <v>79</v>
      </c>
      <c r="BK484" s="181">
        <f>ROUND(I484*H484,2)</f>
        <v>100991</v>
      </c>
      <c r="BL484" s="24" t="s">
        <v>143</v>
      </c>
      <c r="BM484" s="24" t="s">
        <v>486</v>
      </c>
    </row>
    <row r="485" spans="2:65" s="10" customFormat="1" ht="37.35" customHeight="1" x14ac:dyDescent="0.35">
      <c r="B485" s="156"/>
      <c r="D485" s="157" t="s">
        <v>70</v>
      </c>
      <c r="E485" s="158" t="s">
        <v>487</v>
      </c>
      <c r="F485" s="158" t="s">
        <v>488</v>
      </c>
      <c r="I485" s="159">
        <v>0</v>
      </c>
      <c r="J485" s="160">
        <f>SUM(J486+J547+J596+J638+J689+J703+J729+J735+J761+J795+J834+J857+J879)</f>
        <v>4138826.429</v>
      </c>
      <c r="L485" s="433"/>
      <c r="M485" s="161"/>
      <c r="N485" s="162"/>
      <c r="O485" s="162"/>
      <c r="P485" s="163">
        <f>P486+P547+P596+P638+P689+P703+P729+P735+P761+P795+P834+P857+P879</f>
        <v>0</v>
      </c>
      <c r="Q485" s="162"/>
      <c r="R485" s="163">
        <f>R486+R547+R596+R638+R689+R703+R729+R735+R761+R795+R834+R857+R879</f>
        <v>38.032594037999999</v>
      </c>
      <c r="S485" s="162"/>
      <c r="T485" s="164">
        <f>T486+T547+T596+T638+T689+T703+T729+T735+T761+T795+T834+T857+T879</f>
        <v>0</v>
      </c>
      <c r="AR485" s="157" t="s">
        <v>81</v>
      </c>
      <c r="AT485" s="165" t="s">
        <v>70</v>
      </c>
      <c r="AU485" s="165" t="s">
        <v>71</v>
      </c>
      <c r="AY485" s="157" t="s">
        <v>136</v>
      </c>
      <c r="BK485" s="166">
        <f>BK486+BK547+BK596+BK638+BK689+BK703+BK729+BK735+BK761+BK795+BK834+BK857+BK879</f>
        <v>3650258.3300000005</v>
      </c>
    </row>
    <row r="486" spans="2:65" s="10" customFormat="1" ht="19.899999999999999" customHeight="1" x14ac:dyDescent="0.3">
      <c r="B486" s="156"/>
      <c r="D486" s="157" t="s">
        <v>70</v>
      </c>
      <c r="E486" s="167" t="s">
        <v>489</v>
      </c>
      <c r="F486" s="167" t="s">
        <v>490</v>
      </c>
      <c r="I486" s="159">
        <v>0</v>
      </c>
      <c r="J486" s="168">
        <f>SUM(J487:J546)</f>
        <v>109909.04000000001</v>
      </c>
      <c r="L486" s="41"/>
      <c r="M486" s="161"/>
      <c r="N486" s="162"/>
      <c r="O486" s="162"/>
      <c r="P486" s="163">
        <f>SUM(P487:P546)</f>
        <v>0</v>
      </c>
      <c r="Q486" s="162"/>
      <c r="R486" s="163">
        <f>SUM(R487:R546)</f>
        <v>2.0685334499999999</v>
      </c>
      <c r="S486" s="162"/>
      <c r="T486" s="164">
        <f>SUM(T487:T546)</f>
        <v>0</v>
      </c>
      <c r="AR486" s="157" t="s">
        <v>81</v>
      </c>
      <c r="AT486" s="165" t="s">
        <v>70</v>
      </c>
      <c r="AU486" s="165" t="s">
        <v>79</v>
      </c>
      <c r="AY486" s="157" t="s">
        <v>136</v>
      </c>
      <c r="BK486" s="166">
        <f>SUM(BK487:BK546)</f>
        <v>97714.44</v>
      </c>
    </row>
    <row r="487" spans="2:65" s="1" customFormat="1" ht="25.5" customHeight="1" x14ac:dyDescent="0.3">
      <c r="B487" s="169"/>
      <c r="C487" s="170" t="s">
        <v>491</v>
      </c>
      <c r="D487" s="170" t="s">
        <v>138</v>
      </c>
      <c r="E487" s="171" t="s">
        <v>492</v>
      </c>
      <c r="F487" s="172" t="s">
        <v>493</v>
      </c>
      <c r="G487" s="173" t="s">
        <v>179</v>
      </c>
      <c r="H487" s="322">
        <v>139.19999999999999</v>
      </c>
      <c r="I487" s="175">
        <v>17.25</v>
      </c>
      <c r="J487" s="176">
        <f>ROUND(I487*H487,2)</f>
        <v>2401.1999999999998</v>
      </c>
      <c r="K487" s="172" t="s">
        <v>142</v>
      </c>
      <c r="L487" s="41"/>
      <c r="M487" s="177" t="s">
        <v>5</v>
      </c>
      <c r="N487" s="178" t="s">
        <v>42</v>
      </c>
      <c r="O487" s="42"/>
      <c r="P487" s="179">
        <f>O487*H487</f>
        <v>0</v>
      </c>
      <c r="Q487" s="179">
        <v>0</v>
      </c>
      <c r="R487" s="179">
        <f>Q487*H487</f>
        <v>0</v>
      </c>
      <c r="S487" s="179">
        <v>0</v>
      </c>
      <c r="T487" s="180">
        <f>S487*H487</f>
        <v>0</v>
      </c>
      <c r="AR487" s="24" t="s">
        <v>204</v>
      </c>
      <c r="AT487" s="24" t="s">
        <v>138</v>
      </c>
      <c r="AU487" s="24" t="s">
        <v>81</v>
      </c>
      <c r="AY487" s="24" t="s">
        <v>136</v>
      </c>
      <c r="BE487" s="181">
        <f>IF(N487="základní",J487,0)</f>
        <v>2401.1999999999998</v>
      </c>
      <c r="BF487" s="181">
        <f>IF(N487="snížená",J487,0)</f>
        <v>0</v>
      </c>
      <c r="BG487" s="181">
        <f>IF(N487="zákl. přenesená",J487,0)</f>
        <v>0</v>
      </c>
      <c r="BH487" s="181">
        <f>IF(N487="sníž. přenesená",J487,0)</f>
        <v>0</v>
      </c>
      <c r="BI487" s="181">
        <f>IF(N487="nulová",J487,0)</f>
        <v>0</v>
      </c>
      <c r="BJ487" s="24" t="s">
        <v>79</v>
      </c>
      <c r="BK487" s="181">
        <f>ROUND(I487*H487,2)</f>
        <v>2401.1999999999998</v>
      </c>
      <c r="BL487" s="24" t="s">
        <v>204</v>
      </c>
      <c r="BM487" s="24" t="s">
        <v>494</v>
      </c>
    </row>
    <row r="488" spans="2:65" s="12" customFormat="1" x14ac:dyDescent="0.3">
      <c r="B488" s="190"/>
      <c r="D488" s="183" t="s">
        <v>145</v>
      </c>
      <c r="E488" s="191" t="s">
        <v>5</v>
      </c>
      <c r="F488" s="316" t="s">
        <v>273</v>
      </c>
      <c r="G488" s="317"/>
      <c r="H488" s="318">
        <v>139.19999999999999</v>
      </c>
      <c r="I488" s="194">
        <v>0</v>
      </c>
      <c r="L488" s="41"/>
      <c r="M488" s="195"/>
      <c r="N488" s="196"/>
      <c r="O488" s="196"/>
      <c r="P488" s="196"/>
      <c r="Q488" s="196"/>
      <c r="R488" s="196"/>
      <c r="S488" s="196"/>
      <c r="T488" s="197"/>
      <c r="AT488" s="191" t="s">
        <v>145</v>
      </c>
      <c r="AU488" s="191" t="s">
        <v>81</v>
      </c>
      <c r="AV488" s="12" t="s">
        <v>81</v>
      </c>
      <c r="AW488" s="12" t="s">
        <v>35</v>
      </c>
      <c r="AX488" s="12" t="s">
        <v>79</v>
      </c>
      <c r="AY488" s="191" t="s">
        <v>136</v>
      </c>
    </row>
    <row r="489" spans="2:65" s="1" customFormat="1" ht="16.5" customHeight="1" x14ac:dyDescent="0.3">
      <c r="B489" s="169"/>
      <c r="C489" s="206" t="s">
        <v>495</v>
      </c>
      <c r="D489" s="206" t="s">
        <v>355</v>
      </c>
      <c r="E489" s="207" t="s">
        <v>496</v>
      </c>
      <c r="F489" s="208" t="s">
        <v>497</v>
      </c>
      <c r="G489" s="209" t="s">
        <v>164</v>
      </c>
      <c r="H489" s="355">
        <f>H491</f>
        <v>5.568E-2</v>
      </c>
      <c r="I489" s="211">
        <v>63249.999999999993</v>
      </c>
      <c r="J489" s="212">
        <f>ROUND(I489*H489,2)</f>
        <v>3521.76</v>
      </c>
      <c r="K489" s="208" t="s">
        <v>142</v>
      </c>
      <c r="L489" s="41"/>
      <c r="M489" s="213" t="s">
        <v>5</v>
      </c>
      <c r="N489" s="214" t="s">
        <v>42</v>
      </c>
      <c r="O489" s="42"/>
      <c r="P489" s="179">
        <f>O489*H489</f>
        <v>0</v>
      </c>
      <c r="Q489" s="179">
        <v>1</v>
      </c>
      <c r="R489" s="179">
        <f>Q489*H489</f>
        <v>5.568E-2</v>
      </c>
      <c r="S489" s="179">
        <v>0</v>
      </c>
      <c r="T489" s="180">
        <f>S489*H489</f>
        <v>0</v>
      </c>
      <c r="AR489" s="24" t="s">
        <v>283</v>
      </c>
      <c r="AT489" s="24" t="s">
        <v>355</v>
      </c>
      <c r="AU489" s="24" t="s">
        <v>81</v>
      </c>
      <c r="AY489" s="24" t="s">
        <v>136</v>
      </c>
      <c r="BE489" s="181">
        <f>IF(N489="základní",J489,0)</f>
        <v>3521.76</v>
      </c>
      <c r="BF489" s="181">
        <f>IF(N489="snížená",J489,0)</f>
        <v>0</v>
      </c>
      <c r="BG489" s="181">
        <f>IF(N489="zákl. přenesená",J489,0)</f>
        <v>0</v>
      </c>
      <c r="BH489" s="181">
        <f>IF(N489="sníž. přenesená",J489,0)</f>
        <v>0</v>
      </c>
      <c r="BI489" s="181">
        <f>IF(N489="nulová",J489,0)</f>
        <v>0</v>
      </c>
      <c r="BJ489" s="24" t="s">
        <v>79</v>
      </c>
      <c r="BK489" s="181">
        <f>ROUND(I489*H489,2)</f>
        <v>3521.76</v>
      </c>
      <c r="BL489" s="24" t="s">
        <v>204</v>
      </c>
      <c r="BM489" s="24" t="s">
        <v>498</v>
      </c>
    </row>
    <row r="490" spans="2:65" s="1" customFormat="1" ht="27" x14ac:dyDescent="0.3">
      <c r="B490" s="41"/>
      <c r="D490" s="183" t="s">
        <v>406</v>
      </c>
      <c r="F490" s="223" t="s">
        <v>499</v>
      </c>
      <c r="I490" s="224">
        <v>0</v>
      </c>
      <c r="L490" s="41"/>
      <c r="M490" s="225"/>
      <c r="N490" s="42"/>
      <c r="O490" s="42"/>
      <c r="P490" s="42"/>
      <c r="Q490" s="42"/>
      <c r="R490" s="42"/>
      <c r="S490" s="42"/>
      <c r="T490" s="70"/>
      <c r="AT490" s="24" t="s">
        <v>406</v>
      </c>
      <c r="AU490" s="24" t="s">
        <v>81</v>
      </c>
    </row>
    <row r="491" spans="2:65" s="12" customFormat="1" x14ac:dyDescent="0.3">
      <c r="B491" s="190"/>
      <c r="D491" s="183" t="s">
        <v>145</v>
      </c>
      <c r="F491" s="312" t="s">
        <v>1326</v>
      </c>
      <c r="H491" s="315">
        <f>139.2*0.0004</f>
        <v>5.568E-2</v>
      </c>
      <c r="I491" s="194">
        <v>0</v>
      </c>
      <c r="L491" s="41"/>
      <c r="M491" s="195"/>
      <c r="N491" s="196"/>
      <c r="O491" s="196"/>
      <c r="P491" s="196"/>
      <c r="Q491" s="196"/>
      <c r="R491" s="196"/>
      <c r="S491" s="196"/>
      <c r="T491" s="197"/>
      <c r="AT491" s="191" t="s">
        <v>145</v>
      </c>
      <c r="AU491" s="191" t="s">
        <v>81</v>
      </c>
      <c r="AV491" s="12" t="s">
        <v>81</v>
      </c>
      <c r="AW491" s="12" t="s">
        <v>6</v>
      </c>
      <c r="AX491" s="12" t="s">
        <v>79</v>
      </c>
      <c r="AY491" s="191" t="s">
        <v>136</v>
      </c>
    </row>
    <row r="492" spans="2:65" s="1" customFormat="1" ht="16.5" customHeight="1" x14ac:dyDescent="0.3">
      <c r="B492" s="169"/>
      <c r="C492" s="170" t="s">
        <v>500</v>
      </c>
      <c r="D492" s="170" t="s">
        <v>138</v>
      </c>
      <c r="E492" s="171" t="s">
        <v>501</v>
      </c>
      <c r="F492" s="172" t="s">
        <v>502</v>
      </c>
      <c r="G492" s="173" t="s">
        <v>179</v>
      </c>
      <c r="H492" s="313">
        <f>H493</f>
        <v>36.150000000000006</v>
      </c>
      <c r="I492" s="175">
        <v>23</v>
      </c>
      <c r="J492" s="176">
        <f>ROUND(I492*H492,2)</f>
        <v>831.45</v>
      </c>
      <c r="K492" s="172" t="s">
        <v>142</v>
      </c>
      <c r="L492" s="41"/>
      <c r="M492" s="177" t="s">
        <v>5</v>
      </c>
      <c r="N492" s="178" t="s">
        <v>42</v>
      </c>
      <c r="O492" s="42"/>
      <c r="P492" s="179">
        <f>O492*H492</f>
        <v>0</v>
      </c>
      <c r="Q492" s="179">
        <v>0</v>
      </c>
      <c r="R492" s="179">
        <f>Q492*H492</f>
        <v>0</v>
      </c>
      <c r="S492" s="179">
        <v>0</v>
      </c>
      <c r="T492" s="180">
        <f>S492*H492</f>
        <v>0</v>
      </c>
      <c r="AR492" s="24" t="s">
        <v>204</v>
      </c>
      <c r="AT492" s="24" t="s">
        <v>138</v>
      </c>
      <c r="AU492" s="24" t="s">
        <v>81</v>
      </c>
      <c r="AY492" s="24" t="s">
        <v>136</v>
      </c>
      <c r="BE492" s="181">
        <f>IF(N492="základní",J492,0)</f>
        <v>831.45</v>
      </c>
      <c r="BF492" s="181">
        <f>IF(N492="snížená",J492,0)</f>
        <v>0</v>
      </c>
      <c r="BG492" s="181">
        <f>IF(N492="zákl. přenesená",J492,0)</f>
        <v>0</v>
      </c>
      <c r="BH492" s="181">
        <f>IF(N492="sníž. přenesená",J492,0)</f>
        <v>0</v>
      </c>
      <c r="BI492" s="181">
        <f>IF(N492="nulová",J492,0)</f>
        <v>0</v>
      </c>
      <c r="BJ492" s="24" t="s">
        <v>79</v>
      </c>
      <c r="BK492" s="181">
        <f>ROUND(I492*H492,2)</f>
        <v>831.45</v>
      </c>
      <c r="BL492" s="24" t="s">
        <v>204</v>
      </c>
      <c r="BM492" s="24" t="s">
        <v>503</v>
      </c>
    </row>
    <row r="493" spans="2:65" s="12" customFormat="1" x14ac:dyDescent="0.3">
      <c r="B493" s="190"/>
      <c r="D493" s="183" t="s">
        <v>145</v>
      </c>
      <c r="E493" s="191" t="s">
        <v>5</v>
      </c>
      <c r="F493" s="312" t="s">
        <v>1327</v>
      </c>
      <c r="H493" s="315">
        <f>(2*14.5+2*9.6)*0.75</f>
        <v>36.150000000000006</v>
      </c>
      <c r="I493" s="194">
        <v>0</v>
      </c>
      <c r="L493" s="41"/>
      <c r="M493" s="195"/>
      <c r="N493" s="196"/>
      <c r="O493" s="196"/>
      <c r="P493" s="196"/>
      <c r="Q493" s="196"/>
      <c r="R493" s="196"/>
      <c r="S493" s="196"/>
      <c r="T493" s="197"/>
      <c r="AT493" s="191" t="s">
        <v>145</v>
      </c>
      <c r="AU493" s="191" t="s">
        <v>81</v>
      </c>
      <c r="AV493" s="12" t="s">
        <v>81</v>
      </c>
      <c r="AW493" s="12" t="s">
        <v>35</v>
      </c>
      <c r="AX493" s="12" t="s">
        <v>79</v>
      </c>
      <c r="AY493" s="191" t="s">
        <v>136</v>
      </c>
    </row>
    <row r="494" spans="2:65" s="1" customFormat="1" ht="16.5" customHeight="1" x14ac:dyDescent="0.3">
      <c r="B494" s="169"/>
      <c r="C494" s="206" t="s">
        <v>504</v>
      </c>
      <c r="D494" s="206" t="s">
        <v>355</v>
      </c>
      <c r="E494" s="207" t="s">
        <v>496</v>
      </c>
      <c r="F494" s="208" t="s">
        <v>497</v>
      </c>
      <c r="G494" s="209" t="s">
        <v>164</v>
      </c>
      <c r="H494" s="355">
        <f>H496</f>
        <v>1.4460000000000001E-2</v>
      </c>
      <c r="I494" s="211">
        <v>63249.999999999993</v>
      </c>
      <c r="J494" s="212">
        <f>ROUND(I494*H494,2)</f>
        <v>914.6</v>
      </c>
      <c r="K494" s="208" t="s">
        <v>142</v>
      </c>
      <c r="L494" s="41"/>
      <c r="M494" s="213" t="s">
        <v>5</v>
      </c>
      <c r="N494" s="214" t="s">
        <v>42</v>
      </c>
      <c r="O494" s="42"/>
      <c r="P494" s="179">
        <f>O494*H494</f>
        <v>0</v>
      </c>
      <c r="Q494" s="179">
        <v>1</v>
      </c>
      <c r="R494" s="179">
        <f>Q494*H494</f>
        <v>1.4460000000000001E-2</v>
      </c>
      <c r="S494" s="179">
        <v>0</v>
      </c>
      <c r="T494" s="180">
        <f>S494*H494</f>
        <v>0</v>
      </c>
      <c r="AR494" s="24" t="s">
        <v>283</v>
      </c>
      <c r="AT494" s="24" t="s">
        <v>355</v>
      </c>
      <c r="AU494" s="24" t="s">
        <v>81</v>
      </c>
      <c r="AY494" s="24" t="s">
        <v>136</v>
      </c>
      <c r="BE494" s="181">
        <f>IF(N494="základní",J494,0)</f>
        <v>914.6</v>
      </c>
      <c r="BF494" s="181">
        <f>IF(N494="snížená",J494,0)</f>
        <v>0</v>
      </c>
      <c r="BG494" s="181">
        <f>IF(N494="zákl. přenesená",J494,0)</f>
        <v>0</v>
      </c>
      <c r="BH494" s="181">
        <f>IF(N494="sníž. přenesená",J494,0)</f>
        <v>0</v>
      </c>
      <c r="BI494" s="181">
        <f>IF(N494="nulová",J494,0)</f>
        <v>0</v>
      </c>
      <c r="BJ494" s="24" t="s">
        <v>79</v>
      </c>
      <c r="BK494" s="181">
        <f>ROUND(I494*H494,2)</f>
        <v>914.6</v>
      </c>
      <c r="BL494" s="24" t="s">
        <v>204</v>
      </c>
      <c r="BM494" s="24" t="s">
        <v>505</v>
      </c>
    </row>
    <row r="495" spans="2:65" s="1" customFormat="1" ht="27" x14ac:dyDescent="0.3">
      <c r="B495" s="41"/>
      <c r="D495" s="183" t="s">
        <v>406</v>
      </c>
      <c r="F495" s="223" t="s">
        <v>499</v>
      </c>
      <c r="H495" s="327"/>
      <c r="I495" s="224">
        <v>0</v>
      </c>
      <c r="L495" s="41"/>
      <c r="M495" s="225"/>
      <c r="N495" s="42"/>
      <c r="O495" s="42"/>
      <c r="P495" s="42"/>
      <c r="Q495" s="42"/>
      <c r="R495" s="42"/>
      <c r="S495" s="42"/>
      <c r="T495" s="70"/>
      <c r="AT495" s="24" t="s">
        <v>406</v>
      </c>
      <c r="AU495" s="24" t="s">
        <v>81</v>
      </c>
    </row>
    <row r="496" spans="2:65" s="12" customFormat="1" x14ac:dyDescent="0.3">
      <c r="B496" s="190"/>
      <c r="D496" s="183" t="s">
        <v>145</v>
      </c>
      <c r="F496" s="312" t="s">
        <v>1328</v>
      </c>
      <c r="H496" s="315">
        <f>36.15*0.0004</f>
        <v>1.4460000000000001E-2</v>
      </c>
      <c r="I496" s="194">
        <v>0</v>
      </c>
      <c r="L496" s="41"/>
      <c r="M496" s="195"/>
      <c r="N496" s="196"/>
      <c r="O496" s="196"/>
      <c r="P496" s="196"/>
      <c r="Q496" s="196"/>
      <c r="R496" s="196"/>
      <c r="S496" s="196"/>
      <c r="T496" s="197"/>
      <c r="AT496" s="191" t="s">
        <v>145</v>
      </c>
      <c r="AU496" s="191" t="s">
        <v>81</v>
      </c>
      <c r="AV496" s="12" t="s">
        <v>81</v>
      </c>
      <c r="AW496" s="12" t="s">
        <v>6</v>
      </c>
      <c r="AX496" s="12" t="s">
        <v>79</v>
      </c>
      <c r="AY496" s="191" t="s">
        <v>136</v>
      </c>
    </row>
    <row r="497" spans="2:65" s="1" customFormat="1" ht="16.5" customHeight="1" x14ac:dyDescent="0.3">
      <c r="B497" s="169"/>
      <c r="C497" s="170" t="s">
        <v>506</v>
      </c>
      <c r="D497" s="170" t="s">
        <v>138</v>
      </c>
      <c r="E497" s="171" t="s">
        <v>507</v>
      </c>
      <c r="F497" s="172" t="s">
        <v>508</v>
      </c>
      <c r="G497" s="173" t="s">
        <v>179</v>
      </c>
      <c r="H497" s="320">
        <f>SUM(H500:H504)</f>
        <v>32.175249999999998</v>
      </c>
      <c r="I497" s="175">
        <v>0</v>
      </c>
      <c r="J497" s="176">
        <f>ROUND(I497*H497,2)</f>
        <v>0</v>
      </c>
      <c r="K497" s="172" t="s">
        <v>5</v>
      </c>
      <c r="L497" s="41"/>
      <c r="M497" s="177" t="s">
        <v>5</v>
      </c>
      <c r="N497" s="178" t="s">
        <v>42</v>
      </c>
      <c r="O497" s="42"/>
      <c r="P497" s="179">
        <f>O497*H497</f>
        <v>0</v>
      </c>
      <c r="Q497" s="179">
        <v>3.0000000000000001E-3</v>
      </c>
      <c r="R497" s="179">
        <f>Q497*H497</f>
        <v>9.6525749999999994E-2</v>
      </c>
      <c r="S497" s="179">
        <v>0</v>
      </c>
      <c r="T497" s="180">
        <f>S497*H497</f>
        <v>0</v>
      </c>
      <c r="AR497" s="24" t="s">
        <v>204</v>
      </c>
      <c r="AT497" s="24" t="s">
        <v>138</v>
      </c>
      <c r="AU497" s="24" t="s">
        <v>81</v>
      </c>
      <c r="AY497" s="24" t="s">
        <v>136</v>
      </c>
      <c r="BE497" s="181">
        <f>IF(N497="základní",J497,0)</f>
        <v>0</v>
      </c>
      <c r="BF497" s="181">
        <f>IF(N497="snížená",J497,0)</f>
        <v>0</v>
      </c>
      <c r="BG497" s="181">
        <f>IF(N497="zákl. přenesená",J497,0)</f>
        <v>0</v>
      </c>
      <c r="BH497" s="181">
        <f>IF(N497="sníž. přenesená",J497,0)</f>
        <v>0</v>
      </c>
      <c r="BI497" s="181">
        <f>IF(N497="nulová",J497,0)</f>
        <v>0</v>
      </c>
      <c r="BJ497" s="24" t="s">
        <v>79</v>
      </c>
      <c r="BK497" s="181">
        <f>ROUND(I497*H497,2)</f>
        <v>0</v>
      </c>
      <c r="BL497" s="24" t="s">
        <v>204</v>
      </c>
      <c r="BM497" s="24" t="s">
        <v>509</v>
      </c>
    </row>
    <row r="498" spans="2:65" s="1" customFormat="1" ht="27" x14ac:dyDescent="0.3">
      <c r="B498" s="41"/>
      <c r="D498" s="183" t="s">
        <v>406</v>
      </c>
      <c r="F498" s="223" t="s">
        <v>510</v>
      </c>
      <c r="I498" s="224">
        <v>0</v>
      </c>
      <c r="L498" s="41"/>
      <c r="M498" s="225"/>
      <c r="N498" s="42"/>
      <c r="O498" s="42"/>
      <c r="P498" s="42"/>
      <c r="Q498" s="42"/>
      <c r="R498" s="42"/>
      <c r="S498" s="42"/>
      <c r="T498" s="70"/>
      <c r="AT498" s="24" t="s">
        <v>406</v>
      </c>
      <c r="AU498" s="24" t="s">
        <v>81</v>
      </c>
    </row>
    <row r="499" spans="2:65" s="11" customFormat="1" x14ac:dyDescent="0.3">
      <c r="B499" s="182"/>
      <c r="D499" s="183" t="s">
        <v>145</v>
      </c>
      <c r="E499" s="184" t="s">
        <v>5</v>
      </c>
      <c r="F499" s="185" t="s">
        <v>243</v>
      </c>
      <c r="H499" s="184" t="s">
        <v>5</v>
      </c>
      <c r="I499" s="186">
        <v>0</v>
      </c>
      <c r="L499" s="41"/>
      <c r="M499" s="187"/>
      <c r="N499" s="188"/>
      <c r="O499" s="188"/>
      <c r="P499" s="188"/>
      <c r="Q499" s="188"/>
      <c r="R499" s="188"/>
      <c r="S499" s="188"/>
      <c r="T499" s="189"/>
      <c r="AT499" s="184" t="s">
        <v>145</v>
      </c>
      <c r="AU499" s="184" t="s">
        <v>81</v>
      </c>
      <c r="AV499" s="11" t="s">
        <v>79</v>
      </c>
      <c r="AW499" s="11" t="s">
        <v>35</v>
      </c>
      <c r="AX499" s="11" t="s">
        <v>71</v>
      </c>
      <c r="AY499" s="184" t="s">
        <v>136</v>
      </c>
    </row>
    <row r="500" spans="2:65" s="12" customFormat="1" x14ac:dyDescent="0.3">
      <c r="B500" s="190"/>
      <c r="D500" s="183" t="s">
        <v>145</v>
      </c>
      <c r="E500" s="191" t="s">
        <v>1329</v>
      </c>
      <c r="F500" s="192" t="s">
        <v>511</v>
      </c>
      <c r="H500" s="193">
        <v>18.768999999999998</v>
      </c>
      <c r="I500" s="194">
        <v>0</v>
      </c>
      <c r="L500" s="41"/>
      <c r="M500" s="195"/>
      <c r="N500" s="196"/>
      <c r="O500" s="196"/>
      <c r="P500" s="196"/>
      <c r="Q500" s="196"/>
      <c r="R500" s="196"/>
      <c r="S500" s="196"/>
      <c r="T500" s="197"/>
      <c r="AT500" s="191" t="s">
        <v>145</v>
      </c>
      <c r="AU500" s="191" t="s">
        <v>81</v>
      </c>
      <c r="AV500" s="12" t="s">
        <v>81</v>
      </c>
      <c r="AW500" s="12" t="s">
        <v>35</v>
      </c>
      <c r="AX500" s="12" t="s">
        <v>71</v>
      </c>
      <c r="AY500" s="191" t="s">
        <v>136</v>
      </c>
    </row>
    <row r="501" spans="2:65" s="11" customFormat="1" x14ac:dyDescent="0.3">
      <c r="B501" s="182"/>
      <c r="D501" s="183" t="s">
        <v>145</v>
      </c>
      <c r="E501" s="184" t="s">
        <v>5</v>
      </c>
      <c r="F501" s="185" t="s">
        <v>244</v>
      </c>
      <c r="H501" s="184" t="s">
        <v>5</v>
      </c>
      <c r="I501" s="186">
        <v>0</v>
      </c>
      <c r="L501" s="41"/>
      <c r="M501" s="187"/>
      <c r="N501" s="188"/>
      <c r="O501" s="188"/>
      <c r="P501" s="188"/>
      <c r="Q501" s="188"/>
      <c r="R501" s="188"/>
      <c r="S501" s="188"/>
      <c r="T501" s="189"/>
      <c r="AT501" s="184" t="s">
        <v>145</v>
      </c>
      <c r="AU501" s="184" t="s">
        <v>81</v>
      </c>
      <c r="AV501" s="11" t="s">
        <v>79</v>
      </c>
      <c r="AW501" s="11" t="s">
        <v>35</v>
      </c>
      <c r="AX501" s="11" t="s">
        <v>71</v>
      </c>
      <c r="AY501" s="184" t="s">
        <v>136</v>
      </c>
    </row>
    <row r="502" spans="2:65" s="12" customFormat="1" x14ac:dyDescent="0.3">
      <c r="B502" s="190"/>
      <c r="D502" s="183" t="s">
        <v>145</v>
      </c>
      <c r="E502" s="191" t="s">
        <v>5</v>
      </c>
      <c r="F502" s="312" t="s">
        <v>1331</v>
      </c>
      <c r="G502" s="327"/>
      <c r="H502" s="315">
        <f>2.35*1.95*2</f>
        <v>9.1650000000000009</v>
      </c>
      <c r="I502" s="194">
        <v>0</v>
      </c>
      <c r="L502" s="41"/>
      <c r="M502" s="195"/>
      <c r="N502" s="196"/>
      <c r="O502" s="196"/>
      <c r="P502" s="196"/>
      <c r="Q502" s="196"/>
      <c r="R502" s="196"/>
      <c r="S502" s="196"/>
      <c r="T502" s="197"/>
      <c r="AT502" s="191" t="s">
        <v>145</v>
      </c>
      <c r="AU502" s="191" t="s">
        <v>81</v>
      </c>
      <c r="AV502" s="12" t="s">
        <v>81</v>
      </c>
      <c r="AW502" s="12" t="s">
        <v>35</v>
      </c>
      <c r="AX502" s="12" t="s">
        <v>71</v>
      </c>
      <c r="AY502" s="191" t="s">
        <v>136</v>
      </c>
    </row>
    <row r="503" spans="2:65" s="12" customFormat="1" x14ac:dyDescent="0.3">
      <c r="B503" s="190"/>
      <c r="D503" s="183" t="s">
        <v>145</v>
      </c>
      <c r="E503" s="191" t="s">
        <v>5</v>
      </c>
      <c r="F503" s="312" t="s">
        <v>1332</v>
      </c>
      <c r="G503" s="327"/>
      <c r="H503" s="315">
        <f>2.175*1.95</f>
        <v>4.24125</v>
      </c>
      <c r="I503" s="194">
        <v>0</v>
      </c>
      <c r="L503" s="41"/>
      <c r="M503" s="195"/>
      <c r="N503" s="196"/>
      <c r="O503" s="196"/>
      <c r="P503" s="196"/>
      <c r="Q503" s="196"/>
      <c r="R503" s="196"/>
      <c r="S503" s="196"/>
      <c r="T503" s="197"/>
      <c r="AT503" s="191" t="s">
        <v>145</v>
      </c>
      <c r="AU503" s="191" t="s">
        <v>81</v>
      </c>
      <c r="AV503" s="12" t="s">
        <v>81</v>
      </c>
      <c r="AW503" s="12" t="s">
        <v>35</v>
      </c>
      <c r="AX503" s="12" t="s">
        <v>71</v>
      </c>
      <c r="AY503" s="191" t="s">
        <v>136</v>
      </c>
    </row>
    <row r="504" spans="2:65" s="12" customFormat="1" x14ac:dyDescent="0.3">
      <c r="B504" s="190"/>
      <c r="D504" s="183" t="s">
        <v>145</v>
      </c>
      <c r="E504" s="191" t="s">
        <v>5</v>
      </c>
      <c r="F504" s="192"/>
      <c r="H504" s="193"/>
      <c r="I504" s="194">
        <v>0</v>
      </c>
      <c r="L504" s="41"/>
      <c r="M504" s="195"/>
      <c r="N504" s="196"/>
      <c r="O504" s="196"/>
      <c r="P504" s="196"/>
      <c r="Q504" s="196"/>
      <c r="R504" s="196"/>
      <c r="S504" s="196"/>
      <c r="T504" s="197"/>
      <c r="AT504" s="191" t="s">
        <v>145</v>
      </c>
      <c r="AU504" s="191" t="s">
        <v>81</v>
      </c>
      <c r="AV504" s="12" t="s">
        <v>81</v>
      </c>
      <c r="AW504" s="12" t="s">
        <v>35</v>
      </c>
      <c r="AX504" s="12" t="s">
        <v>71</v>
      </c>
      <c r="AY504" s="191" t="s">
        <v>136</v>
      </c>
    </row>
    <row r="505" spans="2:65" s="13" customFormat="1" x14ac:dyDescent="0.3">
      <c r="B505" s="198"/>
      <c r="D505" s="183" t="s">
        <v>145</v>
      </c>
      <c r="E505" s="199" t="s">
        <v>5</v>
      </c>
      <c r="F505" s="200"/>
      <c r="H505" s="201"/>
      <c r="I505" s="202">
        <v>0</v>
      </c>
      <c r="L505" s="41"/>
      <c r="M505" s="203"/>
      <c r="N505" s="204"/>
      <c r="O505" s="204"/>
      <c r="P505" s="204"/>
      <c r="Q505" s="204"/>
      <c r="R505" s="204"/>
      <c r="S505" s="204"/>
      <c r="T505" s="205"/>
      <c r="AT505" s="199" t="s">
        <v>145</v>
      </c>
      <c r="AU505" s="199" t="s">
        <v>81</v>
      </c>
      <c r="AV505" s="13" t="s">
        <v>143</v>
      </c>
      <c r="AW505" s="13" t="s">
        <v>35</v>
      </c>
      <c r="AX505" s="13" t="s">
        <v>79</v>
      </c>
      <c r="AY505" s="199" t="s">
        <v>136</v>
      </c>
    </row>
    <row r="506" spans="2:65" s="1" customFormat="1" ht="16.5" customHeight="1" x14ac:dyDescent="0.3">
      <c r="B506" s="169"/>
      <c r="C506" s="170" t="s">
        <v>512</v>
      </c>
      <c r="D506" s="170" t="s">
        <v>138</v>
      </c>
      <c r="E506" s="171" t="s">
        <v>513</v>
      </c>
      <c r="F506" s="172" t="s">
        <v>514</v>
      </c>
      <c r="G506" s="173" t="s">
        <v>179</v>
      </c>
      <c r="H506" s="320">
        <f>SUM(H509:H516)</f>
        <v>31.950500000000002</v>
      </c>
      <c r="I506" s="175">
        <v>0</v>
      </c>
      <c r="J506" s="176">
        <f>ROUND(I506*H506,2)</f>
        <v>0</v>
      </c>
      <c r="K506" s="172" t="s">
        <v>5</v>
      </c>
      <c r="L506" s="41"/>
      <c r="M506" s="177" t="s">
        <v>5</v>
      </c>
      <c r="N506" s="178" t="s">
        <v>42</v>
      </c>
      <c r="O506" s="42"/>
      <c r="P506" s="179">
        <f>O506*H506</f>
        <v>0</v>
      </c>
      <c r="Q506" s="179">
        <v>3.0000000000000001E-3</v>
      </c>
      <c r="R506" s="179">
        <f>Q506*H506</f>
        <v>9.5851500000000006E-2</v>
      </c>
      <c r="S506" s="179">
        <v>0</v>
      </c>
      <c r="T506" s="180">
        <f>S506*H506</f>
        <v>0</v>
      </c>
      <c r="AR506" s="24" t="s">
        <v>204</v>
      </c>
      <c r="AT506" s="24" t="s">
        <v>138</v>
      </c>
      <c r="AU506" s="24" t="s">
        <v>81</v>
      </c>
      <c r="AY506" s="24" t="s">
        <v>136</v>
      </c>
      <c r="BE506" s="181">
        <f>IF(N506="základní",J506,0)</f>
        <v>0</v>
      </c>
      <c r="BF506" s="181">
        <f>IF(N506="snížená",J506,0)</f>
        <v>0</v>
      </c>
      <c r="BG506" s="181">
        <f>IF(N506="zákl. přenesená",J506,0)</f>
        <v>0</v>
      </c>
      <c r="BH506" s="181">
        <f>IF(N506="sníž. přenesená",J506,0)</f>
        <v>0</v>
      </c>
      <c r="BI506" s="181">
        <f>IF(N506="nulová",J506,0)</f>
        <v>0</v>
      </c>
      <c r="BJ506" s="24" t="s">
        <v>79</v>
      </c>
      <c r="BK506" s="181">
        <f>ROUND(I506*H506,2)</f>
        <v>0</v>
      </c>
      <c r="BL506" s="24" t="s">
        <v>204</v>
      </c>
      <c r="BM506" s="24" t="s">
        <v>515</v>
      </c>
    </row>
    <row r="507" spans="2:65" s="1" customFormat="1" ht="27" x14ac:dyDescent="0.3">
      <c r="B507" s="41"/>
      <c r="D507" s="183" t="s">
        <v>406</v>
      </c>
      <c r="F507" s="223" t="s">
        <v>510</v>
      </c>
      <c r="I507" s="224">
        <v>0</v>
      </c>
      <c r="L507" s="41"/>
      <c r="M507" s="225"/>
      <c r="N507" s="42"/>
      <c r="O507" s="42"/>
      <c r="P507" s="42"/>
      <c r="Q507" s="42"/>
      <c r="R507" s="42"/>
      <c r="S507" s="42"/>
      <c r="T507" s="70"/>
      <c r="AT507" s="24" t="s">
        <v>406</v>
      </c>
      <c r="AU507" s="24" t="s">
        <v>81</v>
      </c>
    </row>
    <row r="508" spans="2:65" s="11" customFormat="1" x14ac:dyDescent="0.3">
      <c r="B508" s="182"/>
      <c r="D508" s="183" t="s">
        <v>145</v>
      </c>
      <c r="E508" s="184" t="s">
        <v>5</v>
      </c>
      <c r="F508" s="185" t="s">
        <v>243</v>
      </c>
      <c r="H508" s="184" t="s">
        <v>5</v>
      </c>
      <c r="I508" s="186">
        <v>0</v>
      </c>
      <c r="L508" s="41"/>
      <c r="M508" s="187"/>
      <c r="N508" s="188"/>
      <c r="O508" s="188"/>
      <c r="P508" s="188"/>
      <c r="Q508" s="188"/>
      <c r="R508" s="188"/>
      <c r="S508" s="188"/>
      <c r="T508" s="189"/>
      <c r="AT508" s="184" t="s">
        <v>145</v>
      </c>
      <c r="AU508" s="184" t="s">
        <v>81</v>
      </c>
      <c r="AV508" s="11" t="s">
        <v>79</v>
      </c>
      <c r="AW508" s="11" t="s">
        <v>35</v>
      </c>
      <c r="AX508" s="11" t="s">
        <v>71</v>
      </c>
      <c r="AY508" s="184" t="s">
        <v>136</v>
      </c>
    </row>
    <row r="509" spans="2:65" s="12" customFormat="1" x14ac:dyDescent="0.3">
      <c r="B509" s="190"/>
      <c r="D509" s="183" t="s">
        <v>145</v>
      </c>
      <c r="E509" s="333" t="s">
        <v>1333</v>
      </c>
      <c r="F509" s="192" t="s">
        <v>516</v>
      </c>
      <c r="H509" s="193">
        <v>4.5229999999999997</v>
      </c>
      <c r="I509" s="194">
        <v>0</v>
      </c>
      <c r="L509" s="41"/>
      <c r="M509" s="195"/>
      <c r="N509" s="196"/>
      <c r="O509" s="196"/>
      <c r="P509" s="196"/>
      <c r="Q509" s="196"/>
      <c r="R509" s="196"/>
      <c r="S509" s="196"/>
      <c r="T509" s="197"/>
      <c r="AT509" s="191" t="s">
        <v>145</v>
      </c>
      <c r="AU509" s="191" t="s">
        <v>81</v>
      </c>
      <c r="AV509" s="12" t="s">
        <v>81</v>
      </c>
      <c r="AW509" s="12" t="s">
        <v>35</v>
      </c>
      <c r="AX509" s="12" t="s">
        <v>71</v>
      </c>
      <c r="AY509" s="191" t="s">
        <v>136</v>
      </c>
    </row>
    <row r="510" spans="2:65" s="12" customFormat="1" x14ac:dyDescent="0.3">
      <c r="B510" s="190"/>
      <c r="D510" s="183" t="s">
        <v>145</v>
      </c>
      <c r="E510" s="333" t="s">
        <v>1333</v>
      </c>
      <c r="F510" s="192" t="s">
        <v>517</v>
      </c>
      <c r="H510" s="193">
        <v>0.9</v>
      </c>
      <c r="I510" s="194">
        <v>0</v>
      </c>
      <c r="L510" s="41"/>
      <c r="M510" s="195"/>
      <c r="N510" s="196"/>
      <c r="O510" s="196"/>
      <c r="P510" s="196"/>
      <c r="Q510" s="196"/>
      <c r="R510" s="196"/>
      <c r="S510" s="196"/>
      <c r="T510" s="197"/>
      <c r="AT510" s="191" t="s">
        <v>145</v>
      </c>
      <c r="AU510" s="191" t="s">
        <v>81</v>
      </c>
      <c r="AV510" s="12" t="s">
        <v>81</v>
      </c>
      <c r="AW510" s="12" t="s">
        <v>35</v>
      </c>
      <c r="AX510" s="12" t="s">
        <v>71</v>
      </c>
      <c r="AY510" s="191" t="s">
        <v>136</v>
      </c>
    </row>
    <row r="511" spans="2:65" s="12" customFormat="1" x14ac:dyDescent="0.3">
      <c r="B511" s="190"/>
      <c r="D511" s="183" t="s">
        <v>145</v>
      </c>
      <c r="E511" s="333" t="s">
        <v>1333</v>
      </c>
      <c r="F511" s="192" t="s">
        <v>518</v>
      </c>
      <c r="H511" s="193">
        <v>12</v>
      </c>
      <c r="I511" s="194">
        <v>0</v>
      </c>
      <c r="L511" s="41"/>
      <c r="M511" s="195"/>
      <c r="N511" s="196"/>
      <c r="O511" s="196"/>
      <c r="P511" s="196"/>
      <c r="Q511" s="196"/>
      <c r="R511" s="196"/>
      <c r="S511" s="196"/>
      <c r="T511" s="197"/>
      <c r="AT511" s="191" t="s">
        <v>145</v>
      </c>
      <c r="AU511" s="191" t="s">
        <v>81</v>
      </c>
      <c r="AV511" s="12" t="s">
        <v>81</v>
      </c>
      <c r="AW511" s="12" t="s">
        <v>35</v>
      </c>
      <c r="AX511" s="12" t="s">
        <v>71</v>
      </c>
      <c r="AY511" s="191" t="s">
        <v>136</v>
      </c>
    </row>
    <row r="512" spans="2:65" s="11" customFormat="1" x14ac:dyDescent="0.3">
      <c r="B512" s="182"/>
      <c r="D512" s="183" t="s">
        <v>145</v>
      </c>
      <c r="E512" s="184" t="s">
        <v>5</v>
      </c>
      <c r="F512" s="185" t="s">
        <v>244</v>
      </c>
      <c r="H512" s="184" t="s">
        <v>5</v>
      </c>
      <c r="I512" s="186">
        <v>0</v>
      </c>
      <c r="L512" s="41"/>
      <c r="M512" s="187"/>
      <c r="N512" s="188"/>
      <c r="O512" s="188"/>
      <c r="P512" s="188"/>
      <c r="Q512" s="188"/>
      <c r="R512" s="188"/>
      <c r="S512" s="188"/>
      <c r="T512" s="189"/>
      <c r="AT512" s="184" t="s">
        <v>145</v>
      </c>
      <c r="AU512" s="184" t="s">
        <v>81</v>
      </c>
      <c r="AV512" s="11" t="s">
        <v>79</v>
      </c>
      <c r="AW512" s="11" t="s">
        <v>35</v>
      </c>
      <c r="AX512" s="11" t="s">
        <v>71</v>
      </c>
      <c r="AY512" s="184" t="s">
        <v>136</v>
      </c>
    </row>
    <row r="513" spans="2:65" s="12" customFormat="1" x14ac:dyDescent="0.3">
      <c r="B513" s="190"/>
      <c r="D513" s="183" t="s">
        <v>145</v>
      </c>
      <c r="E513" s="191" t="s">
        <v>5</v>
      </c>
      <c r="F513" s="312" t="s">
        <v>1334</v>
      </c>
      <c r="H513" s="315">
        <f>((2.35*2+1.95*2)*2*0.15+((0.9*2)*2*2.05))</f>
        <v>9.9599999999999991</v>
      </c>
      <c r="I513" s="194">
        <v>0</v>
      </c>
      <c r="L513" s="41"/>
      <c r="M513" s="195"/>
      <c r="N513" s="196"/>
      <c r="O513" s="196"/>
      <c r="P513" s="196"/>
      <c r="Q513" s="196"/>
      <c r="R513" s="196"/>
      <c r="S513" s="196"/>
      <c r="T513" s="197"/>
      <c r="AT513" s="191" t="s">
        <v>145</v>
      </c>
      <c r="AU513" s="191" t="s">
        <v>81</v>
      </c>
      <c r="AV513" s="12" t="s">
        <v>81</v>
      </c>
      <c r="AW513" s="12" t="s">
        <v>35</v>
      </c>
      <c r="AX513" s="12" t="s">
        <v>71</v>
      </c>
      <c r="AY513" s="191" t="s">
        <v>136</v>
      </c>
    </row>
    <row r="514" spans="2:65" s="12" customFormat="1" x14ac:dyDescent="0.3">
      <c r="B514" s="190"/>
      <c r="D514" s="183" t="s">
        <v>145</v>
      </c>
      <c r="E514" s="359" t="s">
        <v>5</v>
      </c>
      <c r="F514" s="326" t="s">
        <v>1335</v>
      </c>
      <c r="H514" s="315">
        <f>-(0.8*0.15)*2</f>
        <v>-0.24</v>
      </c>
      <c r="I514" s="194">
        <v>0</v>
      </c>
      <c r="L514" s="41"/>
      <c r="M514" s="195"/>
      <c r="N514" s="196"/>
      <c r="O514" s="196"/>
      <c r="P514" s="196"/>
      <c r="Q514" s="196"/>
      <c r="R514" s="196"/>
      <c r="S514" s="196"/>
      <c r="T514" s="197"/>
      <c r="AT514" s="191" t="s">
        <v>145</v>
      </c>
      <c r="AU514" s="191" t="s">
        <v>81</v>
      </c>
      <c r="AV514" s="12" t="s">
        <v>81</v>
      </c>
      <c r="AW514" s="12" t="s">
        <v>35</v>
      </c>
      <c r="AX514" s="12" t="s">
        <v>71</v>
      </c>
      <c r="AY514" s="191" t="s">
        <v>136</v>
      </c>
    </row>
    <row r="515" spans="2:65" s="12" customFormat="1" x14ac:dyDescent="0.3">
      <c r="B515" s="190"/>
      <c r="D515" s="183" t="s">
        <v>145</v>
      </c>
      <c r="E515" s="359" t="s">
        <v>5</v>
      </c>
      <c r="F515" s="326" t="s">
        <v>1336</v>
      </c>
      <c r="H515" s="315">
        <f>(2.175*2+1.95*2)*0.15+(0.9*2)*2.05</f>
        <v>4.9275000000000002</v>
      </c>
      <c r="I515" s="194">
        <v>0</v>
      </c>
      <c r="L515" s="41"/>
      <c r="M515" s="195"/>
      <c r="N515" s="196"/>
      <c r="O515" s="196"/>
      <c r="P515" s="196"/>
      <c r="Q515" s="196"/>
      <c r="R515" s="196"/>
      <c r="S515" s="196"/>
      <c r="T515" s="197"/>
      <c r="AT515" s="191" t="s">
        <v>145</v>
      </c>
      <c r="AU515" s="191" t="s">
        <v>81</v>
      </c>
      <c r="AV515" s="12" t="s">
        <v>81</v>
      </c>
      <c r="AW515" s="12" t="s">
        <v>35</v>
      </c>
      <c r="AX515" s="12" t="s">
        <v>71</v>
      </c>
      <c r="AY515" s="191" t="s">
        <v>136</v>
      </c>
    </row>
    <row r="516" spans="2:65" s="12" customFormat="1" x14ac:dyDescent="0.3">
      <c r="B516" s="190"/>
      <c r="D516" s="183" t="s">
        <v>145</v>
      </c>
      <c r="E516" s="359" t="s">
        <v>5</v>
      </c>
      <c r="F516" s="326" t="s">
        <v>1337</v>
      </c>
      <c r="H516" s="315">
        <f>-0.8*0.15</f>
        <v>-0.12</v>
      </c>
      <c r="I516" s="194">
        <v>0</v>
      </c>
      <c r="L516" s="41"/>
      <c r="M516" s="195"/>
      <c r="N516" s="196"/>
      <c r="O516" s="196"/>
      <c r="P516" s="196"/>
      <c r="Q516" s="196"/>
      <c r="R516" s="196"/>
      <c r="S516" s="196"/>
      <c r="T516" s="197"/>
      <c r="AT516" s="191" t="s">
        <v>145</v>
      </c>
      <c r="AU516" s="191" t="s">
        <v>81</v>
      </c>
      <c r="AV516" s="12" t="s">
        <v>81</v>
      </c>
      <c r="AW516" s="12" t="s">
        <v>35</v>
      </c>
      <c r="AX516" s="12" t="s">
        <v>71</v>
      </c>
      <c r="AY516" s="191" t="s">
        <v>136</v>
      </c>
    </row>
    <row r="517" spans="2:65" s="12" customFormat="1" x14ac:dyDescent="0.3">
      <c r="B517" s="190"/>
      <c r="D517" s="183" t="s">
        <v>145</v>
      </c>
      <c r="E517" s="359" t="s">
        <v>5</v>
      </c>
      <c r="F517" s="325"/>
      <c r="H517" s="193"/>
      <c r="I517" s="194">
        <v>0</v>
      </c>
      <c r="L517" s="41"/>
      <c r="M517" s="195"/>
      <c r="N517" s="196"/>
      <c r="O517" s="196"/>
      <c r="P517" s="196"/>
      <c r="Q517" s="196"/>
      <c r="R517" s="196"/>
      <c r="S517" s="196"/>
      <c r="T517" s="197"/>
      <c r="AT517" s="191" t="s">
        <v>145</v>
      </c>
      <c r="AU517" s="191" t="s">
        <v>81</v>
      </c>
      <c r="AV517" s="12" t="s">
        <v>81</v>
      </c>
      <c r="AW517" s="12" t="s">
        <v>35</v>
      </c>
      <c r="AX517" s="12" t="s">
        <v>71</v>
      </c>
      <c r="AY517" s="191" t="s">
        <v>136</v>
      </c>
    </row>
    <row r="518" spans="2:65" s="13" customFormat="1" x14ac:dyDescent="0.3">
      <c r="B518" s="198"/>
      <c r="D518" s="183" t="s">
        <v>145</v>
      </c>
      <c r="E518" s="360" t="s">
        <v>5</v>
      </c>
      <c r="F518" s="330"/>
      <c r="H518" s="201"/>
      <c r="I518" s="202">
        <v>0</v>
      </c>
      <c r="L518" s="41"/>
      <c r="M518" s="203"/>
      <c r="N518" s="204"/>
      <c r="O518" s="204"/>
      <c r="P518" s="204"/>
      <c r="Q518" s="204"/>
      <c r="R518" s="204"/>
      <c r="S518" s="204"/>
      <c r="T518" s="205"/>
      <c r="AT518" s="199" t="s">
        <v>145</v>
      </c>
      <c r="AU518" s="199" t="s">
        <v>81</v>
      </c>
      <c r="AV518" s="13" t="s">
        <v>143</v>
      </c>
      <c r="AW518" s="13" t="s">
        <v>35</v>
      </c>
      <c r="AX518" s="13" t="s">
        <v>79</v>
      </c>
      <c r="AY518" s="199" t="s">
        <v>136</v>
      </c>
    </row>
    <row r="519" spans="2:65" s="1" customFormat="1" ht="16.5" customHeight="1" x14ac:dyDescent="0.3">
      <c r="B519" s="169"/>
      <c r="C519" s="170" t="s">
        <v>519</v>
      </c>
      <c r="D519" s="170" t="s">
        <v>138</v>
      </c>
      <c r="E519" s="171" t="s">
        <v>520</v>
      </c>
      <c r="F519" s="172" t="s">
        <v>521</v>
      </c>
      <c r="G519" s="173" t="s">
        <v>179</v>
      </c>
      <c r="H519" s="319">
        <v>278.39999999999998</v>
      </c>
      <c r="I519" s="175">
        <v>103.49999999999999</v>
      </c>
      <c r="J519" s="176">
        <f>ROUND(I519*H519,2)</f>
        <v>28814.400000000001</v>
      </c>
      <c r="K519" s="172" t="s">
        <v>142</v>
      </c>
      <c r="L519" s="41"/>
      <c r="M519" s="177" t="s">
        <v>5</v>
      </c>
      <c r="N519" s="178" t="s">
        <v>42</v>
      </c>
      <c r="O519" s="42"/>
      <c r="P519" s="179">
        <f>O519*H519</f>
        <v>0</v>
      </c>
      <c r="Q519" s="179">
        <v>4.0000000000000002E-4</v>
      </c>
      <c r="R519" s="179">
        <f>Q519*H519</f>
        <v>0.11136</v>
      </c>
      <c r="S519" s="179">
        <v>0</v>
      </c>
      <c r="T519" s="180">
        <f>S519*H519</f>
        <v>0</v>
      </c>
      <c r="AR519" s="24" t="s">
        <v>204</v>
      </c>
      <c r="AT519" s="24" t="s">
        <v>138</v>
      </c>
      <c r="AU519" s="24" t="s">
        <v>81</v>
      </c>
      <c r="AY519" s="24" t="s">
        <v>136</v>
      </c>
      <c r="BE519" s="181">
        <f>IF(N519="základní",J519,0)</f>
        <v>28814.400000000001</v>
      </c>
      <c r="BF519" s="181">
        <f>IF(N519="snížená",J519,0)</f>
        <v>0</v>
      </c>
      <c r="BG519" s="181">
        <f>IF(N519="zákl. přenesená",J519,0)</f>
        <v>0</v>
      </c>
      <c r="BH519" s="181">
        <f>IF(N519="sníž. přenesená",J519,0)</f>
        <v>0</v>
      </c>
      <c r="BI519" s="181">
        <f>IF(N519="nulová",J519,0)</f>
        <v>0</v>
      </c>
      <c r="BJ519" s="24" t="s">
        <v>79</v>
      </c>
      <c r="BK519" s="181">
        <f>ROUND(I519*H519,2)</f>
        <v>28814.400000000001</v>
      </c>
      <c r="BL519" s="24" t="s">
        <v>204</v>
      </c>
      <c r="BM519" s="24" t="s">
        <v>522</v>
      </c>
    </row>
    <row r="520" spans="2:65" s="11" customFormat="1" x14ac:dyDescent="0.3">
      <c r="B520" s="182"/>
      <c r="D520" s="183" t="s">
        <v>145</v>
      </c>
      <c r="E520" s="184" t="s">
        <v>5</v>
      </c>
      <c r="F520" s="185" t="s">
        <v>523</v>
      </c>
      <c r="H520" s="361" t="s">
        <v>5</v>
      </c>
      <c r="I520" s="186">
        <v>0</v>
      </c>
      <c r="L520" s="41"/>
      <c r="M520" s="187"/>
      <c r="N520" s="188"/>
      <c r="O520" s="188"/>
      <c r="P520" s="188"/>
      <c r="Q520" s="188"/>
      <c r="R520" s="188"/>
      <c r="S520" s="188"/>
      <c r="T520" s="189"/>
      <c r="AT520" s="184" t="s">
        <v>145</v>
      </c>
      <c r="AU520" s="184" t="s">
        <v>81</v>
      </c>
      <c r="AV520" s="11" t="s">
        <v>79</v>
      </c>
      <c r="AW520" s="11" t="s">
        <v>35</v>
      </c>
      <c r="AX520" s="11" t="s">
        <v>71</v>
      </c>
      <c r="AY520" s="184" t="s">
        <v>136</v>
      </c>
    </row>
    <row r="521" spans="2:65" s="12" customFormat="1" x14ac:dyDescent="0.3">
      <c r="B521" s="190"/>
      <c r="D521" s="183" t="s">
        <v>145</v>
      </c>
      <c r="E521" s="191" t="s">
        <v>5</v>
      </c>
      <c r="F521" s="316" t="s">
        <v>524</v>
      </c>
      <c r="H521" s="318">
        <v>278.39999999999998</v>
      </c>
      <c r="I521" s="194">
        <v>0</v>
      </c>
      <c r="L521" s="41"/>
      <c r="M521" s="195"/>
      <c r="N521" s="196"/>
      <c r="O521" s="196"/>
      <c r="P521" s="196"/>
      <c r="Q521" s="196"/>
      <c r="R521" s="196"/>
      <c r="S521" s="196"/>
      <c r="T521" s="197"/>
      <c r="AT521" s="191" t="s">
        <v>145</v>
      </c>
      <c r="AU521" s="191" t="s">
        <v>81</v>
      </c>
      <c r="AV521" s="12" t="s">
        <v>81</v>
      </c>
      <c r="AW521" s="12" t="s">
        <v>35</v>
      </c>
      <c r="AX521" s="12" t="s">
        <v>79</v>
      </c>
      <c r="AY521" s="191" t="s">
        <v>136</v>
      </c>
    </row>
    <row r="522" spans="2:65" s="1" customFormat="1" ht="16.5" customHeight="1" x14ac:dyDescent="0.3">
      <c r="B522" s="169"/>
      <c r="C522" s="206" t="s">
        <v>525</v>
      </c>
      <c r="D522" s="206" t="s">
        <v>355</v>
      </c>
      <c r="E522" s="207" t="s">
        <v>526</v>
      </c>
      <c r="F522" s="208" t="s">
        <v>527</v>
      </c>
      <c r="G522" s="209" t="s">
        <v>179</v>
      </c>
      <c r="H522" s="362">
        <v>320.16000000000003</v>
      </c>
      <c r="I522" s="211">
        <v>128.79999999999998</v>
      </c>
      <c r="J522" s="212">
        <f>ROUND(I522*H522,2)</f>
        <v>41236.61</v>
      </c>
      <c r="K522" s="208" t="s">
        <v>5</v>
      </c>
      <c r="L522" s="41"/>
      <c r="M522" s="213" t="s">
        <v>5</v>
      </c>
      <c r="N522" s="214" t="s">
        <v>42</v>
      </c>
      <c r="O522" s="42"/>
      <c r="P522" s="179">
        <f>O522*H522</f>
        <v>0</v>
      </c>
      <c r="Q522" s="179">
        <v>4.4999999999999997E-3</v>
      </c>
      <c r="R522" s="179">
        <f>Q522*H522</f>
        <v>1.44072</v>
      </c>
      <c r="S522" s="179">
        <v>0</v>
      </c>
      <c r="T522" s="180">
        <f>S522*H522</f>
        <v>0</v>
      </c>
      <c r="AR522" s="24" t="s">
        <v>283</v>
      </c>
      <c r="AT522" s="24" t="s">
        <v>355</v>
      </c>
      <c r="AU522" s="24" t="s">
        <v>81</v>
      </c>
      <c r="AY522" s="24" t="s">
        <v>136</v>
      </c>
      <c r="BE522" s="181">
        <f>IF(N522="základní",J522,0)</f>
        <v>41236.61</v>
      </c>
      <c r="BF522" s="181">
        <f>IF(N522="snížená",J522,0)</f>
        <v>0</v>
      </c>
      <c r="BG522" s="181">
        <f>IF(N522="zákl. přenesená",J522,0)</f>
        <v>0</v>
      </c>
      <c r="BH522" s="181">
        <f>IF(N522="sníž. přenesená",J522,0)</f>
        <v>0</v>
      </c>
      <c r="BI522" s="181">
        <f>IF(N522="nulová",J522,0)</f>
        <v>0</v>
      </c>
      <c r="BJ522" s="24" t="s">
        <v>79</v>
      </c>
      <c r="BK522" s="181">
        <f>ROUND(I522*H522,2)</f>
        <v>41236.61</v>
      </c>
      <c r="BL522" s="24" t="s">
        <v>204</v>
      </c>
      <c r="BM522" s="24" t="s">
        <v>528</v>
      </c>
    </row>
    <row r="523" spans="2:65" s="12" customFormat="1" x14ac:dyDescent="0.3">
      <c r="B523" s="190"/>
      <c r="D523" s="183" t="s">
        <v>145</v>
      </c>
      <c r="F523" s="316" t="s">
        <v>529</v>
      </c>
      <c r="G523" s="317"/>
      <c r="H523" s="318">
        <v>320.16000000000003</v>
      </c>
      <c r="I523" s="194">
        <v>0</v>
      </c>
      <c r="L523" s="41"/>
      <c r="M523" s="195"/>
      <c r="N523" s="196"/>
      <c r="O523" s="196"/>
      <c r="P523" s="196"/>
      <c r="Q523" s="196"/>
      <c r="R523" s="196"/>
      <c r="S523" s="196"/>
      <c r="T523" s="197"/>
      <c r="AT523" s="191" t="s">
        <v>145</v>
      </c>
      <c r="AU523" s="191" t="s">
        <v>81</v>
      </c>
      <c r="AV523" s="12" t="s">
        <v>81</v>
      </c>
      <c r="AW523" s="12" t="s">
        <v>6</v>
      </c>
      <c r="AX523" s="12" t="s">
        <v>79</v>
      </c>
      <c r="AY523" s="191" t="s">
        <v>136</v>
      </c>
    </row>
    <row r="524" spans="2:65" s="1" customFormat="1" ht="16.5" customHeight="1" x14ac:dyDescent="0.3">
      <c r="B524" s="169"/>
      <c r="C524" s="170" t="s">
        <v>530</v>
      </c>
      <c r="D524" s="170" t="s">
        <v>138</v>
      </c>
      <c r="E524" s="171" t="s">
        <v>531</v>
      </c>
      <c r="F524" s="172" t="s">
        <v>532</v>
      </c>
      <c r="G524" s="173" t="s">
        <v>179</v>
      </c>
      <c r="H524" s="320">
        <f>H525</f>
        <v>36.150000000000006</v>
      </c>
      <c r="I524" s="175">
        <v>126.49999999999999</v>
      </c>
      <c r="J524" s="176">
        <f>ROUND(I524*H524,2)</f>
        <v>4572.9799999999996</v>
      </c>
      <c r="K524" s="172" t="s">
        <v>142</v>
      </c>
      <c r="L524" s="41"/>
      <c r="M524" s="177" t="s">
        <v>5</v>
      </c>
      <c r="N524" s="178" t="s">
        <v>42</v>
      </c>
      <c r="O524" s="42"/>
      <c r="P524" s="179">
        <f>O524*H524</f>
        <v>0</v>
      </c>
      <c r="Q524" s="179">
        <v>4.0000000000000002E-4</v>
      </c>
      <c r="R524" s="179">
        <f>Q524*H524</f>
        <v>1.4460000000000002E-2</v>
      </c>
      <c r="S524" s="179">
        <v>0</v>
      </c>
      <c r="T524" s="180">
        <f>S524*H524</f>
        <v>0</v>
      </c>
      <c r="AR524" s="24" t="s">
        <v>204</v>
      </c>
      <c r="AT524" s="24" t="s">
        <v>138</v>
      </c>
      <c r="AU524" s="24" t="s">
        <v>81</v>
      </c>
      <c r="AY524" s="24" t="s">
        <v>136</v>
      </c>
      <c r="BE524" s="181">
        <f>IF(N524="základní",J524,0)</f>
        <v>4572.9799999999996</v>
      </c>
      <c r="BF524" s="181">
        <f>IF(N524="snížená",J524,0)</f>
        <v>0</v>
      </c>
      <c r="BG524" s="181">
        <f>IF(N524="zákl. přenesená",J524,0)</f>
        <v>0</v>
      </c>
      <c r="BH524" s="181">
        <f>IF(N524="sníž. přenesená",J524,0)</f>
        <v>0</v>
      </c>
      <c r="BI524" s="181">
        <f>IF(N524="nulová",J524,0)</f>
        <v>0</v>
      </c>
      <c r="BJ524" s="24" t="s">
        <v>79</v>
      </c>
      <c r="BK524" s="181">
        <f>ROUND(I524*H524,2)</f>
        <v>4572.9799999999996</v>
      </c>
      <c r="BL524" s="24" t="s">
        <v>204</v>
      </c>
      <c r="BM524" s="24" t="s">
        <v>533</v>
      </c>
    </row>
    <row r="525" spans="2:65" s="12" customFormat="1" x14ac:dyDescent="0.3">
      <c r="B525" s="190"/>
      <c r="D525" s="183" t="s">
        <v>145</v>
      </c>
      <c r="E525" s="191" t="s">
        <v>5</v>
      </c>
      <c r="F525" s="312" t="s">
        <v>1338</v>
      </c>
      <c r="H525" s="315">
        <f>(2*14.5+2*9.6)*1*0.75</f>
        <v>36.150000000000006</v>
      </c>
      <c r="I525" s="194">
        <v>0</v>
      </c>
      <c r="L525" s="41"/>
      <c r="M525" s="195"/>
      <c r="N525" s="196"/>
      <c r="O525" s="196"/>
      <c r="P525" s="196"/>
      <c r="Q525" s="196"/>
      <c r="R525" s="196"/>
      <c r="S525" s="196"/>
      <c r="T525" s="197"/>
      <c r="AT525" s="191" t="s">
        <v>145</v>
      </c>
      <c r="AU525" s="191" t="s">
        <v>81</v>
      </c>
      <c r="AV525" s="12" t="s">
        <v>81</v>
      </c>
      <c r="AW525" s="12" t="s">
        <v>35</v>
      </c>
      <c r="AX525" s="12" t="s">
        <v>79</v>
      </c>
      <c r="AY525" s="191" t="s">
        <v>136</v>
      </c>
    </row>
    <row r="526" spans="2:65" s="1" customFormat="1" ht="16.5" customHeight="1" x14ac:dyDescent="0.3">
      <c r="B526" s="169"/>
      <c r="C526" s="394" t="s">
        <v>534</v>
      </c>
      <c r="D526" s="206" t="s">
        <v>355</v>
      </c>
      <c r="E526" s="207" t="s">
        <v>526</v>
      </c>
      <c r="F526" s="208" t="s">
        <v>527</v>
      </c>
      <c r="G526" s="209" t="s">
        <v>179</v>
      </c>
      <c r="H526" s="355">
        <f>H527</f>
        <v>43.379999999999995</v>
      </c>
      <c r="I526" s="211">
        <v>128.79999999999998</v>
      </c>
      <c r="J526" s="212">
        <f>ROUND(I526*H526,2)</f>
        <v>5587.34</v>
      </c>
      <c r="K526" s="208" t="s">
        <v>5</v>
      </c>
      <c r="L526" s="41"/>
      <c r="M526" s="213" t="s">
        <v>5</v>
      </c>
      <c r="N526" s="214" t="s">
        <v>42</v>
      </c>
      <c r="O526" s="42"/>
      <c r="P526" s="179">
        <f>O526*H526</f>
        <v>0</v>
      </c>
      <c r="Q526" s="179">
        <v>4.4999999999999997E-3</v>
      </c>
      <c r="R526" s="179">
        <f>Q526*H526</f>
        <v>0.19520999999999997</v>
      </c>
      <c r="S526" s="179">
        <v>0</v>
      </c>
      <c r="T526" s="180">
        <f>S526*H526</f>
        <v>0</v>
      </c>
      <c r="AR526" s="24" t="s">
        <v>283</v>
      </c>
      <c r="AT526" s="24" t="s">
        <v>355</v>
      </c>
      <c r="AU526" s="24" t="s">
        <v>81</v>
      </c>
      <c r="AY526" s="24" t="s">
        <v>136</v>
      </c>
      <c r="BE526" s="181">
        <f>IF(N526="základní",J526,0)</f>
        <v>5587.34</v>
      </c>
      <c r="BF526" s="181">
        <f>IF(N526="snížená",J526,0)</f>
        <v>0</v>
      </c>
      <c r="BG526" s="181">
        <f>IF(N526="zákl. přenesená",J526,0)</f>
        <v>0</v>
      </c>
      <c r="BH526" s="181">
        <f>IF(N526="sníž. přenesená",J526,0)</f>
        <v>0</v>
      </c>
      <c r="BI526" s="181">
        <f>IF(N526="nulová",J526,0)</f>
        <v>0</v>
      </c>
      <c r="BJ526" s="24" t="s">
        <v>79</v>
      </c>
      <c r="BK526" s="181">
        <f>ROUND(I526*H526,2)</f>
        <v>5587.34</v>
      </c>
      <c r="BL526" s="24" t="s">
        <v>204</v>
      </c>
      <c r="BM526" s="24" t="s">
        <v>535</v>
      </c>
    </row>
    <row r="527" spans="2:65" s="12" customFormat="1" x14ac:dyDescent="0.3">
      <c r="B527" s="190"/>
      <c r="D527" s="183" t="s">
        <v>145</v>
      </c>
      <c r="F527" s="312" t="s">
        <v>1537</v>
      </c>
      <c r="G527" s="327"/>
      <c r="H527" s="315">
        <f>36.15*1.2</f>
        <v>43.379999999999995</v>
      </c>
      <c r="I527" s="194">
        <v>0</v>
      </c>
      <c r="L527" s="41"/>
      <c r="M527" s="195"/>
      <c r="N527" s="196"/>
      <c r="O527" s="196"/>
      <c r="P527" s="196"/>
      <c r="Q527" s="196"/>
      <c r="R527" s="196"/>
      <c r="S527" s="196"/>
      <c r="T527" s="197"/>
      <c r="AT527" s="191" t="s">
        <v>145</v>
      </c>
      <c r="AU527" s="191" t="s">
        <v>81</v>
      </c>
      <c r="AV527" s="12" t="s">
        <v>81</v>
      </c>
      <c r="AW527" s="12" t="s">
        <v>6</v>
      </c>
      <c r="AX527" s="12" t="s">
        <v>79</v>
      </c>
      <c r="AY527" s="191" t="s">
        <v>136</v>
      </c>
    </row>
    <row r="528" spans="2:65" s="1" customFormat="1" ht="25.5" customHeight="1" x14ac:dyDescent="0.3">
      <c r="B528" s="169"/>
      <c r="C528" s="170" t="s">
        <v>536</v>
      </c>
      <c r="D528" s="170" t="s">
        <v>138</v>
      </c>
      <c r="E528" s="171" t="s">
        <v>537</v>
      </c>
      <c r="F528" s="172" t="s">
        <v>538</v>
      </c>
      <c r="G528" s="173" t="s">
        <v>179</v>
      </c>
      <c r="H528" s="313">
        <f>H529</f>
        <v>53.02000000000001</v>
      </c>
      <c r="I528" s="175">
        <v>97.749999999999986</v>
      </c>
      <c r="J528" s="176">
        <f>ROUND(I528*H528,2)</f>
        <v>5182.71</v>
      </c>
      <c r="K528" s="172" t="s">
        <v>142</v>
      </c>
      <c r="L528" s="41"/>
      <c r="M528" s="177" t="s">
        <v>5</v>
      </c>
      <c r="N528" s="178" t="s">
        <v>42</v>
      </c>
      <c r="O528" s="42"/>
      <c r="P528" s="179">
        <f>O528*H528</f>
        <v>0</v>
      </c>
      <c r="Q528" s="179">
        <v>6.8999999999999997E-4</v>
      </c>
      <c r="R528" s="179">
        <f>Q528*H528</f>
        <v>3.6583800000000007E-2</v>
      </c>
      <c r="S528" s="179">
        <v>0</v>
      </c>
      <c r="T528" s="180">
        <f>S528*H528</f>
        <v>0</v>
      </c>
      <c r="AR528" s="24" t="s">
        <v>204</v>
      </c>
      <c r="AT528" s="24" t="s">
        <v>138</v>
      </c>
      <c r="AU528" s="24" t="s">
        <v>81</v>
      </c>
      <c r="AY528" s="24" t="s">
        <v>136</v>
      </c>
      <c r="BE528" s="181">
        <f>IF(N528="základní",J528,0)</f>
        <v>5182.71</v>
      </c>
      <c r="BF528" s="181">
        <f>IF(N528="snížená",J528,0)</f>
        <v>0</v>
      </c>
      <c r="BG528" s="181">
        <f>IF(N528="zákl. přenesená",J528,0)</f>
        <v>0</v>
      </c>
      <c r="BH528" s="181">
        <f>IF(N528="sníž. přenesená",J528,0)</f>
        <v>0</v>
      </c>
      <c r="BI528" s="181">
        <f>IF(N528="nulová",J528,0)</f>
        <v>0</v>
      </c>
      <c r="BJ528" s="24" t="s">
        <v>79</v>
      </c>
      <c r="BK528" s="181">
        <f>ROUND(I528*H528,2)</f>
        <v>5182.71</v>
      </c>
      <c r="BL528" s="24" t="s">
        <v>204</v>
      </c>
      <c r="BM528" s="24" t="s">
        <v>539</v>
      </c>
    </row>
    <row r="529" spans="2:65" s="12" customFormat="1" x14ac:dyDescent="0.3">
      <c r="B529" s="190"/>
      <c r="D529" s="183" t="s">
        <v>145</v>
      </c>
      <c r="E529" s="191" t="s">
        <v>5</v>
      </c>
      <c r="F529" s="312" t="s">
        <v>1339</v>
      </c>
      <c r="H529" s="315">
        <f>(2*14.5+2*9.6)*1.1</f>
        <v>53.02000000000001</v>
      </c>
      <c r="I529" s="194">
        <v>0</v>
      </c>
      <c r="J529" s="176">
        <f t="shared" ref="J529:J530" si="10">ROUND(I529*H529,2)</f>
        <v>0</v>
      </c>
      <c r="L529" s="41"/>
      <c r="M529" s="195"/>
      <c r="N529" s="196"/>
      <c r="O529" s="196"/>
      <c r="P529" s="196"/>
      <c r="Q529" s="196"/>
      <c r="R529" s="196"/>
      <c r="S529" s="196"/>
      <c r="T529" s="197"/>
      <c r="AT529" s="191" t="s">
        <v>145</v>
      </c>
      <c r="AU529" s="191" t="s">
        <v>81</v>
      </c>
      <c r="AV529" s="12" t="s">
        <v>81</v>
      </c>
      <c r="AW529" s="12" t="s">
        <v>35</v>
      </c>
      <c r="AX529" s="12" t="s">
        <v>79</v>
      </c>
      <c r="AY529" s="191" t="s">
        <v>136</v>
      </c>
    </row>
    <row r="530" spans="2:65" s="308" customFormat="1" ht="25.5" customHeight="1" x14ac:dyDescent="0.3">
      <c r="B530" s="169"/>
      <c r="C530" s="170"/>
      <c r="D530" s="170"/>
      <c r="E530" s="171"/>
      <c r="F530" s="172" t="s">
        <v>1340</v>
      </c>
      <c r="G530" s="173" t="s">
        <v>1341</v>
      </c>
      <c r="H530" s="174">
        <f>H531</f>
        <v>48.2</v>
      </c>
      <c r="I530" s="175">
        <v>252.99999999999997</v>
      </c>
      <c r="J530" s="176">
        <f t="shared" si="10"/>
        <v>12194.6</v>
      </c>
      <c r="K530" s="172"/>
      <c r="L530" s="41"/>
      <c r="M530" s="177"/>
      <c r="N530" s="178"/>
      <c r="O530" s="309"/>
      <c r="P530" s="179"/>
      <c r="Q530" s="179"/>
      <c r="R530" s="179"/>
      <c r="S530" s="179"/>
      <c r="T530" s="180"/>
      <c r="AR530" s="24"/>
      <c r="AT530" s="24"/>
      <c r="AU530" s="24"/>
      <c r="AY530" s="24"/>
      <c r="BE530" s="181"/>
      <c r="BF530" s="181"/>
      <c r="BG530" s="181"/>
      <c r="BH530" s="181"/>
      <c r="BI530" s="181"/>
      <c r="BJ530" s="24"/>
      <c r="BK530" s="181"/>
      <c r="BL530" s="24"/>
      <c r="BM530" s="24"/>
    </row>
    <row r="531" spans="2:65" s="12" customFormat="1" x14ac:dyDescent="0.3">
      <c r="B531" s="190"/>
      <c r="D531" s="183"/>
      <c r="E531" s="191"/>
      <c r="F531" s="312" t="s">
        <v>1342</v>
      </c>
      <c r="H531" s="315">
        <f>2*14.5+2*9.6</f>
        <v>48.2</v>
      </c>
      <c r="I531" s="194">
        <v>0</v>
      </c>
      <c r="L531" s="41"/>
      <c r="M531" s="195"/>
      <c r="N531" s="328"/>
      <c r="O531" s="328"/>
      <c r="P531" s="328"/>
      <c r="Q531" s="328"/>
      <c r="R531" s="328"/>
      <c r="S531" s="328"/>
      <c r="T531" s="197"/>
      <c r="AT531" s="191"/>
      <c r="AU531" s="191"/>
      <c r="AY531" s="191"/>
    </row>
    <row r="532" spans="2:65" s="1" customFormat="1" ht="25.5" customHeight="1" x14ac:dyDescent="0.3">
      <c r="B532" s="169"/>
      <c r="C532" s="170" t="s">
        <v>540</v>
      </c>
      <c r="D532" s="170" t="s">
        <v>138</v>
      </c>
      <c r="E532" s="171" t="s">
        <v>541</v>
      </c>
      <c r="F532" s="172" t="s">
        <v>542</v>
      </c>
      <c r="G532" s="173" t="s">
        <v>249</v>
      </c>
      <c r="H532" s="320">
        <f>SUM(H534:H539)</f>
        <v>77.599999999999994</v>
      </c>
      <c r="I532" s="175">
        <v>0</v>
      </c>
      <c r="J532" s="176">
        <f>ROUND(I532*H532,2)</f>
        <v>0</v>
      </c>
      <c r="K532" s="172" t="s">
        <v>142</v>
      </c>
      <c r="L532" s="41"/>
      <c r="M532" s="177" t="s">
        <v>5</v>
      </c>
      <c r="N532" s="178" t="s">
        <v>42</v>
      </c>
      <c r="O532" s="42"/>
      <c r="P532" s="179">
        <f>O532*H532</f>
        <v>0</v>
      </c>
      <c r="Q532" s="179">
        <v>0</v>
      </c>
      <c r="R532" s="179">
        <f>Q532*H532</f>
        <v>0</v>
      </c>
      <c r="S532" s="179">
        <v>0</v>
      </c>
      <c r="T532" s="180">
        <f>S532*H532</f>
        <v>0</v>
      </c>
      <c r="AR532" s="24" t="s">
        <v>204</v>
      </c>
      <c r="AT532" s="24" t="s">
        <v>138</v>
      </c>
      <c r="AU532" s="24" t="s">
        <v>81</v>
      </c>
      <c r="AY532" s="24" t="s">
        <v>136</v>
      </c>
      <c r="BE532" s="181">
        <f>IF(N532="základní",J532,0)</f>
        <v>0</v>
      </c>
      <c r="BF532" s="181">
        <f>IF(N532="snížená",J532,0)</f>
        <v>0</v>
      </c>
      <c r="BG532" s="181">
        <f>IF(N532="zákl. přenesená",J532,0)</f>
        <v>0</v>
      </c>
      <c r="BH532" s="181">
        <f>IF(N532="sníž. přenesená",J532,0)</f>
        <v>0</v>
      </c>
      <c r="BI532" s="181">
        <f>IF(N532="nulová",J532,0)</f>
        <v>0</v>
      </c>
      <c r="BJ532" s="24" t="s">
        <v>79</v>
      </c>
      <c r="BK532" s="181">
        <f>ROUND(I532*H532,2)</f>
        <v>0</v>
      </c>
      <c r="BL532" s="24" t="s">
        <v>204</v>
      </c>
      <c r="BM532" s="24" t="s">
        <v>543</v>
      </c>
    </row>
    <row r="533" spans="2:65" s="11" customFormat="1" x14ac:dyDescent="0.3">
      <c r="B533" s="182"/>
      <c r="D533" s="183" t="s">
        <v>145</v>
      </c>
      <c r="E533" s="184" t="s">
        <v>5</v>
      </c>
      <c r="F533" s="185" t="s">
        <v>243</v>
      </c>
      <c r="H533" s="184" t="s">
        <v>5</v>
      </c>
      <c r="I533" s="186">
        <v>0</v>
      </c>
      <c r="L533" s="41"/>
      <c r="M533" s="187"/>
      <c r="N533" s="188"/>
      <c r="O533" s="188"/>
      <c r="P533" s="188"/>
      <c r="Q533" s="188"/>
      <c r="R533" s="188"/>
      <c r="S533" s="188"/>
      <c r="T533" s="189"/>
      <c r="AT533" s="184" t="s">
        <v>145</v>
      </c>
      <c r="AU533" s="184" t="s">
        <v>81</v>
      </c>
      <c r="AV533" s="11" t="s">
        <v>79</v>
      </c>
      <c r="AW533" s="11" t="s">
        <v>35</v>
      </c>
      <c r="AX533" s="11" t="s">
        <v>71</v>
      </c>
      <c r="AY533" s="184" t="s">
        <v>136</v>
      </c>
    </row>
    <row r="534" spans="2:65" s="12" customFormat="1" x14ac:dyDescent="0.3">
      <c r="B534" s="190"/>
      <c r="D534" s="183" t="s">
        <v>145</v>
      </c>
      <c r="E534" s="333" t="s">
        <v>1333</v>
      </c>
      <c r="F534" s="192" t="s">
        <v>544</v>
      </c>
      <c r="H534" s="193">
        <v>30.15</v>
      </c>
      <c r="I534" s="194">
        <v>0</v>
      </c>
      <c r="L534" s="41"/>
      <c r="M534" s="195"/>
      <c r="N534" s="196"/>
      <c r="O534" s="196"/>
      <c r="P534" s="196"/>
      <c r="Q534" s="196"/>
      <c r="R534" s="196"/>
      <c r="S534" s="196"/>
      <c r="T534" s="197"/>
      <c r="AT534" s="191" t="s">
        <v>145</v>
      </c>
      <c r="AU534" s="191" t="s">
        <v>81</v>
      </c>
      <c r="AV534" s="12" t="s">
        <v>81</v>
      </c>
      <c r="AW534" s="12" t="s">
        <v>35</v>
      </c>
      <c r="AX534" s="12" t="s">
        <v>71</v>
      </c>
      <c r="AY534" s="191" t="s">
        <v>136</v>
      </c>
    </row>
    <row r="535" spans="2:65" s="12" customFormat="1" x14ac:dyDescent="0.3">
      <c r="B535" s="190"/>
      <c r="D535" s="183" t="s">
        <v>145</v>
      </c>
      <c r="E535" s="333" t="s">
        <v>1333</v>
      </c>
      <c r="F535" s="192" t="s">
        <v>545</v>
      </c>
      <c r="H535" s="193">
        <v>6</v>
      </c>
      <c r="I535" s="194">
        <v>0</v>
      </c>
      <c r="L535" s="41"/>
      <c r="M535" s="195"/>
      <c r="N535" s="196"/>
      <c r="O535" s="196"/>
      <c r="P535" s="196"/>
      <c r="Q535" s="196"/>
      <c r="R535" s="196"/>
      <c r="S535" s="196"/>
      <c r="T535" s="197"/>
      <c r="AT535" s="191" t="s">
        <v>145</v>
      </c>
      <c r="AU535" s="191" t="s">
        <v>81</v>
      </c>
      <c r="AV535" s="12" t="s">
        <v>81</v>
      </c>
      <c r="AW535" s="12" t="s">
        <v>35</v>
      </c>
      <c r="AX535" s="12" t="s">
        <v>71</v>
      </c>
      <c r="AY535" s="191" t="s">
        <v>136</v>
      </c>
    </row>
    <row r="536" spans="2:65" s="12" customFormat="1" x14ac:dyDescent="0.3">
      <c r="B536" s="190"/>
      <c r="D536" s="183" t="s">
        <v>145</v>
      </c>
      <c r="E536" s="333" t="s">
        <v>1333</v>
      </c>
      <c r="F536" s="192" t="s">
        <v>546</v>
      </c>
      <c r="H536" s="193">
        <v>0.9</v>
      </c>
      <c r="I536" s="194">
        <v>0</v>
      </c>
      <c r="L536" s="41"/>
      <c r="M536" s="195"/>
      <c r="N536" s="196"/>
      <c r="O536" s="196"/>
      <c r="P536" s="196"/>
      <c r="Q536" s="196"/>
      <c r="R536" s="196"/>
      <c r="S536" s="196"/>
      <c r="T536" s="197"/>
      <c r="AT536" s="191" t="s">
        <v>145</v>
      </c>
      <c r="AU536" s="191" t="s">
        <v>81</v>
      </c>
      <c r="AV536" s="12" t="s">
        <v>81</v>
      </c>
      <c r="AW536" s="12" t="s">
        <v>35</v>
      </c>
      <c r="AX536" s="12" t="s">
        <v>71</v>
      </c>
      <c r="AY536" s="191" t="s">
        <v>136</v>
      </c>
    </row>
    <row r="537" spans="2:65" s="11" customFormat="1" x14ac:dyDescent="0.3">
      <c r="B537" s="182"/>
      <c r="D537" s="183" t="s">
        <v>145</v>
      </c>
      <c r="E537" s="184" t="s">
        <v>5</v>
      </c>
      <c r="F537" s="185" t="s">
        <v>244</v>
      </c>
      <c r="H537" s="184" t="s">
        <v>5</v>
      </c>
      <c r="I537" s="186">
        <v>0</v>
      </c>
      <c r="L537" s="41"/>
      <c r="M537" s="187"/>
      <c r="N537" s="188"/>
      <c r="O537" s="188"/>
      <c r="P537" s="188"/>
      <c r="Q537" s="188"/>
      <c r="R537" s="188"/>
      <c r="S537" s="188"/>
      <c r="T537" s="189"/>
      <c r="AT537" s="184" t="s">
        <v>145</v>
      </c>
      <c r="AU537" s="184" t="s">
        <v>81</v>
      </c>
      <c r="AV537" s="11" t="s">
        <v>79</v>
      </c>
      <c r="AW537" s="11" t="s">
        <v>35</v>
      </c>
      <c r="AX537" s="11" t="s">
        <v>71</v>
      </c>
      <c r="AY537" s="184" t="s">
        <v>136</v>
      </c>
    </row>
    <row r="538" spans="2:65" s="12" customFormat="1" x14ac:dyDescent="0.3">
      <c r="B538" s="190"/>
      <c r="D538" s="183" t="s">
        <v>145</v>
      </c>
      <c r="E538" s="191" t="s">
        <v>5</v>
      </c>
      <c r="F538" s="312" t="s">
        <v>1343</v>
      </c>
      <c r="G538" s="327"/>
      <c r="H538" s="315">
        <f>(2.35*2+1.95*2)*2+(7*0.15+2.2)*2</f>
        <v>23.7</v>
      </c>
      <c r="I538" s="194">
        <v>0</v>
      </c>
      <c r="L538" s="41"/>
      <c r="M538" s="195"/>
      <c r="N538" s="196"/>
      <c r="O538" s="196"/>
      <c r="P538" s="196"/>
      <c r="Q538" s="196"/>
      <c r="R538" s="196"/>
      <c r="S538" s="196"/>
      <c r="T538" s="197"/>
      <c r="AT538" s="191" t="s">
        <v>145</v>
      </c>
      <c r="AU538" s="191" t="s">
        <v>81</v>
      </c>
      <c r="AV538" s="12" t="s">
        <v>81</v>
      </c>
      <c r="AW538" s="12" t="s">
        <v>35</v>
      </c>
      <c r="AX538" s="12" t="s">
        <v>71</v>
      </c>
      <c r="AY538" s="191" t="s">
        <v>136</v>
      </c>
    </row>
    <row r="539" spans="2:65" s="12" customFormat="1" x14ac:dyDescent="0.3">
      <c r="B539" s="190"/>
      <c r="D539" s="183" t="s">
        <v>145</v>
      </c>
      <c r="E539" s="191" t="s">
        <v>5</v>
      </c>
      <c r="F539" s="312" t="s">
        <v>1344</v>
      </c>
      <c r="G539" s="327"/>
      <c r="H539" s="315">
        <f>(2.175*2+1.95*2)+(4*0.15+4*2)</f>
        <v>16.850000000000001</v>
      </c>
      <c r="I539" s="194">
        <v>0</v>
      </c>
      <c r="L539" s="41"/>
      <c r="M539" s="195"/>
      <c r="N539" s="196"/>
      <c r="O539" s="196"/>
      <c r="P539" s="196"/>
      <c r="Q539" s="196"/>
      <c r="R539" s="196"/>
      <c r="S539" s="196"/>
      <c r="T539" s="197"/>
      <c r="AT539" s="191" t="s">
        <v>145</v>
      </c>
      <c r="AU539" s="191" t="s">
        <v>81</v>
      </c>
      <c r="AV539" s="12" t="s">
        <v>81</v>
      </c>
      <c r="AW539" s="12" t="s">
        <v>35</v>
      </c>
      <c r="AX539" s="12" t="s">
        <v>71</v>
      </c>
      <c r="AY539" s="191" t="s">
        <v>136</v>
      </c>
    </row>
    <row r="540" spans="2:65" s="12" customFormat="1" x14ac:dyDescent="0.3">
      <c r="B540" s="190"/>
      <c r="D540" s="183" t="s">
        <v>145</v>
      </c>
      <c r="E540" s="191" t="s">
        <v>5</v>
      </c>
      <c r="F540" s="312"/>
      <c r="G540" s="327"/>
      <c r="H540" s="315"/>
      <c r="I540" s="194">
        <v>0</v>
      </c>
      <c r="L540" s="41"/>
      <c r="M540" s="195"/>
      <c r="N540" s="196"/>
      <c r="O540" s="196"/>
      <c r="P540" s="196"/>
      <c r="Q540" s="196"/>
      <c r="R540" s="196"/>
      <c r="S540" s="196"/>
      <c r="T540" s="197"/>
      <c r="AT540" s="191" t="s">
        <v>145</v>
      </c>
      <c r="AU540" s="191" t="s">
        <v>81</v>
      </c>
      <c r="AV540" s="12" t="s">
        <v>81</v>
      </c>
      <c r="AW540" s="12" t="s">
        <v>35</v>
      </c>
      <c r="AX540" s="12" t="s">
        <v>71</v>
      </c>
      <c r="AY540" s="191" t="s">
        <v>136</v>
      </c>
    </row>
    <row r="541" spans="2:65" s="12" customFormat="1" x14ac:dyDescent="0.3">
      <c r="B541" s="190"/>
      <c r="D541" s="183" t="s">
        <v>145</v>
      </c>
      <c r="E541" s="191" t="s">
        <v>5</v>
      </c>
      <c r="F541" s="312"/>
      <c r="G541" s="327"/>
      <c r="H541" s="315"/>
      <c r="I541" s="194">
        <v>0</v>
      </c>
      <c r="L541" s="41"/>
      <c r="M541" s="195"/>
      <c r="N541" s="196"/>
      <c r="O541" s="196"/>
      <c r="P541" s="196"/>
      <c r="Q541" s="196"/>
      <c r="R541" s="196"/>
      <c r="S541" s="196"/>
      <c r="T541" s="197"/>
      <c r="AT541" s="191" t="s">
        <v>145</v>
      </c>
      <c r="AU541" s="191" t="s">
        <v>81</v>
      </c>
      <c r="AV541" s="12" t="s">
        <v>81</v>
      </c>
      <c r="AW541" s="12" t="s">
        <v>35</v>
      </c>
      <c r="AX541" s="12" t="s">
        <v>71</v>
      </c>
      <c r="AY541" s="191" t="s">
        <v>136</v>
      </c>
    </row>
    <row r="542" spans="2:65" s="12" customFormat="1" x14ac:dyDescent="0.3">
      <c r="B542" s="190"/>
      <c r="D542" s="183" t="s">
        <v>145</v>
      </c>
      <c r="E542" s="191" t="s">
        <v>5</v>
      </c>
      <c r="F542" s="312"/>
      <c r="G542" s="327"/>
      <c r="H542" s="315"/>
      <c r="I542" s="194">
        <v>0</v>
      </c>
      <c r="L542" s="41"/>
      <c r="M542" s="195"/>
      <c r="N542" s="196"/>
      <c r="O542" s="196"/>
      <c r="P542" s="196"/>
      <c r="Q542" s="196"/>
      <c r="R542" s="196"/>
      <c r="S542" s="196"/>
      <c r="T542" s="197"/>
      <c r="AT542" s="191" t="s">
        <v>145</v>
      </c>
      <c r="AU542" s="191" t="s">
        <v>81</v>
      </c>
      <c r="AV542" s="12" t="s">
        <v>81</v>
      </c>
      <c r="AW542" s="12" t="s">
        <v>35</v>
      </c>
      <c r="AX542" s="12" t="s">
        <v>71</v>
      </c>
      <c r="AY542" s="191" t="s">
        <v>136</v>
      </c>
    </row>
    <row r="543" spans="2:65" s="13" customFormat="1" x14ac:dyDescent="0.3">
      <c r="B543" s="198"/>
      <c r="D543" s="183" t="s">
        <v>145</v>
      </c>
      <c r="E543" s="199" t="s">
        <v>5</v>
      </c>
      <c r="F543" s="200"/>
      <c r="H543" s="201"/>
      <c r="I543" s="202">
        <v>0</v>
      </c>
      <c r="L543" s="41"/>
      <c r="M543" s="203"/>
      <c r="N543" s="204"/>
      <c r="O543" s="204"/>
      <c r="P543" s="204"/>
      <c r="Q543" s="204"/>
      <c r="R543" s="204"/>
      <c r="S543" s="204"/>
      <c r="T543" s="205"/>
      <c r="AT543" s="199" t="s">
        <v>145</v>
      </c>
      <c r="AU543" s="199" t="s">
        <v>81</v>
      </c>
      <c r="AV543" s="13" t="s">
        <v>143</v>
      </c>
      <c r="AW543" s="13" t="s">
        <v>35</v>
      </c>
      <c r="AX543" s="13" t="s">
        <v>79</v>
      </c>
      <c r="AY543" s="199" t="s">
        <v>136</v>
      </c>
    </row>
    <row r="544" spans="2:65" s="1" customFormat="1" ht="16.5" customHeight="1" x14ac:dyDescent="0.3">
      <c r="B544" s="169"/>
      <c r="C544" s="206" t="s">
        <v>547</v>
      </c>
      <c r="D544" s="206" t="s">
        <v>355</v>
      </c>
      <c r="E544" s="207" t="s">
        <v>548</v>
      </c>
      <c r="F544" s="208" t="s">
        <v>549</v>
      </c>
      <c r="G544" s="209" t="s">
        <v>249</v>
      </c>
      <c r="H544" s="355">
        <f>H545</f>
        <v>85.36</v>
      </c>
      <c r="I544" s="211">
        <v>0</v>
      </c>
      <c r="J544" s="212">
        <f>ROUND(I544*H544,2)</f>
        <v>0</v>
      </c>
      <c r="K544" s="208" t="s">
        <v>142</v>
      </c>
      <c r="L544" s="41"/>
      <c r="M544" s="213" t="s">
        <v>5</v>
      </c>
      <c r="N544" s="214" t="s">
        <v>42</v>
      </c>
      <c r="O544" s="42"/>
      <c r="P544" s="179">
        <f>O544*H544</f>
        <v>0</v>
      </c>
      <c r="Q544" s="179">
        <v>9.0000000000000006E-5</v>
      </c>
      <c r="R544" s="179">
        <f>Q544*H544</f>
        <v>7.6824000000000007E-3</v>
      </c>
      <c r="S544" s="179">
        <v>0</v>
      </c>
      <c r="T544" s="180">
        <f>S544*H544</f>
        <v>0</v>
      </c>
      <c r="AR544" s="24" t="s">
        <v>283</v>
      </c>
      <c r="AT544" s="24" t="s">
        <v>355</v>
      </c>
      <c r="AU544" s="24" t="s">
        <v>81</v>
      </c>
      <c r="AY544" s="24" t="s">
        <v>136</v>
      </c>
      <c r="BE544" s="181">
        <f>IF(N544="základní",J544,0)</f>
        <v>0</v>
      </c>
      <c r="BF544" s="181">
        <f>IF(N544="snížená",J544,0)</f>
        <v>0</v>
      </c>
      <c r="BG544" s="181">
        <f>IF(N544="zákl. přenesená",J544,0)</f>
        <v>0</v>
      </c>
      <c r="BH544" s="181">
        <f>IF(N544="sníž. přenesená",J544,0)</f>
        <v>0</v>
      </c>
      <c r="BI544" s="181">
        <f>IF(N544="nulová",J544,0)</f>
        <v>0</v>
      </c>
      <c r="BJ544" s="24" t="s">
        <v>79</v>
      </c>
      <c r="BK544" s="181">
        <f>ROUND(I544*H544,2)</f>
        <v>0</v>
      </c>
      <c r="BL544" s="24" t="s">
        <v>204</v>
      </c>
      <c r="BM544" s="24" t="s">
        <v>550</v>
      </c>
    </row>
    <row r="545" spans="2:65" s="12" customFormat="1" x14ac:dyDescent="0.3">
      <c r="B545" s="190"/>
      <c r="D545" s="183" t="s">
        <v>145</v>
      </c>
      <c r="F545" s="312" t="s">
        <v>1345</v>
      </c>
      <c r="H545" s="315">
        <f>77.6*1.1</f>
        <v>85.36</v>
      </c>
      <c r="I545" s="194">
        <v>0</v>
      </c>
      <c r="L545" s="41"/>
      <c r="M545" s="195"/>
      <c r="N545" s="196"/>
      <c r="O545" s="196"/>
      <c r="P545" s="196"/>
      <c r="Q545" s="196"/>
      <c r="R545" s="196"/>
      <c r="S545" s="196"/>
      <c r="T545" s="197"/>
      <c r="AT545" s="191" t="s">
        <v>145</v>
      </c>
      <c r="AU545" s="191" t="s">
        <v>81</v>
      </c>
      <c r="AV545" s="12" t="s">
        <v>81</v>
      </c>
      <c r="AW545" s="12" t="s">
        <v>6</v>
      </c>
      <c r="AX545" s="12" t="s">
        <v>79</v>
      </c>
      <c r="AY545" s="191" t="s">
        <v>136</v>
      </c>
    </row>
    <row r="546" spans="2:65" s="1" customFormat="1" ht="25.5" customHeight="1" x14ac:dyDescent="0.3">
      <c r="B546" s="169"/>
      <c r="C546" s="170" t="s">
        <v>551</v>
      </c>
      <c r="D546" s="170" t="s">
        <v>138</v>
      </c>
      <c r="E546" s="171" t="s">
        <v>552</v>
      </c>
      <c r="F546" s="172" t="s">
        <v>553</v>
      </c>
      <c r="G546" s="173" t="s">
        <v>554</v>
      </c>
      <c r="H546" s="226">
        <v>1348.23</v>
      </c>
      <c r="I546" s="175">
        <v>3.4499999999999997</v>
      </c>
      <c r="J546" s="176">
        <f>ROUND(I546*H546,2)</f>
        <v>4651.3900000000003</v>
      </c>
      <c r="K546" s="172" t="s">
        <v>142</v>
      </c>
      <c r="L546" s="41"/>
      <c r="M546" s="177" t="s">
        <v>5</v>
      </c>
      <c r="N546" s="178" t="s">
        <v>42</v>
      </c>
      <c r="O546" s="42"/>
      <c r="P546" s="179">
        <f>O546*H546</f>
        <v>0</v>
      </c>
      <c r="Q546" s="179">
        <v>0</v>
      </c>
      <c r="R546" s="179">
        <f>Q546*H546</f>
        <v>0</v>
      </c>
      <c r="S546" s="179">
        <v>0</v>
      </c>
      <c r="T546" s="180">
        <f>S546*H546</f>
        <v>0</v>
      </c>
      <c r="AR546" s="24" t="s">
        <v>204</v>
      </c>
      <c r="AT546" s="24" t="s">
        <v>138</v>
      </c>
      <c r="AU546" s="24" t="s">
        <v>81</v>
      </c>
      <c r="AY546" s="24" t="s">
        <v>136</v>
      </c>
      <c r="BE546" s="181">
        <f>IF(N546="základní",J546,0)</f>
        <v>4651.3900000000003</v>
      </c>
      <c r="BF546" s="181">
        <f>IF(N546="snížená",J546,0)</f>
        <v>0</v>
      </c>
      <c r="BG546" s="181">
        <f>IF(N546="zákl. přenesená",J546,0)</f>
        <v>0</v>
      </c>
      <c r="BH546" s="181">
        <f>IF(N546="sníž. přenesená",J546,0)</f>
        <v>0</v>
      </c>
      <c r="BI546" s="181">
        <f>IF(N546="nulová",J546,0)</f>
        <v>0</v>
      </c>
      <c r="BJ546" s="24" t="s">
        <v>79</v>
      </c>
      <c r="BK546" s="181">
        <f>ROUND(I546*H546,2)</f>
        <v>4651.3900000000003</v>
      </c>
      <c r="BL546" s="24" t="s">
        <v>204</v>
      </c>
      <c r="BM546" s="24" t="s">
        <v>555</v>
      </c>
    </row>
    <row r="547" spans="2:65" s="10" customFormat="1" ht="29.85" customHeight="1" x14ac:dyDescent="0.3">
      <c r="B547" s="156"/>
      <c r="D547" s="157" t="s">
        <v>70</v>
      </c>
      <c r="E547" s="167" t="s">
        <v>556</v>
      </c>
      <c r="F547" s="167" t="s">
        <v>557</v>
      </c>
      <c r="I547" s="159">
        <v>0</v>
      </c>
      <c r="J547" s="168">
        <f>SUM(J548:J595)</f>
        <v>95425.709999999992</v>
      </c>
      <c r="L547" s="41"/>
      <c r="M547" s="161"/>
      <c r="N547" s="162"/>
      <c r="O547" s="162"/>
      <c r="P547" s="163">
        <f>SUM(P548:P595)</f>
        <v>0</v>
      </c>
      <c r="Q547" s="162"/>
      <c r="R547" s="163">
        <f>SUM(R548:R595)</f>
        <v>7.9899749099999999</v>
      </c>
      <c r="S547" s="162"/>
      <c r="T547" s="164">
        <f>SUM(T548:T595)</f>
        <v>0</v>
      </c>
      <c r="AR547" s="157" t="s">
        <v>81</v>
      </c>
      <c r="AT547" s="165" t="s">
        <v>70</v>
      </c>
      <c r="AU547" s="165" t="s">
        <v>79</v>
      </c>
      <c r="AY547" s="157" t="s">
        <v>136</v>
      </c>
      <c r="BK547" s="166">
        <f>SUM(BK548:BK595)</f>
        <v>88525.709999999992</v>
      </c>
    </row>
    <row r="548" spans="2:65" s="1" customFormat="1" ht="25.5" customHeight="1" x14ac:dyDescent="0.3">
      <c r="B548" s="169"/>
      <c r="C548" s="170" t="s">
        <v>558</v>
      </c>
      <c r="D548" s="170" t="s">
        <v>138</v>
      </c>
      <c r="E548" s="171" t="s">
        <v>559</v>
      </c>
      <c r="F548" s="172" t="s">
        <v>560</v>
      </c>
      <c r="G548" s="173" t="s">
        <v>179</v>
      </c>
      <c r="H548" s="313">
        <f>SUM(H549:H550)</f>
        <v>68.054999999999993</v>
      </c>
      <c r="I548" s="175">
        <v>23</v>
      </c>
      <c r="J548" s="176">
        <f>ROUND(I548*H548,2)</f>
        <v>1565.27</v>
      </c>
      <c r="K548" s="172" t="s">
        <v>142</v>
      </c>
      <c r="L548" s="41"/>
      <c r="M548" s="177" t="s">
        <v>5</v>
      </c>
      <c r="N548" s="178" t="s">
        <v>42</v>
      </c>
      <c r="O548" s="42"/>
      <c r="P548" s="179">
        <f>O548*H548</f>
        <v>0</v>
      </c>
      <c r="Q548" s="179">
        <v>0</v>
      </c>
      <c r="R548" s="179">
        <f>Q548*H548</f>
        <v>0</v>
      </c>
      <c r="S548" s="179">
        <v>0</v>
      </c>
      <c r="T548" s="180">
        <f>S548*H548</f>
        <v>0</v>
      </c>
      <c r="AR548" s="24" t="s">
        <v>204</v>
      </c>
      <c r="AT548" s="24" t="s">
        <v>138</v>
      </c>
      <c r="AU548" s="24" t="s">
        <v>81</v>
      </c>
      <c r="AY548" s="24" t="s">
        <v>136</v>
      </c>
      <c r="BE548" s="181">
        <f>IF(N548="základní",J548,0)</f>
        <v>1565.27</v>
      </c>
      <c r="BF548" s="181">
        <f>IF(N548="snížená",J548,0)</f>
        <v>0</v>
      </c>
      <c r="BG548" s="181">
        <f>IF(N548="zákl. přenesená",J548,0)</f>
        <v>0</v>
      </c>
      <c r="BH548" s="181">
        <f>IF(N548="sníž. přenesená",J548,0)</f>
        <v>0</v>
      </c>
      <c r="BI548" s="181">
        <f>IF(N548="nulová",J548,0)</f>
        <v>0</v>
      </c>
      <c r="BJ548" s="24" t="s">
        <v>79</v>
      </c>
      <c r="BK548" s="181">
        <f>ROUND(I548*H548,2)</f>
        <v>1565.27</v>
      </c>
      <c r="BL548" s="24" t="s">
        <v>204</v>
      </c>
      <c r="BM548" s="24" t="s">
        <v>561</v>
      </c>
    </row>
    <row r="549" spans="2:65" s="12" customFormat="1" x14ac:dyDescent="0.3">
      <c r="B549" s="190"/>
      <c r="D549" s="183" t="s">
        <v>145</v>
      </c>
      <c r="E549" s="314" t="s">
        <v>1346</v>
      </c>
      <c r="F549" s="312" t="s">
        <v>1351</v>
      </c>
      <c r="H549" s="315">
        <f>4.3*8.95+(4.3*2+8.95*2)*0.5</f>
        <v>51.734999999999992</v>
      </c>
      <c r="I549" s="194">
        <v>0</v>
      </c>
      <c r="L549" s="41"/>
      <c r="M549" s="195"/>
      <c r="N549" s="196"/>
      <c r="O549" s="196"/>
      <c r="P549" s="196"/>
      <c r="Q549" s="196"/>
      <c r="R549" s="196"/>
      <c r="S549" s="196"/>
      <c r="T549" s="197"/>
      <c r="AT549" s="191" t="s">
        <v>145</v>
      </c>
      <c r="AU549" s="191" t="s">
        <v>81</v>
      </c>
      <c r="AV549" s="12" t="s">
        <v>81</v>
      </c>
      <c r="AW549" s="12" t="s">
        <v>35</v>
      </c>
      <c r="AX549" s="12" t="s">
        <v>71</v>
      </c>
      <c r="AY549" s="191" t="s">
        <v>136</v>
      </c>
    </row>
    <row r="550" spans="2:65" s="12" customFormat="1" x14ac:dyDescent="0.3">
      <c r="B550" s="190"/>
      <c r="D550" s="183" t="s">
        <v>145</v>
      </c>
      <c r="E550" s="314" t="s">
        <v>1348</v>
      </c>
      <c r="F550" s="312" t="s">
        <v>1352</v>
      </c>
      <c r="H550" s="315">
        <f>(2.7*1.7)*3+(1.7*0.5*3)</f>
        <v>16.32</v>
      </c>
      <c r="I550" s="194">
        <v>0</v>
      </c>
      <c r="L550" s="41"/>
      <c r="M550" s="195"/>
      <c r="N550" s="196"/>
      <c r="O550" s="196"/>
      <c r="P550" s="196"/>
      <c r="Q550" s="196"/>
      <c r="R550" s="196"/>
      <c r="S550" s="196"/>
      <c r="T550" s="197"/>
      <c r="AT550" s="191" t="s">
        <v>145</v>
      </c>
      <c r="AU550" s="191" t="s">
        <v>81</v>
      </c>
      <c r="AV550" s="12" t="s">
        <v>81</v>
      </c>
      <c r="AW550" s="12" t="s">
        <v>35</v>
      </c>
      <c r="AX550" s="12" t="s">
        <v>71</v>
      </c>
      <c r="AY550" s="191" t="s">
        <v>136</v>
      </c>
    </row>
    <row r="551" spans="2:65" s="12" customFormat="1" x14ac:dyDescent="0.3">
      <c r="B551" s="190"/>
      <c r="D551" s="183" t="s">
        <v>145</v>
      </c>
      <c r="E551" s="191" t="s">
        <v>5</v>
      </c>
      <c r="F551" s="192"/>
      <c r="H551" s="193"/>
      <c r="I551" s="194">
        <v>0</v>
      </c>
      <c r="L551" s="41"/>
      <c r="M551" s="195"/>
      <c r="N551" s="196"/>
      <c r="O551" s="196"/>
      <c r="P551" s="196"/>
      <c r="Q551" s="196"/>
      <c r="R551" s="196"/>
      <c r="S551" s="196"/>
      <c r="T551" s="197"/>
      <c r="AT551" s="191" t="s">
        <v>145</v>
      </c>
      <c r="AU551" s="191" t="s">
        <v>81</v>
      </c>
      <c r="AV551" s="12" t="s">
        <v>81</v>
      </c>
      <c r="AW551" s="12" t="s">
        <v>35</v>
      </c>
      <c r="AX551" s="12" t="s">
        <v>71</v>
      </c>
      <c r="AY551" s="191" t="s">
        <v>136</v>
      </c>
    </row>
    <row r="552" spans="2:65" s="13" customFormat="1" x14ac:dyDescent="0.3">
      <c r="B552" s="198"/>
      <c r="D552" s="183" t="s">
        <v>145</v>
      </c>
      <c r="E552" s="199" t="s">
        <v>5</v>
      </c>
      <c r="F552" s="200"/>
      <c r="H552" s="201"/>
      <c r="I552" s="202">
        <v>0</v>
      </c>
      <c r="L552" s="41"/>
      <c r="M552" s="203"/>
      <c r="N552" s="204"/>
      <c r="O552" s="204"/>
      <c r="P552" s="204"/>
      <c r="Q552" s="204"/>
      <c r="R552" s="204"/>
      <c r="S552" s="204"/>
      <c r="T552" s="205"/>
      <c r="AT552" s="199" t="s">
        <v>145</v>
      </c>
      <c r="AU552" s="199" t="s">
        <v>81</v>
      </c>
      <c r="AV552" s="13" t="s">
        <v>143</v>
      </c>
      <c r="AW552" s="13" t="s">
        <v>35</v>
      </c>
      <c r="AX552" s="13" t="s">
        <v>79</v>
      </c>
      <c r="AY552" s="199" t="s">
        <v>136</v>
      </c>
    </row>
    <row r="553" spans="2:65" s="1" customFormat="1" ht="16.5" customHeight="1" x14ac:dyDescent="0.3">
      <c r="B553" s="169"/>
      <c r="C553" s="206" t="s">
        <v>562</v>
      </c>
      <c r="D553" s="206" t="s">
        <v>355</v>
      </c>
      <c r="E553" s="207" t="s">
        <v>563</v>
      </c>
      <c r="F553" s="208" t="s">
        <v>564</v>
      </c>
      <c r="G553" s="209" t="s">
        <v>164</v>
      </c>
      <c r="H553" s="355">
        <f>H555</f>
        <v>2.7222000000000003E-2</v>
      </c>
      <c r="I553" s="211">
        <v>63249.999999999993</v>
      </c>
      <c r="J553" s="212">
        <f>ROUND(I553*H553,2)</f>
        <v>1721.79</v>
      </c>
      <c r="K553" s="208" t="s">
        <v>142</v>
      </c>
      <c r="L553" s="41"/>
      <c r="M553" s="213" t="s">
        <v>5</v>
      </c>
      <c r="N553" s="214" t="s">
        <v>42</v>
      </c>
      <c r="O553" s="42"/>
      <c r="P553" s="179">
        <f>O553*H553</f>
        <v>0</v>
      </c>
      <c r="Q553" s="179">
        <v>1</v>
      </c>
      <c r="R553" s="179">
        <f>Q553*H553</f>
        <v>2.7222000000000003E-2</v>
      </c>
      <c r="S553" s="179">
        <v>0</v>
      </c>
      <c r="T553" s="180">
        <f>S553*H553</f>
        <v>0</v>
      </c>
      <c r="AR553" s="24" t="s">
        <v>283</v>
      </c>
      <c r="AT553" s="24" t="s">
        <v>355</v>
      </c>
      <c r="AU553" s="24" t="s">
        <v>81</v>
      </c>
      <c r="AY553" s="24" t="s">
        <v>136</v>
      </c>
      <c r="BE553" s="181">
        <f>IF(N553="základní",J553,0)</f>
        <v>1721.79</v>
      </c>
      <c r="BF553" s="181">
        <f>IF(N553="snížená",J553,0)</f>
        <v>0</v>
      </c>
      <c r="BG553" s="181">
        <f>IF(N553="zákl. přenesená",J553,0)</f>
        <v>0</v>
      </c>
      <c r="BH553" s="181">
        <f>IF(N553="sníž. přenesená",J553,0)</f>
        <v>0</v>
      </c>
      <c r="BI553" s="181">
        <f>IF(N553="nulová",J553,0)</f>
        <v>0</v>
      </c>
      <c r="BJ553" s="24" t="s">
        <v>79</v>
      </c>
      <c r="BK553" s="181">
        <f>ROUND(I553*H553,2)</f>
        <v>1721.79</v>
      </c>
      <c r="BL553" s="24" t="s">
        <v>204</v>
      </c>
      <c r="BM553" s="24" t="s">
        <v>565</v>
      </c>
    </row>
    <row r="554" spans="2:65" s="1" customFormat="1" ht="27" x14ac:dyDescent="0.3">
      <c r="B554" s="41"/>
      <c r="D554" s="183" t="s">
        <v>406</v>
      </c>
      <c r="F554" s="223" t="s">
        <v>566</v>
      </c>
      <c r="I554" s="224">
        <v>0</v>
      </c>
      <c r="L554" s="41"/>
      <c r="M554" s="225"/>
      <c r="N554" s="42"/>
      <c r="O554" s="42"/>
      <c r="P554" s="42"/>
      <c r="Q554" s="42"/>
      <c r="R554" s="42"/>
      <c r="S554" s="42"/>
      <c r="T554" s="70"/>
      <c r="AT554" s="24" t="s">
        <v>406</v>
      </c>
      <c r="AU554" s="24" t="s">
        <v>81</v>
      </c>
    </row>
    <row r="555" spans="2:65" s="12" customFormat="1" x14ac:dyDescent="0.3">
      <c r="B555" s="190"/>
      <c r="D555" s="183" t="s">
        <v>145</v>
      </c>
      <c r="F555" s="321" t="s">
        <v>1353</v>
      </c>
      <c r="H555" s="315">
        <f>68.055*0.0004</f>
        <v>2.7222000000000003E-2</v>
      </c>
      <c r="I555" s="194">
        <v>0</v>
      </c>
      <c r="L555" s="41"/>
      <c r="M555" s="195"/>
      <c r="N555" s="196"/>
      <c r="O555" s="196"/>
      <c r="P555" s="196"/>
      <c r="Q555" s="196"/>
      <c r="R555" s="196"/>
      <c r="S555" s="196"/>
      <c r="T555" s="197"/>
      <c r="AT555" s="191" t="s">
        <v>145</v>
      </c>
      <c r="AU555" s="191" t="s">
        <v>81</v>
      </c>
      <c r="AV555" s="12" t="s">
        <v>81</v>
      </c>
      <c r="AW555" s="12" t="s">
        <v>6</v>
      </c>
      <c r="AX555" s="12" t="s">
        <v>79</v>
      </c>
      <c r="AY555" s="191" t="s">
        <v>136</v>
      </c>
    </row>
    <row r="556" spans="2:65" s="1" customFormat="1" ht="25.5" customHeight="1" x14ac:dyDescent="0.3">
      <c r="B556" s="169"/>
      <c r="C556" s="170" t="s">
        <v>567</v>
      </c>
      <c r="D556" s="170" t="s">
        <v>138</v>
      </c>
      <c r="E556" s="171" t="s">
        <v>568</v>
      </c>
      <c r="F556" s="172" t="s">
        <v>569</v>
      </c>
      <c r="G556" s="173" t="s">
        <v>179</v>
      </c>
      <c r="H556" s="320">
        <f>SUM(H557:H558)</f>
        <v>68.054999999999993</v>
      </c>
      <c r="I556" s="175">
        <v>126.49999999999999</v>
      </c>
      <c r="J556" s="176">
        <f>ROUND(I556*H556,2)</f>
        <v>8608.9599999999991</v>
      </c>
      <c r="K556" s="172" t="s">
        <v>142</v>
      </c>
      <c r="L556" s="41"/>
      <c r="M556" s="177" t="s">
        <v>5</v>
      </c>
      <c r="N556" s="178" t="s">
        <v>42</v>
      </c>
      <c r="O556" s="42"/>
      <c r="P556" s="179">
        <f>O556*H556</f>
        <v>0</v>
      </c>
      <c r="Q556" s="179">
        <v>8.8000000000000003E-4</v>
      </c>
      <c r="R556" s="179">
        <f>Q556*H556</f>
        <v>5.9888399999999994E-2</v>
      </c>
      <c r="S556" s="179">
        <v>0</v>
      </c>
      <c r="T556" s="180">
        <f>S556*H556</f>
        <v>0</v>
      </c>
      <c r="AR556" s="24" t="s">
        <v>204</v>
      </c>
      <c r="AT556" s="24" t="s">
        <v>138</v>
      </c>
      <c r="AU556" s="24" t="s">
        <v>81</v>
      </c>
      <c r="AY556" s="24" t="s">
        <v>136</v>
      </c>
      <c r="BE556" s="181">
        <f>IF(N556="základní",J556,0)</f>
        <v>8608.9599999999991</v>
      </c>
      <c r="BF556" s="181">
        <f>IF(N556="snížená",J556,0)</f>
        <v>0</v>
      </c>
      <c r="BG556" s="181">
        <f>IF(N556="zákl. přenesená",J556,0)</f>
        <v>0</v>
      </c>
      <c r="BH556" s="181">
        <f>IF(N556="sníž. přenesená",J556,0)</f>
        <v>0</v>
      </c>
      <c r="BI556" s="181">
        <f>IF(N556="nulová",J556,0)</f>
        <v>0</v>
      </c>
      <c r="BJ556" s="24" t="s">
        <v>79</v>
      </c>
      <c r="BK556" s="181">
        <f>ROUND(I556*H556,2)</f>
        <v>8608.9599999999991</v>
      </c>
      <c r="BL556" s="24" t="s">
        <v>204</v>
      </c>
      <c r="BM556" s="24" t="s">
        <v>570</v>
      </c>
    </row>
    <row r="557" spans="2:65" s="12" customFormat="1" x14ac:dyDescent="0.3">
      <c r="B557" s="190"/>
      <c r="D557" s="183" t="s">
        <v>145</v>
      </c>
      <c r="E557" s="314" t="s">
        <v>1346</v>
      </c>
      <c r="F557" s="312" t="s">
        <v>1351</v>
      </c>
      <c r="H557" s="315">
        <f>4.3*8.95+(4.3*2+8.95*2)*0.5</f>
        <v>51.734999999999992</v>
      </c>
      <c r="I557" s="194">
        <v>0</v>
      </c>
      <c r="L557" s="41"/>
      <c r="M557" s="195"/>
      <c r="N557" s="196"/>
      <c r="O557" s="196"/>
      <c r="P557" s="196"/>
      <c r="Q557" s="196"/>
      <c r="R557" s="196"/>
      <c r="S557" s="196"/>
      <c r="T557" s="197"/>
      <c r="AT557" s="191" t="s">
        <v>145</v>
      </c>
      <c r="AU557" s="191" t="s">
        <v>81</v>
      </c>
      <c r="AV557" s="12" t="s">
        <v>81</v>
      </c>
      <c r="AW557" s="12" t="s">
        <v>35</v>
      </c>
      <c r="AX557" s="12" t="s">
        <v>71</v>
      </c>
      <c r="AY557" s="191" t="s">
        <v>136</v>
      </c>
    </row>
    <row r="558" spans="2:65" s="12" customFormat="1" x14ac:dyDescent="0.3">
      <c r="B558" s="190"/>
      <c r="D558" s="183" t="s">
        <v>145</v>
      </c>
      <c r="E558" s="314" t="s">
        <v>1348</v>
      </c>
      <c r="F558" s="312" t="s">
        <v>1352</v>
      </c>
      <c r="H558" s="315">
        <f>(2.7*1.7)*3+(1.7*0.5*3)</f>
        <v>16.32</v>
      </c>
      <c r="I558" s="194">
        <v>0</v>
      </c>
      <c r="L558" s="41"/>
      <c r="M558" s="195"/>
      <c r="N558" s="196"/>
      <c r="O558" s="196"/>
      <c r="P558" s="196"/>
      <c r="Q558" s="196"/>
      <c r="R558" s="196"/>
      <c r="S558" s="196"/>
      <c r="T558" s="197"/>
      <c r="AT558" s="191" t="s">
        <v>145</v>
      </c>
      <c r="AU558" s="191" t="s">
        <v>81</v>
      </c>
      <c r="AV558" s="12" t="s">
        <v>81</v>
      </c>
      <c r="AW558" s="12" t="s">
        <v>35</v>
      </c>
      <c r="AX558" s="12" t="s">
        <v>71</v>
      </c>
      <c r="AY558" s="191" t="s">
        <v>136</v>
      </c>
    </row>
    <row r="559" spans="2:65" s="12" customFormat="1" x14ac:dyDescent="0.3">
      <c r="B559" s="190"/>
      <c r="D559" s="183" t="s">
        <v>145</v>
      </c>
      <c r="E559" s="191" t="s">
        <v>5</v>
      </c>
      <c r="F559" s="192"/>
      <c r="H559" s="193"/>
      <c r="I559" s="194">
        <v>0</v>
      </c>
      <c r="L559" s="41"/>
      <c r="M559" s="195"/>
      <c r="N559" s="196"/>
      <c r="O559" s="196"/>
      <c r="P559" s="196"/>
      <c r="Q559" s="196"/>
      <c r="R559" s="196"/>
      <c r="S559" s="196"/>
      <c r="T559" s="197"/>
      <c r="AT559" s="191" t="s">
        <v>145</v>
      </c>
      <c r="AU559" s="191" t="s">
        <v>81</v>
      </c>
      <c r="AV559" s="12" t="s">
        <v>81</v>
      </c>
      <c r="AW559" s="12" t="s">
        <v>35</v>
      </c>
      <c r="AX559" s="12" t="s">
        <v>71</v>
      </c>
      <c r="AY559" s="191" t="s">
        <v>136</v>
      </c>
    </row>
    <row r="560" spans="2:65" s="13" customFormat="1" x14ac:dyDescent="0.3">
      <c r="B560" s="198"/>
      <c r="D560" s="183" t="s">
        <v>145</v>
      </c>
      <c r="E560" s="199" t="s">
        <v>5</v>
      </c>
      <c r="F560" s="200"/>
      <c r="H560" s="201"/>
      <c r="I560" s="202">
        <v>0</v>
      </c>
      <c r="L560" s="41"/>
      <c r="M560" s="203"/>
      <c r="N560" s="204"/>
      <c r="O560" s="204"/>
      <c r="P560" s="204"/>
      <c r="Q560" s="204"/>
      <c r="R560" s="204"/>
      <c r="S560" s="204"/>
      <c r="T560" s="205"/>
      <c r="AT560" s="199" t="s">
        <v>145</v>
      </c>
      <c r="AU560" s="199" t="s">
        <v>81</v>
      </c>
      <c r="AV560" s="13" t="s">
        <v>143</v>
      </c>
      <c r="AW560" s="13" t="s">
        <v>35</v>
      </c>
      <c r="AX560" s="13" t="s">
        <v>79</v>
      </c>
      <c r="AY560" s="199" t="s">
        <v>136</v>
      </c>
    </row>
    <row r="561" spans="2:65" s="1" customFormat="1" ht="16.5" customHeight="1" x14ac:dyDescent="0.3">
      <c r="B561" s="169"/>
      <c r="C561" s="206" t="s">
        <v>571</v>
      </c>
      <c r="D561" s="206" t="s">
        <v>355</v>
      </c>
      <c r="E561" s="207" t="s">
        <v>572</v>
      </c>
      <c r="F561" s="208" t="s">
        <v>573</v>
      </c>
      <c r="G561" s="209" t="s">
        <v>179</v>
      </c>
      <c r="H561" s="355">
        <f>H563</f>
        <v>78.263249999999999</v>
      </c>
      <c r="I561" s="211">
        <v>178.25</v>
      </c>
      <c r="J561" s="212">
        <f>ROUND(I561*H561,2)</f>
        <v>13950.42</v>
      </c>
      <c r="K561" s="208" t="s">
        <v>142</v>
      </c>
      <c r="L561" s="41"/>
      <c r="M561" s="213" t="s">
        <v>5</v>
      </c>
      <c r="N561" s="214" t="s">
        <v>42</v>
      </c>
      <c r="O561" s="42"/>
      <c r="P561" s="179">
        <f>O561*H561</f>
        <v>0</v>
      </c>
      <c r="Q561" s="179">
        <v>6.1000000000000004E-3</v>
      </c>
      <c r="R561" s="179">
        <f>Q561*H561</f>
        <v>0.47740582500000001</v>
      </c>
      <c r="S561" s="179">
        <v>0</v>
      </c>
      <c r="T561" s="180">
        <f>S561*H561</f>
        <v>0</v>
      </c>
      <c r="AR561" s="24" t="s">
        <v>283</v>
      </c>
      <c r="AT561" s="24" t="s">
        <v>355</v>
      </c>
      <c r="AU561" s="24" t="s">
        <v>81</v>
      </c>
      <c r="AY561" s="24" t="s">
        <v>136</v>
      </c>
      <c r="BE561" s="181">
        <f>IF(N561="základní",J561,0)</f>
        <v>13950.42</v>
      </c>
      <c r="BF561" s="181">
        <f>IF(N561="snížená",J561,0)</f>
        <v>0</v>
      </c>
      <c r="BG561" s="181">
        <f>IF(N561="zákl. přenesená",J561,0)</f>
        <v>0</v>
      </c>
      <c r="BH561" s="181">
        <f>IF(N561="sníž. přenesená",J561,0)</f>
        <v>0</v>
      </c>
      <c r="BI561" s="181">
        <f>IF(N561="nulová",J561,0)</f>
        <v>0</v>
      </c>
      <c r="BJ561" s="24" t="s">
        <v>79</v>
      </c>
      <c r="BK561" s="181">
        <f>ROUND(I561*H561,2)</f>
        <v>13950.42</v>
      </c>
      <c r="BL561" s="24" t="s">
        <v>204</v>
      </c>
      <c r="BM561" s="24" t="s">
        <v>574</v>
      </c>
    </row>
    <row r="562" spans="2:65" s="1" customFormat="1" ht="27" x14ac:dyDescent="0.3">
      <c r="B562" s="41"/>
      <c r="D562" s="183" t="s">
        <v>406</v>
      </c>
      <c r="F562" s="223" t="s">
        <v>575</v>
      </c>
      <c r="I562" s="224">
        <v>0</v>
      </c>
      <c r="L562" s="41"/>
      <c r="M562" s="225"/>
      <c r="N562" s="42"/>
      <c r="O562" s="42"/>
      <c r="P562" s="42"/>
      <c r="Q562" s="42"/>
      <c r="R562" s="42"/>
      <c r="S562" s="42"/>
      <c r="T562" s="70"/>
      <c r="AT562" s="24" t="s">
        <v>406</v>
      </c>
      <c r="AU562" s="24" t="s">
        <v>81</v>
      </c>
    </row>
    <row r="563" spans="2:65" s="12" customFormat="1" x14ac:dyDescent="0.3">
      <c r="B563" s="190"/>
      <c r="D563" s="183" t="s">
        <v>145</v>
      </c>
      <c r="F563" s="312" t="s">
        <v>1354</v>
      </c>
      <c r="G563" s="327"/>
      <c r="H563" s="315">
        <f>68.055*1.15</f>
        <v>78.263249999999999</v>
      </c>
      <c r="I563" s="194">
        <v>0</v>
      </c>
      <c r="L563" s="41"/>
      <c r="M563" s="195"/>
      <c r="N563" s="196"/>
      <c r="O563" s="196"/>
      <c r="P563" s="196"/>
      <c r="Q563" s="196"/>
      <c r="R563" s="196"/>
      <c r="S563" s="196"/>
      <c r="T563" s="197"/>
      <c r="AT563" s="191" t="s">
        <v>145</v>
      </c>
      <c r="AU563" s="191" t="s">
        <v>81</v>
      </c>
      <c r="AV563" s="12" t="s">
        <v>81</v>
      </c>
      <c r="AW563" s="12" t="s">
        <v>6</v>
      </c>
      <c r="AX563" s="12" t="s">
        <v>79</v>
      </c>
      <c r="AY563" s="191" t="s">
        <v>136</v>
      </c>
    </row>
    <row r="564" spans="2:65" s="1" customFormat="1" ht="25.5" customHeight="1" x14ac:dyDescent="0.3">
      <c r="B564" s="169"/>
      <c r="C564" s="170" t="s">
        <v>576</v>
      </c>
      <c r="D564" s="170" t="s">
        <v>138</v>
      </c>
      <c r="E564" s="171" t="s">
        <v>577</v>
      </c>
      <c r="F564" s="172" t="s">
        <v>578</v>
      </c>
      <c r="G564" s="173" t="s">
        <v>179</v>
      </c>
      <c r="H564" s="313">
        <f>SUM(H566:H567)</f>
        <v>56.99499999999999</v>
      </c>
      <c r="I564" s="175">
        <v>138</v>
      </c>
      <c r="J564" s="176">
        <f>ROUND(I564*H564,2)</f>
        <v>7865.31</v>
      </c>
      <c r="K564" s="172" t="s">
        <v>5</v>
      </c>
      <c r="L564" s="41"/>
      <c r="M564" s="177" t="s">
        <v>5</v>
      </c>
      <c r="N564" s="178" t="s">
        <v>42</v>
      </c>
      <c r="O564" s="42"/>
      <c r="P564" s="179">
        <f>O564*H564</f>
        <v>0</v>
      </c>
      <c r="Q564" s="179">
        <v>0</v>
      </c>
      <c r="R564" s="179">
        <f>Q564*H564</f>
        <v>0</v>
      </c>
      <c r="S564" s="179">
        <v>0</v>
      </c>
      <c r="T564" s="180">
        <f>S564*H564</f>
        <v>0</v>
      </c>
      <c r="AR564" s="24" t="s">
        <v>204</v>
      </c>
      <c r="AT564" s="24" t="s">
        <v>138</v>
      </c>
      <c r="AU564" s="24" t="s">
        <v>81</v>
      </c>
      <c r="AY564" s="24" t="s">
        <v>136</v>
      </c>
      <c r="BE564" s="181">
        <f>IF(N564="základní",J564,0)</f>
        <v>7865.31</v>
      </c>
      <c r="BF564" s="181">
        <f>IF(N564="snížená",J564,0)</f>
        <v>0</v>
      </c>
      <c r="BG564" s="181">
        <f>IF(N564="zákl. přenesená",J564,0)</f>
        <v>0</v>
      </c>
      <c r="BH564" s="181">
        <f>IF(N564="sníž. přenesená",J564,0)</f>
        <v>0</v>
      </c>
      <c r="BI564" s="181">
        <f>IF(N564="nulová",J564,0)</f>
        <v>0</v>
      </c>
      <c r="BJ564" s="24" t="s">
        <v>79</v>
      </c>
      <c r="BK564" s="181">
        <f>ROUND(I564*H564,2)</f>
        <v>7865.31</v>
      </c>
      <c r="BL564" s="24" t="s">
        <v>204</v>
      </c>
      <c r="BM564" s="24" t="s">
        <v>579</v>
      </c>
    </row>
    <row r="565" spans="2:65" s="1" customFormat="1" ht="54" x14ac:dyDescent="0.3">
      <c r="B565" s="41"/>
      <c r="D565" s="183" t="s">
        <v>406</v>
      </c>
      <c r="F565" s="223" t="s">
        <v>580</v>
      </c>
      <c r="H565" s="327"/>
      <c r="I565" s="224">
        <v>0</v>
      </c>
      <c r="L565" s="41"/>
      <c r="M565" s="225"/>
      <c r="N565" s="42"/>
      <c r="O565" s="42"/>
      <c r="P565" s="42"/>
      <c r="Q565" s="42"/>
      <c r="R565" s="42"/>
      <c r="S565" s="42"/>
      <c r="T565" s="70"/>
      <c r="AT565" s="24" t="s">
        <v>406</v>
      </c>
      <c r="AU565" s="24" t="s">
        <v>81</v>
      </c>
    </row>
    <row r="566" spans="2:65" s="12" customFormat="1" x14ac:dyDescent="0.3">
      <c r="B566" s="190"/>
      <c r="D566" s="183" t="s">
        <v>145</v>
      </c>
      <c r="E566" s="314" t="s">
        <v>1346</v>
      </c>
      <c r="F566" s="312" t="s">
        <v>1347</v>
      </c>
      <c r="H566" s="315">
        <f>4.3*8.95+(4.3*2+8.95*2)*0.15</f>
        <v>42.459999999999994</v>
      </c>
      <c r="I566" s="194">
        <v>0</v>
      </c>
      <c r="L566" s="41"/>
      <c r="M566" s="195"/>
      <c r="N566" s="196"/>
      <c r="O566" s="196"/>
      <c r="P566" s="196"/>
      <c r="Q566" s="196"/>
      <c r="R566" s="196"/>
      <c r="S566" s="196"/>
      <c r="T566" s="197"/>
      <c r="AT566" s="191" t="s">
        <v>145</v>
      </c>
      <c r="AU566" s="191" t="s">
        <v>81</v>
      </c>
      <c r="AV566" s="12" t="s">
        <v>81</v>
      </c>
      <c r="AW566" s="12" t="s">
        <v>35</v>
      </c>
      <c r="AX566" s="12" t="s">
        <v>71</v>
      </c>
      <c r="AY566" s="191" t="s">
        <v>136</v>
      </c>
    </row>
    <row r="567" spans="2:65" s="12" customFormat="1" x14ac:dyDescent="0.3">
      <c r="B567" s="190"/>
      <c r="D567" s="183" t="s">
        <v>145</v>
      </c>
      <c r="E567" s="314" t="s">
        <v>1348</v>
      </c>
      <c r="F567" s="312" t="s">
        <v>1349</v>
      </c>
      <c r="H567" s="315">
        <f>(2.7*1.7)*3+(1.7*0.15*3)</f>
        <v>14.535</v>
      </c>
      <c r="I567" s="194">
        <v>0</v>
      </c>
      <c r="L567" s="41"/>
      <c r="M567" s="195"/>
      <c r="N567" s="196"/>
      <c r="O567" s="196"/>
      <c r="P567" s="196"/>
      <c r="Q567" s="196"/>
      <c r="R567" s="196"/>
      <c r="S567" s="196"/>
      <c r="T567" s="197"/>
      <c r="AT567" s="191" t="s">
        <v>145</v>
      </c>
      <c r="AU567" s="191" t="s">
        <v>81</v>
      </c>
      <c r="AV567" s="12" t="s">
        <v>81</v>
      </c>
      <c r="AW567" s="12" t="s">
        <v>35</v>
      </c>
      <c r="AX567" s="12" t="s">
        <v>71</v>
      </c>
      <c r="AY567" s="191" t="s">
        <v>136</v>
      </c>
    </row>
    <row r="568" spans="2:65" s="12" customFormat="1" x14ac:dyDescent="0.3">
      <c r="B568" s="190"/>
      <c r="D568" s="183" t="s">
        <v>145</v>
      </c>
      <c r="E568" s="191" t="s">
        <v>5</v>
      </c>
      <c r="F568" s="192"/>
      <c r="H568" s="193"/>
      <c r="I568" s="194">
        <v>0</v>
      </c>
      <c r="L568" s="41"/>
      <c r="M568" s="195"/>
      <c r="N568" s="196"/>
      <c r="O568" s="196"/>
      <c r="P568" s="196"/>
      <c r="Q568" s="196"/>
      <c r="R568" s="196"/>
      <c r="S568" s="196"/>
      <c r="T568" s="197"/>
      <c r="AT568" s="191" t="s">
        <v>145</v>
      </c>
      <c r="AU568" s="191" t="s">
        <v>81</v>
      </c>
      <c r="AV568" s="12" t="s">
        <v>81</v>
      </c>
      <c r="AW568" s="12" t="s">
        <v>35</v>
      </c>
      <c r="AX568" s="12" t="s">
        <v>71</v>
      </c>
      <c r="AY568" s="191" t="s">
        <v>136</v>
      </c>
    </row>
    <row r="569" spans="2:65" s="13" customFormat="1" x14ac:dyDescent="0.3">
      <c r="B569" s="198"/>
      <c r="D569" s="183" t="s">
        <v>145</v>
      </c>
      <c r="E569" s="199" t="s">
        <v>5</v>
      </c>
      <c r="F569" s="200"/>
      <c r="H569" s="201"/>
      <c r="I569" s="202">
        <v>0</v>
      </c>
      <c r="L569" s="41"/>
      <c r="M569" s="203"/>
      <c r="N569" s="204"/>
      <c r="O569" s="204"/>
      <c r="P569" s="204"/>
      <c r="Q569" s="204"/>
      <c r="R569" s="204"/>
      <c r="S569" s="204"/>
      <c r="T569" s="205"/>
      <c r="AT569" s="199" t="s">
        <v>145</v>
      </c>
      <c r="AU569" s="199" t="s">
        <v>81</v>
      </c>
      <c r="AV569" s="13" t="s">
        <v>143</v>
      </c>
      <c r="AW569" s="13" t="s">
        <v>35</v>
      </c>
      <c r="AX569" s="13" t="s">
        <v>79</v>
      </c>
      <c r="AY569" s="199" t="s">
        <v>136</v>
      </c>
    </row>
    <row r="570" spans="2:65" s="1" customFormat="1" ht="25.5" customHeight="1" x14ac:dyDescent="0.3">
      <c r="B570" s="169"/>
      <c r="C570" s="206" t="s">
        <v>581</v>
      </c>
      <c r="D570" s="206" t="s">
        <v>355</v>
      </c>
      <c r="E570" s="207" t="s">
        <v>582</v>
      </c>
      <c r="F570" s="208" t="s">
        <v>583</v>
      </c>
      <c r="G570" s="209" t="s">
        <v>179</v>
      </c>
      <c r="H570" s="355">
        <f>56.995*1.2</f>
        <v>68.393999999999991</v>
      </c>
      <c r="I570" s="211">
        <v>224.24999999999997</v>
      </c>
      <c r="J570" s="212">
        <f>ROUND(I570*H570,2)</f>
        <v>15337.35</v>
      </c>
      <c r="K570" s="208" t="s">
        <v>5</v>
      </c>
      <c r="L570" s="41"/>
      <c r="M570" s="213" t="s">
        <v>5</v>
      </c>
      <c r="N570" s="214" t="s">
        <v>42</v>
      </c>
      <c r="O570" s="42"/>
      <c r="P570" s="179">
        <f>O570*H570</f>
        <v>0</v>
      </c>
      <c r="Q570" s="179">
        <v>2.5400000000000002E-3</v>
      </c>
      <c r="R570" s="179">
        <f>Q570*H570</f>
        <v>0.17372076</v>
      </c>
      <c r="S570" s="179">
        <v>0</v>
      </c>
      <c r="T570" s="180">
        <f>S570*H570</f>
        <v>0</v>
      </c>
      <c r="AR570" s="24" t="s">
        <v>283</v>
      </c>
      <c r="AT570" s="24" t="s">
        <v>355</v>
      </c>
      <c r="AU570" s="24" t="s">
        <v>81</v>
      </c>
      <c r="AY570" s="24" t="s">
        <v>136</v>
      </c>
      <c r="BE570" s="181">
        <f>IF(N570="základní",J570,0)</f>
        <v>15337.35</v>
      </c>
      <c r="BF570" s="181">
        <f>IF(N570="snížená",J570,0)</f>
        <v>0</v>
      </c>
      <c r="BG570" s="181">
        <f>IF(N570="zákl. přenesená",J570,0)</f>
        <v>0</v>
      </c>
      <c r="BH570" s="181">
        <f>IF(N570="sníž. přenesená",J570,0)</f>
        <v>0</v>
      </c>
      <c r="BI570" s="181">
        <f>IF(N570="nulová",J570,0)</f>
        <v>0</v>
      </c>
      <c r="BJ570" s="24" t="s">
        <v>79</v>
      </c>
      <c r="BK570" s="181">
        <f>ROUND(I570*H570,2)</f>
        <v>15337.35</v>
      </c>
      <c r="BL570" s="24" t="s">
        <v>204</v>
      </c>
      <c r="BM570" s="24" t="s">
        <v>584</v>
      </c>
    </row>
    <row r="571" spans="2:65" s="12" customFormat="1" x14ac:dyDescent="0.3">
      <c r="B571" s="190"/>
      <c r="D571" s="183" t="s">
        <v>145</v>
      </c>
      <c r="F571" s="312" t="s">
        <v>1355</v>
      </c>
      <c r="H571" s="315">
        <f>56.995*1.2</f>
        <v>68.393999999999991</v>
      </c>
      <c r="I571" s="194">
        <v>0</v>
      </c>
      <c r="J571" s="212">
        <f t="shared" ref="J571:J572" si="11">ROUND(I571*H571,2)</f>
        <v>0</v>
      </c>
      <c r="L571" s="41"/>
      <c r="M571" s="195"/>
      <c r="N571" s="196"/>
      <c r="O571" s="196"/>
      <c r="P571" s="196"/>
      <c r="Q571" s="196"/>
      <c r="R571" s="196"/>
      <c r="S571" s="196"/>
      <c r="T571" s="197"/>
      <c r="AT571" s="191" t="s">
        <v>145</v>
      </c>
      <c r="AU571" s="191" t="s">
        <v>81</v>
      </c>
      <c r="AV571" s="12" t="s">
        <v>81</v>
      </c>
      <c r="AW571" s="12" t="s">
        <v>6</v>
      </c>
      <c r="AX571" s="12" t="s">
        <v>79</v>
      </c>
      <c r="AY571" s="191" t="s">
        <v>136</v>
      </c>
    </row>
    <row r="572" spans="2:65" s="310" customFormat="1" x14ac:dyDescent="0.3">
      <c r="B572" s="169"/>
      <c r="C572" s="393"/>
      <c r="D572" s="170"/>
      <c r="E572" s="171"/>
      <c r="F572" s="172" t="s">
        <v>1554</v>
      </c>
      <c r="G572" s="173" t="s">
        <v>222</v>
      </c>
      <c r="H572" s="320">
        <v>2</v>
      </c>
      <c r="I572" s="175">
        <v>3449.9999999999995</v>
      </c>
      <c r="J572" s="425">
        <f t="shared" si="11"/>
        <v>6900</v>
      </c>
      <c r="K572" s="172"/>
      <c r="L572" s="41"/>
      <c r="M572" s="177"/>
      <c r="N572" s="178"/>
      <c r="O572" s="311"/>
      <c r="P572" s="179"/>
      <c r="Q572" s="179"/>
      <c r="R572" s="179"/>
      <c r="S572" s="179"/>
      <c r="T572" s="180"/>
      <c r="AR572" s="24"/>
      <c r="AT572" s="24"/>
      <c r="AU572" s="24"/>
      <c r="AY572" s="24"/>
      <c r="BE572" s="181"/>
      <c r="BF572" s="181"/>
      <c r="BG572" s="181"/>
      <c r="BH572" s="181"/>
      <c r="BI572" s="181"/>
      <c r="BJ572" s="24"/>
      <c r="BK572" s="181"/>
      <c r="BL572" s="24"/>
      <c r="BM572" s="24"/>
    </row>
    <row r="573" spans="2:65" s="1" customFormat="1" ht="25.5" customHeight="1" x14ac:dyDescent="0.3">
      <c r="B573" s="169"/>
      <c r="C573" s="170" t="s">
        <v>585</v>
      </c>
      <c r="D573" s="170" t="s">
        <v>138</v>
      </c>
      <c r="E573" s="171" t="s">
        <v>586</v>
      </c>
      <c r="F573" s="172" t="s">
        <v>587</v>
      </c>
      <c r="G573" s="173" t="s">
        <v>179</v>
      </c>
      <c r="H573" s="320">
        <f>H564</f>
        <v>56.99499999999999</v>
      </c>
      <c r="I573" s="175">
        <v>218.49999999999997</v>
      </c>
      <c r="J573" s="176">
        <f>ROUND(I573*H573,2)</f>
        <v>12453.41</v>
      </c>
      <c r="K573" s="172" t="s">
        <v>5</v>
      </c>
      <c r="L573" s="41"/>
      <c r="M573" s="177" t="s">
        <v>5</v>
      </c>
      <c r="N573" s="178" t="s">
        <v>42</v>
      </c>
      <c r="O573" s="42"/>
      <c r="P573" s="179">
        <f>O573*H573</f>
        <v>0</v>
      </c>
      <c r="Q573" s="179">
        <v>0</v>
      </c>
      <c r="R573" s="179">
        <f>Q573*H573</f>
        <v>0</v>
      </c>
      <c r="S573" s="179">
        <v>0</v>
      </c>
      <c r="T573" s="180">
        <f>S573*H573</f>
        <v>0</v>
      </c>
      <c r="AR573" s="24" t="s">
        <v>204</v>
      </c>
      <c r="AT573" s="24" t="s">
        <v>138</v>
      </c>
      <c r="AU573" s="24" t="s">
        <v>81</v>
      </c>
      <c r="AY573" s="24" t="s">
        <v>136</v>
      </c>
      <c r="BE573" s="181">
        <f>IF(N573="základní",J573,0)</f>
        <v>12453.41</v>
      </c>
      <c r="BF573" s="181">
        <f>IF(N573="snížená",J573,0)</f>
        <v>0</v>
      </c>
      <c r="BG573" s="181">
        <f>IF(N573="zákl. přenesená",J573,0)</f>
        <v>0</v>
      </c>
      <c r="BH573" s="181">
        <f>IF(N573="sníž. přenesená",J573,0)</f>
        <v>0</v>
      </c>
      <c r="BI573" s="181">
        <f>IF(N573="nulová",J573,0)</f>
        <v>0</v>
      </c>
      <c r="BJ573" s="24" t="s">
        <v>79</v>
      </c>
      <c r="BK573" s="181">
        <f>ROUND(I573*H573,2)</f>
        <v>12453.41</v>
      </c>
      <c r="BL573" s="24" t="s">
        <v>204</v>
      </c>
      <c r="BM573" s="24" t="s">
        <v>588</v>
      </c>
    </row>
    <row r="574" spans="2:65" s="1" customFormat="1" ht="27" x14ac:dyDescent="0.3">
      <c r="B574" s="41"/>
      <c r="D574" s="183" t="s">
        <v>406</v>
      </c>
      <c r="F574" s="223" t="s">
        <v>589</v>
      </c>
      <c r="I574" s="224">
        <v>0</v>
      </c>
      <c r="L574" s="41"/>
      <c r="M574" s="225"/>
      <c r="N574" s="42"/>
      <c r="O574" s="42"/>
      <c r="P574" s="42"/>
      <c r="Q574" s="42"/>
      <c r="R574" s="42"/>
      <c r="S574" s="42"/>
      <c r="T574" s="70"/>
      <c r="AT574" s="24" t="s">
        <v>406</v>
      </c>
      <c r="AU574" s="24" t="s">
        <v>81</v>
      </c>
    </row>
    <row r="575" spans="2:65" s="1" customFormat="1" ht="16.5" customHeight="1" x14ac:dyDescent="0.3">
      <c r="B575" s="169"/>
      <c r="C575" s="170" t="s">
        <v>590</v>
      </c>
      <c r="D575" s="170" t="s">
        <v>138</v>
      </c>
      <c r="E575" s="171" t="s">
        <v>591</v>
      </c>
      <c r="F575" s="172" t="s">
        <v>592</v>
      </c>
      <c r="G575" s="173" t="s">
        <v>179</v>
      </c>
      <c r="H575" s="320">
        <f>SUM(H576:H577)</f>
        <v>56.99499999999999</v>
      </c>
      <c r="I575" s="175">
        <v>23</v>
      </c>
      <c r="J575" s="176">
        <f>ROUND(I575*H575,2)</f>
        <v>1310.89</v>
      </c>
      <c r="K575" s="172" t="s">
        <v>142</v>
      </c>
      <c r="L575" s="41"/>
      <c r="M575" s="177" t="s">
        <v>5</v>
      </c>
      <c r="N575" s="178" t="s">
        <v>42</v>
      </c>
      <c r="O575" s="42"/>
      <c r="P575" s="179">
        <f>O575*H575</f>
        <v>0</v>
      </c>
      <c r="Q575" s="179">
        <v>0</v>
      </c>
      <c r="R575" s="179">
        <f>Q575*H575</f>
        <v>0</v>
      </c>
      <c r="S575" s="179">
        <v>0</v>
      </c>
      <c r="T575" s="180">
        <f>S575*H575</f>
        <v>0</v>
      </c>
      <c r="AR575" s="24" t="s">
        <v>204</v>
      </c>
      <c r="AT575" s="24" t="s">
        <v>138</v>
      </c>
      <c r="AU575" s="24" t="s">
        <v>81</v>
      </c>
      <c r="AY575" s="24" t="s">
        <v>136</v>
      </c>
      <c r="BE575" s="181">
        <f>IF(N575="základní",J575,0)</f>
        <v>1310.89</v>
      </c>
      <c r="BF575" s="181">
        <f>IF(N575="snížená",J575,0)</f>
        <v>0</v>
      </c>
      <c r="BG575" s="181">
        <f>IF(N575="zákl. přenesená",J575,0)</f>
        <v>0</v>
      </c>
      <c r="BH575" s="181">
        <f>IF(N575="sníž. přenesená",J575,0)</f>
        <v>0</v>
      </c>
      <c r="BI575" s="181">
        <f>IF(N575="nulová",J575,0)</f>
        <v>0</v>
      </c>
      <c r="BJ575" s="24" t="s">
        <v>79</v>
      </c>
      <c r="BK575" s="181">
        <f>ROUND(I575*H575,2)</f>
        <v>1310.89</v>
      </c>
      <c r="BL575" s="24" t="s">
        <v>204</v>
      </c>
      <c r="BM575" s="24" t="s">
        <v>593</v>
      </c>
    </row>
    <row r="576" spans="2:65" s="12" customFormat="1" x14ac:dyDescent="0.3">
      <c r="B576" s="190"/>
      <c r="D576" s="183" t="s">
        <v>145</v>
      </c>
      <c r="E576" s="314" t="s">
        <v>1346</v>
      </c>
      <c r="F576" s="312" t="s">
        <v>1347</v>
      </c>
      <c r="H576" s="315">
        <f>4.3*8.95+(4.3*2+8.95*2)*0.15</f>
        <v>42.459999999999994</v>
      </c>
      <c r="I576" s="194">
        <v>0</v>
      </c>
      <c r="L576" s="41"/>
      <c r="M576" s="195"/>
      <c r="N576" s="196"/>
      <c r="O576" s="196"/>
      <c r="P576" s="196"/>
      <c r="Q576" s="196"/>
      <c r="R576" s="196"/>
      <c r="S576" s="196"/>
      <c r="T576" s="197"/>
      <c r="AT576" s="191" t="s">
        <v>145</v>
      </c>
      <c r="AU576" s="191" t="s">
        <v>81</v>
      </c>
      <c r="AV576" s="12" t="s">
        <v>81</v>
      </c>
      <c r="AW576" s="12" t="s">
        <v>35</v>
      </c>
      <c r="AX576" s="12" t="s">
        <v>71</v>
      </c>
      <c r="AY576" s="191" t="s">
        <v>136</v>
      </c>
    </row>
    <row r="577" spans="1:65" s="12" customFormat="1" x14ac:dyDescent="0.3">
      <c r="B577" s="190"/>
      <c r="D577" s="183" t="s">
        <v>145</v>
      </c>
      <c r="E577" s="314" t="s">
        <v>1348</v>
      </c>
      <c r="F577" s="312" t="s">
        <v>1349</v>
      </c>
      <c r="H577" s="315">
        <f>(2.7*1.7)*3+(1.7*0.15*3)</f>
        <v>14.535</v>
      </c>
      <c r="I577" s="194">
        <v>0</v>
      </c>
      <c r="L577" s="41"/>
      <c r="M577" s="195"/>
      <c r="N577" s="196"/>
      <c r="O577" s="196"/>
      <c r="P577" s="196"/>
      <c r="Q577" s="196"/>
      <c r="R577" s="196"/>
      <c r="S577" s="196"/>
      <c r="T577" s="197"/>
      <c r="AT577" s="191" t="s">
        <v>145</v>
      </c>
      <c r="AU577" s="191" t="s">
        <v>81</v>
      </c>
      <c r="AV577" s="12" t="s">
        <v>81</v>
      </c>
      <c r="AW577" s="12" t="s">
        <v>35</v>
      </c>
      <c r="AX577" s="12" t="s">
        <v>71</v>
      </c>
      <c r="AY577" s="191" t="s">
        <v>136</v>
      </c>
    </row>
    <row r="578" spans="1:65" s="12" customFormat="1" x14ac:dyDescent="0.3">
      <c r="B578" s="190"/>
      <c r="D578" s="183" t="s">
        <v>145</v>
      </c>
      <c r="E578" s="191" t="s">
        <v>5</v>
      </c>
      <c r="F578" s="192"/>
      <c r="H578" s="193"/>
      <c r="I578" s="194">
        <v>0</v>
      </c>
      <c r="L578" s="41"/>
      <c r="M578" s="195"/>
      <c r="N578" s="196"/>
      <c r="O578" s="196"/>
      <c r="P578" s="196"/>
      <c r="Q578" s="196"/>
      <c r="R578" s="196"/>
      <c r="S578" s="196"/>
      <c r="T578" s="197"/>
      <c r="AT578" s="191" t="s">
        <v>145</v>
      </c>
      <c r="AU578" s="191" t="s">
        <v>81</v>
      </c>
      <c r="AV578" s="12" t="s">
        <v>81</v>
      </c>
      <c r="AW578" s="12" t="s">
        <v>35</v>
      </c>
      <c r="AX578" s="12" t="s">
        <v>71</v>
      </c>
      <c r="AY578" s="191" t="s">
        <v>136</v>
      </c>
    </row>
    <row r="579" spans="1:65" s="13" customFormat="1" x14ac:dyDescent="0.3">
      <c r="B579" s="198"/>
      <c r="D579" s="183" t="s">
        <v>145</v>
      </c>
      <c r="E579" s="199" t="s">
        <v>5</v>
      </c>
      <c r="F579" s="200"/>
      <c r="H579" s="201"/>
      <c r="I579" s="202">
        <v>0</v>
      </c>
      <c r="L579" s="41"/>
      <c r="M579" s="203"/>
      <c r="N579" s="204"/>
      <c r="O579" s="204"/>
      <c r="P579" s="204"/>
      <c r="Q579" s="204"/>
      <c r="R579" s="204"/>
      <c r="S579" s="204"/>
      <c r="T579" s="205"/>
      <c r="AT579" s="199" t="s">
        <v>145</v>
      </c>
      <c r="AU579" s="199" t="s">
        <v>81</v>
      </c>
      <c r="AV579" s="13" t="s">
        <v>143</v>
      </c>
      <c r="AW579" s="13" t="s">
        <v>35</v>
      </c>
      <c r="AX579" s="13" t="s">
        <v>79</v>
      </c>
      <c r="AY579" s="199" t="s">
        <v>136</v>
      </c>
    </row>
    <row r="580" spans="1:65" s="1" customFormat="1" ht="16.5" customHeight="1" x14ac:dyDescent="0.3">
      <c r="B580" s="169"/>
      <c r="C580" s="206" t="s">
        <v>594</v>
      </c>
      <c r="D580" s="206" t="s">
        <v>355</v>
      </c>
      <c r="E580" s="207" t="s">
        <v>595</v>
      </c>
      <c r="F580" s="208" t="s">
        <v>596</v>
      </c>
      <c r="G580" s="209" t="s">
        <v>179</v>
      </c>
      <c r="H580" s="355">
        <f>56.995*1.15</f>
        <v>65.544249999999991</v>
      </c>
      <c r="I580" s="211">
        <v>34.5</v>
      </c>
      <c r="J580" s="212">
        <f>ROUND(I580*H580,2)</f>
        <v>2261.2800000000002</v>
      </c>
      <c r="K580" s="208" t="s">
        <v>142</v>
      </c>
      <c r="L580" s="41"/>
      <c r="M580" s="213" t="s">
        <v>5</v>
      </c>
      <c r="N580" s="214" t="s">
        <v>42</v>
      </c>
      <c r="O580" s="42"/>
      <c r="P580" s="179">
        <f>O580*H580</f>
        <v>0</v>
      </c>
      <c r="Q580" s="179">
        <v>2.9999999999999997E-4</v>
      </c>
      <c r="R580" s="179">
        <f>Q580*H580</f>
        <v>1.9663274999999994E-2</v>
      </c>
      <c r="S580" s="179">
        <v>0</v>
      </c>
      <c r="T580" s="180">
        <f>S580*H580</f>
        <v>0</v>
      </c>
      <c r="AR580" s="24" t="s">
        <v>283</v>
      </c>
      <c r="AT580" s="24" t="s">
        <v>355</v>
      </c>
      <c r="AU580" s="24" t="s">
        <v>81</v>
      </c>
      <c r="AY580" s="24" t="s">
        <v>136</v>
      </c>
      <c r="BE580" s="181">
        <f>IF(N580="základní",J580,0)</f>
        <v>2261.2800000000002</v>
      </c>
      <c r="BF580" s="181">
        <f>IF(N580="snížená",J580,0)</f>
        <v>0</v>
      </c>
      <c r="BG580" s="181">
        <f>IF(N580="zákl. přenesená",J580,0)</f>
        <v>0</v>
      </c>
      <c r="BH580" s="181">
        <f>IF(N580="sníž. přenesená",J580,0)</f>
        <v>0</v>
      </c>
      <c r="BI580" s="181">
        <f>IF(N580="nulová",J580,0)</f>
        <v>0</v>
      </c>
      <c r="BJ580" s="24" t="s">
        <v>79</v>
      </c>
      <c r="BK580" s="181">
        <f>ROUND(I580*H580,2)</f>
        <v>2261.2800000000002</v>
      </c>
      <c r="BL580" s="24" t="s">
        <v>204</v>
      </c>
      <c r="BM580" s="24" t="s">
        <v>597</v>
      </c>
    </row>
    <row r="581" spans="1:65" s="12" customFormat="1" x14ac:dyDescent="0.3">
      <c r="B581" s="190"/>
      <c r="D581" s="183" t="s">
        <v>145</v>
      </c>
      <c r="F581" s="312" t="s">
        <v>1350</v>
      </c>
      <c r="H581" s="315">
        <f>56.995*1.15</f>
        <v>65.544249999999991</v>
      </c>
      <c r="I581" s="194">
        <v>0</v>
      </c>
      <c r="L581" s="41"/>
      <c r="M581" s="195"/>
      <c r="N581" s="196"/>
      <c r="O581" s="196"/>
      <c r="P581" s="196"/>
      <c r="Q581" s="196"/>
      <c r="R581" s="196"/>
      <c r="S581" s="196"/>
      <c r="T581" s="197"/>
      <c r="AT581" s="191" t="s">
        <v>145</v>
      </c>
      <c r="AU581" s="191" t="s">
        <v>81</v>
      </c>
      <c r="AV581" s="12" t="s">
        <v>81</v>
      </c>
      <c r="AW581" s="12" t="s">
        <v>6</v>
      </c>
      <c r="AX581" s="12" t="s">
        <v>79</v>
      </c>
      <c r="AY581" s="191" t="s">
        <v>136</v>
      </c>
    </row>
    <row r="582" spans="1:65" s="1" customFormat="1" ht="25.5" customHeight="1" x14ac:dyDescent="0.3">
      <c r="B582" s="169"/>
      <c r="C582" s="406" t="s">
        <v>598</v>
      </c>
      <c r="D582" s="406" t="s">
        <v>138</v>
      </c>
      <c r="E582" s="407" t="s">
        <v>599</v>
      </c>
      <c r="F582" s="408" t="s">
        <v>600</v>
      </c>
      <c r="G582" s="409" t="s">
        <v>179</v>
      </c>
      <c r="H582" s="410">
        <f>H583</f>
        <v>20.384999999999998</v>
      </c>
      <c r="I582" s="411">
        <v>0</v>
      </c>
      <c r="J582" s="412">
        <f>ROUND(I582*H582,2)</f>
        <v>0</v>
      </c>
      <c r="K582" s="172" t="s">
        <v>142</v>
      </c>
      <c r="L582" s="41"/>
      <c r="M582" s="177" t="s">
        <v>5</v>
      </c>
      <c r="N582" s="178" t="s">
        <v>42</v>
      </c>
      <c r="O582" s="42"/>
      <c r="P582" s="179">
        <f>O582*H582</f>
        <v>0</v>
      </c>
      <c r="Q582" s="179">
        <v>0</v>
      </c>
      <c r="R582" s="179">
        <f>Q582*H582</f>
        <v>0</v>
      </c>
      <c r="S582" s="179">
        <v>0</v>
      </c>
      <c r="T582" s="180">
        <f>S582*H582</f>
        <v>0</v>
      </c>
      <c r="AR582" s="24" t="s">
        <v>204</v>
      </c>
      <c r="AT582" s="24" t="s">
        <v>138</v>
      </c>
      <c r="AU582" s="24" t="s">
        <v>81</v>
      </c>
      <c r="AY582" s="24" t="s">
        <v>136</v>
      </c>
      <c r="BE582" s="181">
        <f>IF(N582="základní",J582,0)</f>
        <v>0</v>
      </c>
      <c r="BF582" s="181">
        <f>IF(N582="snížená",J582,0)</f>
        <v>0</v>
      </c>
      <c r="BG582" s="181">
        <f>IF(N582="zákl. přenesená",J582,0)</f>
        <v>0</v>
      </c>
      <c r="BH582" s="181">
        <f>IF(N582="sníž. přenesená",J582,0)</f>
        <v>0</v>
      </c>
      <c r="BI582" s="181">
        <f>IF(N582="nulová",J582,0)</f>
        <v>0</v>
      </c>
      <c r="BJ582" s="24" t="s">
        <v>79</v>
      </c>
      <c r="BK582" s="181">
        <f>ROUND(I582*H582,2)</f>
        <v>0</v>
      </c>
      <c r="BL582" s="24" t="s">
        <v>204</v>
      </c>
      <c r="BM582" s="24" t="s">
        <v>601</v>
      </c>
    </row>
    <row r="583" spans="1:65" s="12" customFormat="1" x14ac:dyDescent="0.3">
      <c r="B583" s="190"/>
      <c r="C583" s="413"/>
      <c r="D583" s="414" t="s">
        <v>145</v>
      </c>
      <c r="E583" s="415" t="s">
        <v>5</v>
      </c>
      <c r="F583" s="416" t="s">
        <v>1356</v>
      </c>
      <c r="G583" s="413"/>
      <c r="H583" s="417">
        <f>4.55*4.1+(4.55*2+4.1*2)*0.1</f>
        <v>20.384999999999998</v>
      </c>
      <c r="I583" s="418">
        <v>0</v>
      </c>
      <c r="J583" s="413"/>
      <c r="L583" s="41"/>
      <c r="M583" s="195"/>
      <c r="N583" s="196"/>
      <c r="O583" s="196"/>
      <c r="P583" s="196"/>
      <c r="Q583" s="196"/>
      <c r="R583" s="196"/>
      <c r="S583" s="196"/>
      <c r="T583" s="197"/>
      <c r="AT583" s="191" t="s">
        <v>145</v>
      </c>
      <c r="AU583" s="191" t="s">
        <v>81</v>
      </c>
      <c r="AV583" s="12" t="s">
        <v>81</v>
      </c>
      <c r="AW583" s="12" t="s">
        <v>35</v>
      </c>
      <c r="AX583" s="12" t="s">
        <v>79</v>
      </c>
      <c r="AY583" s="191" t="s">
        <v>136</v>
      </c>
    </row>
    <row r="584" spans="1:65" s="1" customFormat="1" ht="16.5" customHeight="1" x14ac:dyDescent="0.3">
      <c r="B584" s="169"/>
      <c r="C584" s="419" t="s">
        <v>603</v>
      </c>
      <c r="D584" s="419" t="s">
        <v>355</v>
      </c>
      <c r="E584" s="420" t="s">
        <v>604</v>
      </c>
      <c r="F584" s="421" t="s">
        <v>605</v>
      </c>
      <c r="G584" s="422" t="s">
        <v>179</v>
      </c>
      <c r="H584" s="423">
        <f>H585</f>
        <v>23.44275</v>
      </c>
      <c r="I584" s="424">
        <v>0</v>
      </c>
      <c r="J584" s="425">
        <f>ROUND(I584*H584,2)</f>
        <v>0</v>
      </c>
      <c r="K584" s="208" t="s">
        <v>142</v>
      </c>
      <c r="L584" s="41"/>
      <c r="M584" s="213" t="s">
        <v>5</v>
      </c>
      <c r="N584" s="214" t="s">
        <v>42</v>
      </c>
      <c r="O584" s="42"/>
      <c r="P584" s="179">
        <f>O584*H584</f>
        <v>0</v>
      </c>
      <c r="Q584" s="179">
        <v>5.9999999999999995E-4</v>
      </c>
      <c r="R584" s="179">
        <f>Q584*H584</f>
        <v>1.4065649999999999E-2</v>
      </c>
      <c r="S584" s="179">
        <v>0</v>
      </c>
      <c r="T584" s="180">
        <f>S584*H584</f>
        <v>0</v>
      </c>
      <c r="AR584" s="24" t="s">
        <v>283</v>
      </c>
      <c r="AT584" s="24" t="s">
        <v>355</v>
      </c>
      <c r="AU584" s="24" t="s">
        <v>81</v>
      </c>
      <c r="AY584" s="24" t="s">
        <v>136</v>
      </c>
      <c r="BE584" s="181">
        <f>IF(N584="základní",J584,0)</f>
        <v>0</v>
      </c>
      <c r="BF584" s="181">
        <f>IF(N584="snížená",J584,0)</f>
        <v>0</v>
      </c>
      <c r="BG584" s="181">
        <f>IF(N584="zákl. přenesená",J584,0)</f>
        <v>0</v>
      </c>
      <c r="BH584" s="181">
        <f>IF(N584="sníž. přenesená",J584,0)</f>
        <v>0</v>
      </c>
      <c r="BI584" s="181">
        <f>IF(N584="nulová",J584,0)</f>
        <v>0</v>
      </c>
      <c r="BJ584" s="24" t="s">
        <v>79</v>
      </c>
      <c r="BK584" s="181">
        <f>ROUND(I584*H584,2)</f>
        <v>0</v>
      </c>
      <c r="BL584" s="24" t="s">
        <v>204</v>
      </c>
      <c r="BM584" s="24" t="s">
        <v>606</v>
      </c>
    </row>
    <row r="585" spans="1:65" s="12" customFormat="1" x14ac:dyDescent="0.3">
      <c r="B585" s="190"/>
      <c r="C585" s="395"/>
      <c r="D585" s="396" t="s">
        <v>145</v>
      </c>
      <c r="E585" s="395"/>
      <c r="F585" s="397" t="s">
        <v>1357</v>
      </c>
      <c r="G585" s="395"/>
      <c r="H585" s="398">
        <f>20.385*1.15</f>
        <v>23.44275</v>
      </c>
      <c r="I585" s="194">
        <v>0</v>
      </c>
      <c r="L585" s="41"/>
      <c r="M585" s="195"/>
      <c r="N585" s="196"/>
      <c r="O585" s="196"/>
      <c r="P585" s="196"/>
      <c r="Q585" s="196"/>
      <c r="R585" s="196"/>
      <c r="S585" s="196"/>
      <c r="T585" s="197"/>
      <c r="AT585" s="191" t="s">
        <v>145</v>
      </c>
      <c r="AU585" s="191" t="s">
        <v>81</v>
      </c>
      <c r="AV585" s="12" t="s">
        <v>81</v>
      </c>
      <c r="AW585" s="12" t="s">
        <v>6</v>
      </c>
      <c r="AX585" s="12" t="s">
        <v>79</v>
      </c>
      <c r="AY585" s="191" t="s">
        <v>136</v>
      </c>
    </row>
    <row r="586" spans="1:65" s="1" customFormat="1" ht="25.5" customHeight="1" x14ac:dyDescent="0.3">
      <c r="B586" s="169"/>
      <c r="C586" s="170" t="s">
        <v>607</v>
      </c>
      <c r="D586" s="170" t="s">
        <v>138</v>
      </c>
      <c r="E586" s="171" t="s">
        <v>608</v>
      </c>
      <c r="F586" s="172" t="s">
        <v>609</v>
      </c>
      <c r="G586" s="173" t="s">
        <v>179</v>
      </c>
      <c r="H586" s="320">
        <v>36.9</v>
      </c>
      <c r="I586" s="175">
        <v>345</v>
      </c>
      <c r="J586" s="176">
        <f>ROUND(I586*H586,2)</f>
        <v>12730.5</v>
      </c>
      <c r="K586" s="172" t="s">
        <v>142</v>
      </c>
      <c r="L586" s="41"/>
      <c r="M586" s="177" t="s">
        <v>5</v>
      </c>
      <c r="N586" s="178" t="s">
        <v>42</v>
      </c>
      <c r="O586" s="42"/>
      <c r="P586" s="179">
        <f>O586*H586</f>
        <v>0</v>
      </c>
      <c r="Q586" s="179">
        <v>0</v>
      </c>
      <c r="R586" s="179">
        <f>Q586*H586</f>
        <v>0</v>
      </c>
      <c r="S586" s="179">
        <v>0</v>
      </c>
      <c r="T586" s="180">
        <f>S586*H586</f>
        <v>0</v>
      </c>
      <c r="AR586" s="24" t="s">
        <v>204</v>
      </c>
      <c r="AT586" s="24" t="s">
        <v>138</v>
      </c>
      <c r="AU586" s="24" t="s">
        <v>81</v>
      </c>
      <c r="AY586" s="24" t="s">
        <v>136</v>
      </c>
      <c r="BE586" s="181">
        <f>IF(N586="základní",J586,0)</f>
        <v>12730.5</v>
      </c>
      <c r="BF586" s="181">
        <f>IF(N586="snížená",J586,0)</f>
        <v>0</v>
      </c>
      <c r="BG586" s="181">
        <f>IF(N586="zákl. přenesená",J586,0)</f>
        <v>0</v>
      </c>
      <c r="BH586" s="181">
        <f>IF(N586="sníž. přenesená",J586,0)</f>
        <v>0</v>
      </c>
      <c r="BI586" s="181">
        <f>IF(N586="nulová",J586,0)</f>
        <v>0</v>
      </c>
      <c r="BJ586" s="24" t="s">
        <v>79</v>
      </c>
      <c r="BK586" s="181">
        <f>ROUND(I586*H586,2)</f>
        <v>12730.5</v>
      </c>
      <c r="BL586" s="24" t="s">
        <v>204</v>
      </c>
      <c r="BM586" s="24" t="s">
        <v>610</v>
      </c>
    </row>
    <row r="587" spans="1:65" s="1" customFormat="1" ht="16.5" customHeight="1" x14ac:dyDescent="0.3">
      <c r="B587" s="169"/>
      <c r="C587" s="206" t="s">
        <v>415</v>
      </c>
      <c r="D587" s="206" t="s">
        <v>355</v>
      </c>
      <c r="E587" s="207" t="s">
        <v>611</v>
      </c>
      <c r="F587" s="208" t="s">
        <v>612</v>
      </c>
      <c r="G587" s="209" t="s">
        <v>164</v>
      </c>
      <c r="H587" s="355">
        <f>H588</f>
        <v>1.6789499999999999</v>
      </c>
      <c r="I587" s="211">
        <v>2300</v>
      </c>
      <c r="J587" s="212">
        <f>ROUND(I587*H587,2)</f>
        <v>3861.59</v>
      </c>
      <c r="K587" s="208" t="s">
        <v>142</v>
      </c>
      <c r="L587" s="41"/>
      <c r="M587" s="213" t="s">
        <v>5</v>
      </c>
      <c r="N587" s="214" t="s">
        <v>42</v>
      </c>
      <c r="O587" s="42"/>
      <c r="P587" s="179">
        <f>O587*H587</f>
        <v>0</v>
      </c>
      <c r="Q587" s="179">
        <v>1</v>
      </c>
      <c r="R587" s="179">
        <f>Q587*H587</f>
        <v>1.6789499999999999</v>
      </c>
      <c r="S587" s="179">
        <v>0</v>
      </c>
      <c r="T587" s="180">
        <f>S587*H587</f>
        <v>0</v>
      </c>
      <c r="AR587" s="24" t="s">
        <v>283</v>
      </c>
      <c r="AT587" s="24" t="s">
        <v>355</v>
      </c>
      <c r="AU587" s="24" t="s">
        <v>81</v>
      </c>
      <c r="AY587" s="24" t="s">
        <v>136</v>
      </c>
      <c r="BE587" s="181">
        <f>IF(N587="základní",J587,0)</f>
        <v>3861.59</v>
      </c>
      <c r="BF587" s="181">
        <f>IF(N587="snížená",J587,0)</f>
        <v>0</v>
      </c>
      <c r="BG587" s="181">
        <f>IF(N587="zákl. přenesená",J587,0)</f>
        <v>0</v>
      </c>
      <c r="BH587" s="181">
        <f>IF(N587="sníž. přenesená",J587,0)</f>
        <v>0</v>
      </c>
      <c r="BI587" s="181">
        <f>IF(N587="nulová",J587,0)</f>
        <v>0</v>
      </c>
      <c r="BJ587" s="24" t="s">
        <v>79</v>
      </c>
      <c r="BK587" s="181">
        <f>ROUND(I587*H587,2)</f>
        <v>3861.59</v>
      </c>
      <c r="BL587" s="24" t="s">
        <v>204</v>
      </c>
      <c r="BM587" s="24" t="s">
        <v>613</v>
      </c>
    </row>
    <row r="588" spans="1:65" s="12" customFormat="1" x14ac:dyDescent="0.3">
      <c r="B588" s="190"/>
      <c r="D588" s="183" t="s">
        <v>145</v>
      </c>
      <c r="E588" s="191" t="s">
        <v>5</v>
      </c>
      <c r="F588" s="312" t="s">
        <v>1358</v>
      </c>
      <c r="H588" s="315">
        <f>4.55*4.1*0.05*1.8</f>
        <v>1.6789499999999999</v>
      </c>
      <c r="I588" s="194">
        <v>0</v>
      </c>
      <c r="L588" s="41"/>
      <c r="M588" s="195"/>
      <c r="N588" s="196"/>
      <c r="O588" s="196"/>
      <c r="P588" s="196"/>
      <c r="Q588" s="196"/>
      <c r="R588" s="196"/>
      <c r="S588" s="196"/>
      <c r="T588" s="197"/>
      <c r="AT588" s="191" t="s">
        <v>145</v>
      </c>
      <c r="AU588" s="191" t="s">
        <v>81</v>
      </c>
      <c r="AV588" s="12" t="s">
        <v>81</v>
      </c>
      <c r="AW588" s="12" t="s">
        <v>35</v>
      </c>
      <c r="AX588" s="12" t="s">
        <v>79</v>
      </c>
      <c r="AY588" s="191" t="s">
        <v>136</v>
      </c>
    </row>
    <row r="589" spans="1:65" s="1" customFormat="1" ht="16.5" customHeight="1" x14ac:dyDescent="0.3">
      <c r="B589" s="169"/>
      <c r="C589" s="170" t="s">
        <v>614</v>
      </c>
      <c r="D589" s="170" t="s">
        <v>138</v>
      </c>
      <c r="E589" s="171" t="s">
        <v>615</v>
      </c>
      <c r="F589" s="172" t="s">
        <v>616</v>
      </c>
      <c r="G589" s="173" t="s">
        <v>179</v>
      </c>
      <c r="H589" s="320">
        <v>36.9</v>
      </c>
      <c r="I589" s="175">
        <v>34.5</v>
      </c>
      <c r="J589" s="176">
        <f>ROUND(I589*H589,2)</f>
        <v>1273.05</v>
      </c>
      <c r="K589" s="172" t="s">
        <v>142</v>
      </c>
      <c r="L589" s="41"/>
      <c r="M589" s="177" t="s">
        <v>5</v>
      </c>
      <c r="N589" s="178" t="s">
        <v>42</v>
      </c>
      <c r="O589" s="42"/>
      <c r="P589" s="179">
        <f>O589*H589</f>
        <v>0</v>
      </c>
      <c r="Q589" s="179">
        <v>0</v>
      </c>
      <c r="R589" s="179">
        <f>Q589*H589</f>
        <v>0</v>
      </c>
      <c r="S589" s="179">
        <v>0</v>
      </c>
      <c r="T589" s="180">
        <f>S589*H589</f>
        <v>0</v>
      </c>
      <c r="AR589" s="24" t="s">
        <v>204</v>
      </c>
      <c r="AT589" s="24" t="s">
        <v>138</v>
      </c>
      <c r="AU589" s="24" t="s">
        <v>81</v>
      </c>
      <c r="AY589" s="24" t="s">
        <v>136</v>
      </c>
      <c r="BE589" s="181">
        <f>IF(N589="základní",J589,0)</f>
        <v>1273.05</v>
      </c>
      <c r="BF589" s="181">
        <f>IF(N589="snížená",J589,0)</f>
        <v>0</v>
      </c>
      <c r="BG589" s="181">
        <f>IF(N589="zákl. přenesená",J589,0)</f>
        <v>0</v>
      </c>
      <c r="BH589" s="181">
        <f>IF(N589="sníž. přenesená",J589,0)</f>
        <v>0</v>
      </c>
      <c r="BI589" s="181">
        <f>IF(N589="nulová",J589,0)</f>
        <v>0</v>
      </c>
      <c r="BJ589" s="24" t="s">
        <v>79</v>
      </c>
      <c r="BK589" s="181">
        <f>ROUND(I589*H589,2)</f>
        <v>1273.05</v>
      </c>
      <c r="BL589" s="24" t="s">
        <v>204</v>
      </c>
      <c r="BM589" s="24" t="s">
        <v>617</v>
      </c>
    </row>
    <row r="590" spans="1:65" s="1" customFormat="1" ht="16.5" customHeight="1" x14ac:dyDescent="0.3">
      <c r="B590" s="169"/>
      <c r="C590" s="206" t="s">
        <v>618</v>
      </c>
      <c r="D590" s="206" t="s">
        <v>355</v>
      </c>
      <c r="E590" s="207" t="s">
        <v>619</v>
      </c>
      <c r="F590" s="208" t="s">
        <v>620</v>
      </c>
      <c r="G590" s="209" t="s">
        <v>179</v>
      </c>
      <c r="H590" s="210">
        <v>40.590000000000003</v>
      </c>
      <c r="I590" s="211">
        <v>43.699999999999996</v>
      </c>
      <c r="J590" s="212">
        <f>ROUND(I590*H590,2)</f>
        <v>1773.78</v>
      </c>
      <c r="K590" s="208" t="s">
        <v>142</v>
      </c>
      <c r="L590" s="41"/>
      <c r="M590" s="213" t="s">
        <v>5</v>
      </c>
      <c r="N590" s="214" t="s">
        <v>42</v>
      </c>
      <c r="O590" s="42"/>
      <c r="P590" s="179">
        <f>O590*H590</f>
        <v>0</v>
      </c>
      <c r="Q590" s="179">
        <v>1E-4</v>
      </c>
      <c r="R590" s="179">
        <f>Q590*H590</f>
        <v>4.0590000000000001E-3</v>
      </c>
      <c r="S590" s="179">
        <v>0</v>
      </c>
      <c r="T590" s="180">
        <f>S590*H590</f>
        <v>0</v>
      </c>
      <c r="AR590" s="24" t="s">
        <v>283</v>
      </c>
      <c r="AT590" s="24" t="s">
        <v>355</v>
      </c>
      <c r="AU590" s="24" t="s">
        <v>81</v>
      </c>
      <c r="AY590" s="24" t="s">
        <v>136</v>
      </c>
      <c r="BE590" s="181">
        <f>IF(N590="základní",J590,0)</f>
        <v>1773.78</v>
      </c>
      <c r="BF590" s="181">
        <f>IF(N590="snížená",J590,0)</f>
        <v>0</v>
      </c>
      <c r="BG590" s="181">
        <f>IF(N590="zákl. přenesená",J590,0)</f>
        <v>0</v>
      </c>
      <c r="BH590" s="181">
        <f>IF(N590="sníž. přenesená",J590,0)</f>
        <v>0</v>
      </c>
      <c r="BI590" s="181">
        <f>IF(N590="nulová",J590,0)</f>
        <v>0</v>
      </c>
      <c r="BJ590" s="24" t="s">
        <v>79</v>
      </c>
      <c r="BK590" s="181">
        <f>ROUND(I590*H590,2)</f>
        <v>1773.78</v>
      </c>
      <c r="BL590" s="24" t="s">
        <v>204</v>
      </c>
      <c r="BM590" s="24" t="s">
        <v>621</v>
      </c>
    </row>
    <row r="591" spans="1:65" s="12" customFormat="1" x14ac:dyDescent="0.3">
      <c r="B591" s="190"/>
      <c r="D591" s="183" t="s">
        <v>145</v>
      </c>
      <c r="F591" s="192" t="s">
        <v>622</v>
      </c>
      <c r="H591" s="193">
        <v>40.590000000000003</v>
      </c>
      <c r="I591" s="194">
        <v>0</v>
      </c>
      <c r="L591" s="41"/>
      <c r="M591" s="195"/>
      <c r="N591" s="196"/>
      <c r="O591" s="196"/>
      <c r="P591" s="196"/>
      <c r="Q591" s="196"/>
      <c r="R591" s="196"/>
      <c r="S591" s="196"/>
      <c r="T591" s="197"/>
      <c r="AT591" s="191" t="s">
        <v>145</v>
      </c>
      <c r="AU591" s="191" t="s">
        <v>81</v>
      </c>
      <c r="AV591" s="12" t="s">
        <v>81</v>
      </c>
      <c r="AW591" s="12" t="s">
        <v>6</v>
      </c>
      <c r="AX591" s="12" t="s">
        <v>79</v>
      </c>
      <c r="AY591" s="191" t="s">
        <v>136</v>
      </c>
    </row>
    <row r="592" spans="1:65" s="1" customFormat="1" ht="25.5" customHeight="1" x14ac:dyDescent="0.3">
      <c r="A592" s="366"/>
      <c r="B592" s="169"/>
      <c r="C592" s="406" t="s">
        <v>623</v>
      </c>
      <c r="D592" s="406" t="s">
        <v>138</v>
      </c>
      <c r="E592" s="407" t="s">
        <v>624</v>
      </c>
      <c r="F592" s="408" t="s">
        <v>625</v>
      </c>
      <c r="G592" s="409" t="s">
        <v>179</v>
      </c>
      <c r="H592" s="410">
        <v>36.9</v>
      </c>
      <c r="I592" s="411">
        <v>0</v>
      </c>
      <c r="J592" s="412">
        <f>ROUND(I592*H592,2)</f>
        <v>0</v>
      </c>
      <c r="K592" s="364" t="s">
        <v>142</v>
      </c>
      <c r="L592" s="41"/>
      <c r="M592" s="177" t="s">
        <v>5</v>
      </c>
      <c r="N592" s="178" t="s">
        <v>42</v>
      </c>
      <c r="O592" s="42"/>
      <c r="P592" s="179">
        <f>O592*H592</f>
        <v>0</v>
      </c>
      <c r="Q592" s="179">
        <v>0</v>
      </c>
      <c r="R592" s="179">
        <f>Q592*H592</f>
        <v>0</v>
      </c>
      <c r="S592" s="179">
        <v>0</v>
      </c>
      <c r="T592" s="180">
        <f>S592*H592</f>
        <v>0</v>
      </c>
      <c r="AR592" s="24" t="s">
        <v>204</v>
      </c>
      <c r="AT592" s="24" t="s">
        <v>138</v>
      </c>
      <c r="AU592" s="24" t="s">
        <v>81</v>
      </c>
      <c r="AY592" s="24" t="s">
        <v>136</v>
      </c>
      <c r="BE592" s="181">
        <f>IF(N592="základní",J592,0)</f>
        <v>0</v>
      </c>
      <c r="BF592" s="181">
        <f>IF(N592="snížená",J592,0)</f>
        <v>0</v>
      </c>
      <c r="BG592" s="181">
        <f>IF(N592="zákl. přenesená",J592,0)</f>
        <v>0</v>
      </c>
      <c r="BH592" s="181">
        <f>IF(N592="sníž. přenesená",J592,0)</f>
        <v>0</v>
      </c>
      <c r="BI592" s="181">
        <f>IF(N592="nulová",J592,0)</f>
        <v>0</v>
      </c>
      <c r="BJ592" s="24" t="s">
        <v>79</v>
      </c>
      <c r="BK592" s="181">
        <f>ROUND(I592*H592,2)</f>
        <v>0</v>
      </c>
      <c r="BL592" s="24" t="s">
        <v>204</v>
      </c>
      <c r="BM592" s="24" t="s">
        <v>626</v>
      </c>
    </row>
    <row r="593" spans="1:65" s="1" customFormat="1" ht="16.5" customHeight="1" x14ac:dyDescent="0.3">
      <c r="A593" s="366"/>
      <c r="B593" s="169"/>
      <c r="C593" s="419" t="s">
        <v>627</v>
      </c>
      <c r="D593" s="419" t="s">
        <v>355</v>
      </c>
      <c r="E593" s="420" t="s">
        <v>628</v>
      </c>
      <c r="F593" s="421" t="s">
        <v>629</v>
      </c>
      <c r="G593" s="422" t="s">
        <v>141</v>
      </c>
      <c r="H593" s="423">
        <v>7.38</v>
      </c>
      <c r="I593" s="424">
        <v>0</v>
      </c>
      <c r="J593" s="425">
        <f>ROUND(I593*H593,2)</f>
        <v>0</v>
      </c>
      <c r="K593" s="365" t="s">
        <v>142</v>
      </c>
      <c r="L593" s="41"/>
      <c r="M593" s="213" t="s">
        <v>5</v>
      </c>
      <c r="N593" s="214" t="s">
        <v>42</v>
      </c>
      <c r="O593" s="42"/>
      <c r="P593" s="179">
        <f>O593*H593</f>
        <v>0</v>
      </c>
      <c r="Q593" s="179">
        <v>0.75</v>
      </c>
      <c r="R593" s="179">
        <f>Q593*H593</f>
        <v>5.5350000000000001</v>
      </c>
      <c r="S593" s="179">
        <v>0</v>
      </c>
      <c r="T593" s="180">
        <f>S593*H593</f>
        <v>0</v>
      </c>
      <c r="AR593" s="24" t="s">
        <v>283</v>
      </c>
      <c r="AT593" s="24" t="s">
        <v>355</v>
      </c>
      <c r="AU593" s="24" t="s">
        <v>81</v>
      </c>
      <c r="AY593" s="24" t="s">
        <v>136</v>
      </c>
      <c r="BE593" s="181">
        <f>IF(N593="základní",J593,0)</f>
        <v>0</v>
      </c>
      <c r="BF593" s="181">
        <f>IF(N593="snížená",J593,0)</f>
        <v>0</v>
      </c>
      <c r="BG593" s="181">
        <f>IF(N593="zákl. přenesená",J593,0)</f>
        <v>0</v>
      </c>
      <c r="BH593" s="181">
        <f>IF(N593="sníž. přenesená",J593,0)</f>
        <v>0</v>
      </c>
      <c r="BI593" s="181">
        <f>IF(N593="nulová",J593,0)</f>
        <v>0</v>
      </c>
      <c r="BJ593" s="24" t="s">
        <v>79</v>
      </c>
      <c r="BK593" s="181">
        <f>ROUND(I593*H593,2)</f>
        <v>0</v>
      </c>
      <c r="BL593" s="24" t="s">
        <v>204</v>
      </c>
      <c r="BM593" s="24" t="s">
        <v>630</v>
      </c>
    </row>
    <row r="594" spans="1:65" s="12" customFormat="1" x14ac:dyDescent="0.3">
      <c r="B594" s="190"/>
      <c r="D594" s="183" t="s">
        <v>145</v>
      </c>
      <c r="E594" s="191" t="s">
        <v>5</v>
      </c>
      <c r="F594" s="192" t="s">
        <v>631</v>
      </c>
      <c r="H594" s="193">
        <v>7.38</v>
      </c>
      <c r="I594" s="194">
        <v>0</v>
      </c>
      <c r="L594" s="41"/>
      <c r="M594" s="195"/>
      <c r="N594" s="196"/>
      <c r="O594" s="196"/>
      <c r="P594" s="196"/>
      <c r="Q594" s="196"/>
      <c r="R594" s="196"/>
      <c r="S594" s="196"/>
      <c r="T594" s="197"/>
      <c r="AT594" s="191" t="s">
        <v>145</v>
      </c>
      <c r="AU594" s="191" t="s">
        <v>81</v>
      </c>
      <c r="AV594" s="12" t="s">
        <v>81</v>
      </c>
      <c r="AW594" s="12" t="s">
        <v>35</v>
      </c>
      <c r="AX594" s="12" t="s">
        <v>79</v>
      </c>
      <c r="AY594" s="191" t="s">
        <v>136</v>
      </c>
    </row>
    <row r="595" spans="1:65" s="1" customFormat="1" ht="16.5" customHeight="1" x14ac:dyDescent="0.3">
      <c r="B595" s="169"/>
      <c r="C595" s="170" t="s">
        <v>632</v>
      </c>
      <c r="D595" s="170" t="s">
        <v>138</v>
      </c>
      <c r="E595" s="171" t="s">
        <v>633</v>
      </c>
      <c r="F595" s="172" t="s">
        <v>634</v>
      </c>
      <c r="G595" s="173" t="s">
        <v>554</v>
      </c>
      <c r="H595" s="226">
        <v>736.64</v>
      </c>
      <c r="I595" s="175">
        <v>5.1749999999999998</v>
      </c>
      <c r="J595" s="176">
        <f>ROUND(I595*H595,2)</f>
        <v>3812.11</v>
      </c>
      <c r="K595" s="172" t="s">
        <v>142</v>
      </c>
      <c r="L595" s="41"/>
      <c r="M595" s="177" t="s">
        <v>5</v>
      </c>
      <c r="N595" s="178" t="s">
        <v>42</v>
      </c>
      <c r="O595" s="42"/>
      <c r="P595" s="179">
        <f>O595*H595</f>
        <v>0</v>
      </c>
      <c r="Q595" s="179">
        <v>0</v>
      </c>
      <c r="R595" s="179">
        <f>Q595*H595</f>
        <v>0</v>
      </c>
      <c r="S595" s="179">
        <v>0</v>
      </c>
      <c r="T595" s="180">
        <f>S595*H595</f>
        <v>0</v>
      </c>
      <c r="AR595" s="24" t="s">
        <v>204</v>
      </c>
      <c r="AT595" s="24" t="s">
        <v>138</v>
      </c>
      <c r="AU595" s="24" t="s">
        <v>81</v>
      </c>
      <c r="AY595" s="24" t="s">
        <v>136</v>
      </c>
      <c r="BE595" s="181">
        <f>IF(N595="základní",J595,0)</f>
        <v>3812.11</v>
      </c>
      <c r="BF595" s="181">
        <f>IF(N595="snížená",J595,0)</f>
        <v>0</v>
      </c>
      <c r="BG595" s="181">
        <f>IF(N595="zákl. přenesená",J595,0)</f>
        <v>0</v>
      </c>
      <c r="BH595" s="181">
        <f>IF(N595="sníž. přenesená",J595,0)</f>
        <v>0</v>
      </c>
      <c r="BI595" s="181">
        <f>IF(N595="nulová",J595,0)</f>
        <v>0</v>
      </c>
      <c r="BJ595" s="24" t="s">
        <v>79</v>
      </c>
      <c r="BK595" s="181">
        <f>ROUND(I595*H595,2)</f>
        <v>3812.11</v>
      </c>
      <c r="BL595" s="24" t="s">
        <v>204</v>
      </c>
      <c r="BM595" s="24" t="s">
        <v>635</v>
      </c>
    </row>
    <row r="596" spans="1:65" s="10" customFormat="1" ht="29.85" customHeight="1" x14ac:dyDescent="0.3">
      <c r="B596" s="156"/>
      <c r="D596" s="157" t="s">
        <v>70</v>
      </c>
      <c r="E596" s="167" t="s">
        <v>636</v>
      </c>
      <c r="F596" s="167" t="s">
        <v>637</v>
      </c>
      <c r="I596" s="159">
        <v>0</v>
      </c>
      <c r="J596" s="168">
        <f>SUM(J597:J637)</f>
        <v>246724.78000000006</v>
      </c>
      <c r="L596" s="41"/>
      <c r="M596" s="161"/>
      <c r="N596" s="162"/>
      <c r="O596" s="162"/>
      <c r="P596" s="163">
        <f>SUM(P597:P637)</f>
        <v>0</v>
      </c>
      <c r="Q596" s="162"/>
      <c r="R596" s="163">
        <f>SUM(R597:R637)</f>
        <v>2.6380758500000003</v>
      </c>
      <c r="S596" s="162"/>
      <c r="T596" s="164">
        <f>SUM(T597:T637)</f>
        <v>0</v>
      </c>
      <c r="AR596" s="157" t="s">
        <v>81</v>
      </c>
      <c r="AT596" s="165" t="s">
        <v>70</v>
      </c>
      <c r="AU596" s="165" t="s">
        <v>79</v>
      </c>
      <c r="AY596" s="157" t="s">
        <v>136</v>
      </c>
      <c r="BK596" s="166">
        <f>SUM(BK597:BK637)</f>
        <v>227166.29000000004</v>
      </c>
    </row>
    <row r="597" spans="1:65" s="1" customFormat="1" ht="25.5" customHeight="1" x14ac:dyDescent="0.3">
      <c r="B597" s="169"/>
      <c r="C597" s="170" t="s">
        <v>638</v>
      </c>
      <c r="D597" s="170" t="s">
        <v>138</v>
      </c>
      <c r="E597" s="171" t="s">
        <v>639</v>
      </c>
      <c r="F597" s="172" t="s">
        <v>640</v>
      </c>
      <c r="G597" s="173" t="s">
        <v>179</v>
      </c>
      <c r="H597" s="313">
        <f>H599</f>
        <v>167</v>
      </c>
      <c r="I597" s="175">
        <v>51.749999999999993</v>
      </c>
      <c r="J597" s="176">
        <f>ROUND(I597*H597,2)</f>
        <v>8642.25</v>
      </c>
      <c r="K597" s="172" t="s">
        <v>142</v>
      </c>
      <c r="L597" s="41"/>
      <c r="M597" s="177" t="s">
        <v>5</v>
      </c>
      <c r="N597" s="178" t="s">
        <v>42</v>
      </c>
      <c r="O597" s="42"/>
      <c r="P597" s="179">
        <f>O597*H597</f>
        <v>0</v>
      </c>
      <c r="Q597" s="179">
        <v>0</v>
      </c>
      <c r="R597" s="179">
        <f>Q597*H597</f>
        <v>0</v>
      </c>
      <c r="S597" s="179">
        <v>0</v>
      </c>
      <c r="T597" s="180">
        <f>S597*H597</f>
        <v>0</v>
      </c>
      <c r="AR597" s="24" t="s">
        <v>204</v>
      </c>
      <c r="AT597" s="24" t="s">
        <v>138</v>
      </c>
      <c r="AU597" s="24" t="s">
        <v>81</v>
      </c>
      <c r="AY597" s="24" t="s">
        <v>136</v>
      </c>
      <c r="BE597" s="181">
        <f>IF(N597="základní",J597,0)</f>
        <v>8642.25</v>
      </c>
      <c r="BF597" s="181">
        <f>IF(N597="snížená",J597,0)</f>
        <v>0</v>
      </c>
      <c r="BG597" s="181">
        <f>IF(N597="zákl. přenesená",J597,0)</f>
        <v>0</v>
      </c>
      <c r="BH597" s="181">
        <f>IF(N597="sníž. přenesená",J597,0)</f>
        <v>0</v>
      </c>
      <c r="BI597" s="181">
        <f>IF(N597="nulová",J597,0)</f>
        <v>0</v>
      </c>
      <c r="BJ597" s="24" t="s">
        <v>79</v>
      </c>
      <c r="BK597" s="181">
        <f>ROUND(I597*H597,2)</f>
        <v>8642.25</v>
      </c>
      <c r="BL597" s="24" t="s">
        <v>204</v>
      </c>
      <c r="BM597" s="24" t="s">
        <v>641</v>
      </c>
    </row>
    <row r="598" spans="1:65" s="12" customFormat="1" x14ac:dyDescent="0.3">
      <c r="B598" s="190"/>
      <c r="D598" s="183" t="s">
        <v>145</v>
      </c>
      <c r="E598" s="191" t="s">
        <v>5</v>
      </c>
      <c r="F598" s="312" t="s">
        <v>1359</v>
      </c>
      <c r="H598" s="315"/>
      <c r="I598" s="194">
        <v>0</v>
      </c>
      <c r="L598" s="41"/>
      <c r="M598" s="195"/>
      <c r="N598" s="196"/>
      <c r="O598" s="196"/>
      <c r="P598" s="196"/>
      <c r="Q598" s="196"/>
      <c r="R598" s="196"/>
      <c r="S598" s="196"/>
      <c r="T598" s="197"/>
      <c r="AT598" s="191" t="s">
        <v>145</v>
      </c>
      <c r="AU598" s="191" t="s">
        <v>81</v>
      </c>
      <c r="AV598" s="12" t="s">
        <v>81</v>
      </c>
      <c r="AW598" s="12" t="s">
        <v>35</v>
      </c>
      <c r="AX598" s="12" t="s">
        <v>71</v>
      </c>
      <c r="AY598" s="191" t="s">
        <v>136</v>
      </c>
    </row>
    <row r="599" spans="1:65" s="12" customFormat="1" x14ac:dyDescent="0.3">
      <c r="B599" s="190"/>
      <c r="D599" s="183" t="s">
        <v>145</v>
      </c>
      <c r="E599" s="191" t="s">
        <v>5</v>
      </c>
      <c r="F599" s="312" t="s">
        <v>1321</v>
      </c>
      <c r="H599" s="315">
        <f>50+53.2+63.8</f>
        <v>167</v>
      </c>
      <c r="I599" s="194">
        <v>0</v>
      </c>
      <c r="L599" s="41"/>
      <c r="M599" s="195"/>
      <c r="N599" s="196"/>
      <c r="O599" s="196"/>
      <c r="P599" s="196"/>
      <c r="Q599" s="196"/>
      <c r="R599" s="196"/>
      <c r="S599" s="196"/>
      <c r="T599" s="197"/>
      <c r="AT599" s="191" t="s">
        <v>145</v>
      </c>
      <c r="AU599" s="191" t="s">
        <v>81</v>
      </c>
      <c r="AV599" s="12" t="s">
        <v>81</v>
      </c>
      <c r="AW599" s="12" t="s">
        <v>35</v>
      </c>
      <c r="AX599" s="12" t="s">
        <v>71</v>
      </c>
      <c r="AY599" s="191" t="s">
        <v>136</v>
      </c>
    </row>
    <row r="600" spans="1:65" s="1" customFormat="1" ht="16.5" customHeight="1" x14ac:dyDescent="0.3">
      <c r="B600" s="169"/>
      <c r="C600" s="206" t="s">
        <v>642</v>
      </c>
      <c r="D600" s="206" t="s">
        <v>355</v>
      </c>
      <c r="E600" s="207" t="s">
        <v>643</v>
      </c>
      <c r="F600" s="421" t="s">
        <v>1360</v>
      </c>
      <c r="G600" s="209" t="s">
        <v>179</v>
      </c>
      <c r="H600" s="355">
        <f>H601</f>
        <v>183.70000000000002</v>
      </c>
      <c r="I600" s="211">
        <v>51.749999999999993</v>
      </c>
      <c r="J600" s="212">
        <f>ROUND(I600*H600,2)</f>
        <v>9506.48</v>
      </c>
      <c r="K600" s="208" t="s">
        <v>142</v>
      </c>
      <c r="L600" s="41"/>
      <c r="M600" s="213" t="s">
        <v>5</v>
      </c>
      <c r="N600" s="214" t="s">
        <v>42</v>
      </c>
      <c r="O600" s="42"/>
      <c r="P600" s="179">
        <f>O600*H600</f>
        <v>0</v>
      </c>
      <c r="Q600" s="179">
        <v>1.6000000000000001E-3</v>
      </c>
      <c r="R600" s="179">
        <f>Q600*H600</f>
        <v>0.29392000000000001</v>
      </c>
      <c r="S600" s="179">
        <v>0</v>
      </c>
      <c r="T600" s="180">
        <f>S600*H600</f>
        <v>0</v>
      </c>
      <c r="AR600" s="24" t="s">
        <v>283</v>
      </c>
      <c r="AT600" s="24" t="s">
        <v>355</v>
      </c>
      <c r="AU600" s="24" t="s">
        <v>81</v>
      </c>
      <c r="AY600" s="24" t="s">
        <v>136</v>
      </c>
      <c r="BE600" s="181">
        <f>IF(N600="základní",J600,0)</f>
        <v>9506.48</v>
      </c>
      <c r="BF600" s="181">
        <f>IF(N600="snížená",J600,0)</f>
        <v>0</v>
      </c>
      <c r="BG600" s="181">
        <f>IF(N600="zákl. přenesená",J600,0)</f>
        <v>0</v>
      </c>
      <c r="BH600" s="181">
        <f>IF(N600="sníž. přenesená",J600,0)</f>
        <v>0</v>
      </c>
      <c r="BI600" s="181">
        <f>IF(N600="nulová",J600,0)</f>
        <v>0</v>
      </c>
      <c r="BJ600" s="24" t="s">
        <v>79</v>
      </c>
      <c r="BK600" s="181">
        <f>ROUND(I600*H600,2)</f>
        <v>9506.48</v>
      </c>
      <c r="BL600" s="24" t="s">
        <v>204</v>
      </c>
      <c r="BM600" s="24" t="s">
        <v>644</v>
      </c>
    </row>
    <row r="601" spans="1:65" s="12" customFormat="1" x14ac:dyDescent="0.3">
      <c r="B601" s="190"/>
      <c r="D601" s="183" t="s">
        <v>145</v>
      </c>
      <c r="F601" s="312" t="s">
        <v>1361</v>
      </c>
      <c r="H601" s="315">
        <f>167*1.1</f>
        <v>183.70000000000002</v>
      </c>
      <c r="I601" s="194">
        <v>0</v>
      </c>
      <c r="L601" s="41"/>
      <c r="M601" s="195"/>
      <c r="N601" s="196"/>
      <c r="O601" s="196"/>
      <c r="P601" s="196"/>
      <c r="Q601" s="196"/>
      <c r="R601" s="196"/>
      <c r="S601" s="196"/>
      <c r="T601" s="197"/>
      <c r="AT601" s="191" t="s">
        <v>145</v>
      </c>
      <c r="AU601" s="191" t="s">
        <v>81</v>
      </c>
      <c r="AV601" s="12" t="s">
        <v>81</v>
      </c>
      <c r="AW601" s="12" t="s">
        <v>6</v>
      </c>
      <c r="AX601" s="12" t="s">
        <v>79</v>
      </c>
      <c r="AY601" s="191" t="s">
        <v>136</v>
      </c>
    </row>
    <row r="602" spans="1:65" s="1" customFormat="1" ht="25.5" customHeight="1" x14ac:dyDescent="0.3">
      <c r="B602" s="169"/>
      <c r="C602" s="170" t="s">
        <v>645</v>
      </c>
      <c r="D602" s="170" t="s">
        <v>138</v>
      </c>
      <c r="E602" s="171" t="s">
        <v>646</v>
      </c>
      <c r="F602" s="172" t="s">
        <v>647</v>
      </c>
      <c r="G602" s="173" t="s">
        <v>179</v>
      </c>
      <c r="H602" s="313">
        <f>H604</f>
        <v>117.8</v>
      </c>
      <c r="I602" s="175">
        <v>97.749999999999986</v>
      </c>
      <c r="J602" s="176">
        <f>ROUND(I602*H602,2)</f>
        <v>11514.95</v>
      </c>
      <c r="K602" s="172" t="s">
        <v>142</v>
      </c>
      <c r="L602" s="41"/>
      <c r="M602" s="177" t="s">
        <v>5</v>
      </c>
      <c r="N602" s="178" t="s">
        <v>42</v>
      </c>
      <c r="O602" s="42"/>
      <c r="P602" s="179">
        <f>O602*H602</f>
        <v>0</v>
      </c>
      <c r="Q602" s="179">
        <v>0</v>
      </c>
      <c r="R602" s="179">
        <f>Q602*H602</f>
        <v>0</v>
      </c>
      <c r="S602" s="179">
        <v>0</v>
      </c>
      <c r="T602" s="180">
        <f>S602*H602</f>
        <v>0</v>
      </c>
      <c r="AR602" s="24" t="s">
        <v>204</v>
      </c>
      <c r="AT602" s="24" t="s">
        <v>138</v>
      </c>
      <c r="AU602" s="24" t="s">
        <v>81</v>
      </c>
      <c r="AY602" s="24" t="s">
        <v>136</v>
      </c>
      <c r="BE602" s="181">
        <f>IF(N602="základní",J602,0)</f>
        <v>11514.95</v>
      </c>
      <c r="BF602" s="181">
        <f>IF(N602="snížená",J602,0)</f>
        <v>0</v>
      </c>
      <c r="BG602" s="181">
        <f>IF(N602="zákl. přenesená",J602,0)</f>
        <v>0</v>
      </c>
      <c r="BH602" s="181">
        <f>IF(N602="sníž. přenesená",J602,0)</f>
        <v>0</v>
      </c>
      <c r="BI602" s="181">
        <f>IF(N602="nulová",J602,0)</f>
        <v>0</v>
      </c>
      <c r="BJ602" s="24" t="s">
        <v>79</v>
      </c>
      <c r="BK602" s="181">
        <f>ROUND(I602*H602,2)</f>
        <v>11514.95</v>
      </c>
      <c r="BL602" s="24" t="s">
        <v>204</v>
      </c>
      <c r="BM602" s="24" t="s">
        <v>648</v>
      </c>
    </row>
    <row r="603" spans="1:65" s="12" customFormat="1" x14ac:dyDescent="0.3">
      <c r="B603" s="190"/>
      <c r="D603" s="183" t="s">
        <v>145</v>
      </c>
      <c r="E603" s="191" t="s">
        <v>5</v>
      </c>
      <c r="F603" s="321" t="s">
        <v>1205</v>
      </c>
      <c r="H603" s="315"/>
      <c r="I603" s="194">
        <v>0</v>
      </c>
      <c r="L603" s="41"/>
      <c r="M603" s="195"/>
      <c r="N603" s="196"/>
      <c r="O603" s="196"/>
      <c r="P603" s="196"/>
      <c r="Q603" s="196"/>
      <c r="R603" s="196"/>
      <c r="S603" s="196"/>
      <c r="T603" s="197"/>
      <c r="AT603" s="191" t="s">
        <v>145</v>
      </c>
      <c r="AU603" s="191" t="s">
        <v>81</v>
      </c>
      <c r="AV603" s="12" t="s">
        <v>81</v>
      </c>
      <c r="AW603" s="12" t="s">
        <v>35</v>
      </c>
      <c r="AX603" s="12" t="s">
        <v>79</v>
      </c>
      <c r="AY603" s="191" t="s">
        <v>136</v>
      </c>
    </row>
    <row r="604" spans="1:65" s="12" customFormat="1" x14ac:dyDescent="0.3">
      <c r="B604" s="190"/>
      <c r="D604" s="183"/>
      <c r="E604" s="191"/>
      <c r="F604" s="312">
        <v>117.8</v>
      </c>
      <c r="H604" s="315">
        <v>117.8</v>
      </c>
      <c r="I604" s="194">
        <v>0</v>
      </c>
      <c r="L604" s="41"/>
      <c r="M604" s="195"/>
      <c r="N604" s="328"/>
      <c r="O604" s="328"/>
      <c r="P604" s="328"/>
      <c r="Q604" s="328"/>
      <c r="R604" s="328"/>
      <c r="S604" s="328"/>
      <c r="T604" s="197"/>
      <c r="AT604" s="191"/>
      <c r="AU604" s="191"/>
      <c r="AY604" s="191"/>
    </row>
    <row r="605" spans="1:65" s="1" customFormat="1" ht="16.5" customHeight="1" x14ac:dyDescent="0.3">
      <c r="B605" s="169"/>
      <c r="C605" s="206" t="s">
        <v>649</v>
      </c>
      <c r="D605" s="206" t="s">
        <v>355</v>
      </c>
      <c r="E605" s="207" t="s">
        <v>650</v>
      </c>
      <c r="F605" s="368" t="s">
        <v>1362</v>
      </c>
      <c r="G605" s="209" t="s">
        <v>179</v>
      </c>
      <c r="H605" s="355">
        <f>H606</f>
        <v>259.16000000000003</v>
      </c>
      <c r="I605" s="211">
        <v>229.99999999999997</v>
      </c>
      <c r="J605" s="212">
        <f>ROUND(I605*H605,2)</f>
        <v>59606.8</v>
      </c>
      <c r="K605" s="208" t="s">
        <v>142</v>
      </c>
      <c r="L605" s="41"/>
      <c r="M605" s="213" t="s">
        <v>5</v>
      </c>
      <c r="N605" s="214" t="s">
        <v>42</v>
      </c>
      <c r="O605" s="42"/>
      <c r="P605" s="179">
        <f>O605*H605</f>
        <v>0</v>
      </c>
      <c r="Q605" s="179">
        <v>3.0000000000000001E-3</v>
      </c>
      <c r="R605" s="179">
        <f>Q605*H605</f>
        <v>0.77748000000000006</v>
      </c>
      <c r="S605" s="179">
        <v>0</v>
      </c>
      <c r="T605" s="180">
        <f>S605*H605</f>
        <v>0</v>
      </c>
      <c r="AR605" s="24" t="s">
        <v>283</v>
      </c>
      <c r="AT605" s="24" t="s">
        <v>355</v>
      </c>
      <c r="AU605" s="24" t="s">
        <v>81</v>
      </c>
      <c r="AY605" s="24" t="s">
        <v>136</v>
      </c>
      <c r="BE605" s="181">
        <f>IF(N605="základní",J605,0)</f>
        <v>59606.8</v>
      </c>
      <c r="BF605" s="181">
        <f>IF(N605="snížená",J605,0)</f>
        <v>0</v>
      </c>
      <c r="BG605" s="181">
        <f>IF(N605="zákl. přenesená",J605,0)</f>
        <v>0</v>
      </c>
      <c r="BH605" s="181">
        <f>IF(N605="sníž. přenesená",J605,0)</f>
        <v>0</v>
      </c>
      <c r="BI605" s="181">
        <f>IF(N605="nulová",J605,0)</f>
        <v>0</v>
      </c>
      <c r="BJ605" s="24" t="s">
        <v>79</v>
      </c>
      <c r="BK605" s="181">
        <f>ROUND(I605*H605,2)</f>
        <v>59606.8</v>
      </c>
      <c r="BL605" s="24" t="s">
        <v>204</v>
      </c>
      <c r="BM605" s="24" t="s">
        <v>651</v>
      </c>
    </row>
    <row r="606" spans="1:65" s="12" customFormat="1" x14ac:dyDescent="0.3">
      <c r="B606" s="190"/>
      <c r="D606" s="183" t="s">
        <v>145</v>
      </c>
      <c r="F606" s="312" t="s">
        <v>1363</v>
      </c>
      <c r="H606" s="315">
        <f>117.8*1.1*2</f>
        <v>259.16000000000003</v>
      </c>
      <c r="I606" s="194">
        <v>0</v>
      </c>
      <c r="L606" s="41"/>
      <c r="M606" s="195"/>
      <c r="N606" s="196"/>
      <c r="O606" s="196"/>
      <c r="P606" s="196"/>
      <c r="Q606" s="196"/>
      <c r="R606" s="196"/>
      <c r="S606" s="196"/>
      <c r="T606" s="197"/>
      <c r="AT606" s="191" t="s">
        <v>145</v>
      </c>
      <c r="AU606" s="191" t="s">
        <v>81</v>
      </c>
      <c r="AV606" s="12" t="s">
        <v>81</v>
      </c>
      <c r="AW606" s="12" t="s">
        <v>6</v>
      </c>
      <c r="AX606" s="12" t="s">
        <v>79</v>
      </c>
      <c r="AY606" s="191" t="s">
        <v>136</v>
      </c>
    </row>
    <row r="607" spans="1:65" s="1" customFormat="1" ht="25.5" customHeight="1" x14ac:dyDescent="0.3">
      <c r="B607" s="169"/>
      <c r="C607" s="170" t="s">
        <v>652</v>
      </c>
      <c r="D607" s="170" t="s">
        <v>138</v>
      </c>
      <c r="E607" s="171" t="s">
        <v>653</v>
      </c>
      <c r="F607" s="172" t="s">
        <v>654</v>
      </c>
      <c r="G607" s="173" t="s">
        <v>179</v>
      </c>
      <c r="H607" s="313">
        <f>H608</f>
        <v>50.610000000000007</v>
      </c>
      <c r="I607" s="175">
        <v>184</v>
      </c>
      <c r="J607" s="176">
        <f>ROUND(I607*H607,2)</f>
        <v>9312.24</v>
      </c>
      <c r="K607" s="172" t="s">
        <v>142</v>
      </c>
      <c r="L607" s="41"/>
      <c r="M607" s="177" t="s">
        <v>5</v>
      </c>
      <c r="N607" s="178" t="s">
        <v>42</v>
      </c>
      <c r="O607" s="42"/>
      <c r="P607" s="179">
        <f>O607*H607</f>
        <v>0</v>
      </c>
      <c r="Q607" s="179">
        <v>0</v>
      </c>
      <c r="R607" s="179">
        <f>Q607*H607</f>
        <v>0</v>
      </c>
      <c r="S607" s="179">
        <v>0</v>
      </c>
      <c r="T607" s="180">
        <f>S607*H607</f>
        <v>0</v>
      </c>
      <c r="AR607" s="24" t="s">
        <v>204</v>
      </c>
      <c r="AT607" s="24" t="s">
        <v>138</v>
      </c>
      <c r="AU607" s="24" t="s">
        <v>81</v>
      </c>
      <c r="AY607" s="24" t="s">
        <v>136</v>
      </c>
      <c r="BE607" s="181">
        <f>IF(N607="základní",J607,0)</f>
        <v>9312.24</v>
      </c>
      <c r="BF607" s="181">
        <f>IF(N607="snížená",J607,0)</f>
        <v>0</v>
      </c>
      <c r="BG607" s="181">
        <f>IF(N607="zákl. přenesená",J607,0)</f>
        <v>0</v>
      </c>
      <c r="BH607" s="181">
        <f>IF(N607="sníž. přenesená",J607,0)</f>
        <v>0</v>
      </c>
      <c r="BI607" s="181">
        <f>IF(N607="nulová",J607,0)</f>
        <v>0</v>
      </c>
      <c r="BJ607" s="24" t="s">
        <v>79</v>
      </c>
      <c r="BK607" s="181">
        <f>ROUND(I607*H607,2)</f>
        <v>9312.24</v>
      </c>
      <c r="BL607" s="24" t="s">
        <v>204</v>
      </c>
      <c r="BM607" s="24" t="s">
        <v>655</v>
      </c>
    </row>
    <row r="608" spans="1:65" s="12" customFormat="1" x14ac:dyDescent="0.3">
      <c r="B608" s="190"/>
      <c r="D608" s="183" t="s">
        <v>145</v>
      </c>
      <c r="E608" s="191" t="s">
        <v>5</v>
      </c>
      <c r="F608" s="312" t="s">
        <v>1364</v>
      </c>
      <c r="H608" s="315">
        <f>(2*14.5+9.6*2)*1.05</f>
        <v>50.610000000000007</v>
      </c>
      <c r="I608" s="194">
        <v>0</v>
      </c>
      <c r="L608" s="41"/>
      <c r="M608" s="195"/>
      <c r="N608" s="196"/>
      <c r="O608" s="196"/>
      <c r="P608" s="196"/>
      <c r="Q608" s="196"/>
      <c r="R608" s="196"/>
      <c r="S608" s="196"/>
      <c r="T608" s="197"/>
      <c r="AT608" s="191" t="s">
        <v>145</v>
      </c>
      <c r="AU608" s="191" t="s">
        <v>81</v>
      </c>
      <c r="AV608" s="12" t="s">
        <v>81</v>
      </c>
      <c r="AW608" s="12" t="s">
        <v>35</v>
      </c>
      <c r="AX608" s="12" t="s">
        <v>79</v>
      </c>
      <c r="AY608" s="191" t="s">
        <v>136</v>
      </c>
    </row>
    <row r="609" spans="2:65" s="1" customFormat="1" ht="16.5" customHeight="1" x14ac:dyDescent="0.3">
      <c r="B609" s="169"/>
      <c r="C609" s="206" t="s">
        <v>656</v>
      </c>
      <c r="D609" s="206" t="s">
        <v>355</v>
      </c>
      <c r="E609" s="207" t="s">
        <v>380</v>
      </c>
      <c r="F609" s="208" t="s">
        <v>381</v>
      </c>
      <c r="G609" s="209" t="s">
        <v>179</v>
      </c>
      <c r="H609" s="355">
        <f>H610</f>
        <v>53.140500000000003</v>
      </c>
      <c r="I609" s="211">
        <v>586.5</v>
      </c>
      <c r="J609" s="212">
        <f>ROUND(I609*H609,2)</f>
        <v>31166.9</v>
      </c>
      <c r="K609" s="208" t="s">
        <v>5</v>
      </c>
      <c r="L609" s="41"/>
      <c r="M609" s="213" t="s">
        <v>5</v>
      </c>
      <c r="N609" s="214" t="s">
        <v>42</v>
      </c>
      <c r="O609" s="42"/>
      <c r="P609" s="179">
        <f>O609*H609</f>
        <v>0</v>
      </c>
      <c r="Q609" s="179">
        <v>4.8999999999999998E-3</v>
      </c>
      <c r="R609" s="179">
        <f>Q609*H609</f>
        <v>0.26038844999999999</v>
      </c>
      <c r="S609" s="179">
        <v>0</v>
      </c>
      <c r="T609" s="180">
        <f>S609*H609</f>
        <v>0</v>
      </c>
      <c r="AR609" s="24" t="s">
        <v>171</v>
      </c>
      <c r="AT609" s="24" t="s">
        <v>355</v>
      </c>
      <c r="AU609" s="24" t="s">
        <v>81</v>
      </c>
      <c r="AY609" s="24" t="s">
        <v>136</v>
      </c>
      <c r="BE609" s="181">
        <f>IF(N609="základní",J609,0)</f>
        <v>31166.9</v>
      </c>
      <c r="BF609" s="181">
        <f>IF(N609="snížená",J609,0)</f>
        <v>0</v>
      </c>
      <c r="BG609" s="181">
        <f>IF(N609="zákl. přenesená",J609,0)</f>
        <v>0</v>
      </c>
      <c r="BH609" s="181">
        <f>IF(N609="sníž. přenesená",J609,0)</f>
        <v>0</v>
      </c>
      <c r="BI609" s="181">
        <f>IF(N609="nulová",J609,0)</f>
        <v>0</v>
      </c>
      <c r="BJ609" s="24" t="s">
        <v>79</v>
      </c>
      <c r="BK609" s="181">
        <f>ROUND(I609*H609,2)</f>
        <v>31166.9</v>
      </c>
      <c r="BL609" s="24" t="s">
        <v>143</v>
      </c>
      <c r="BM609" s="24" t="s">
        <v>657</v>
      </c>
    </row>
    <row r="610" spans="2:65" s="12" customFormat="1" x14ac:dyDescent="0.3">
      <c r="B610" s="190"/>
      <c r="D610" s="183" t="s">
        <v>145</v>
      </c>
      <c r="F610" s="312" t="s">
        <v>1365</v>
      </c>
      <c r="H610" s="315">
        <f>50.61*1.05</f>
        <v>53.140500000000003</v>
      </c>
      <c r="I610" s="194">
        <v>0</v>
      </c>
      <c r="L610" s="41"/>
      <c r="M610" s="195"/>
      <c r="N610" s="196"/>
      <c r="O610" s="196"/>
      <c r="P610" s="196"/>
      <c r="Q610" s="196"/>
      <c r="R610" s="196"/>
      <c r="S610" s="196"/>
      <c r="T610" s="197"/>
      <c r="AT610" s="191" t="s">
        <v>145</v>
      </c>
      <c r="AU610" s="191" t="s">
        <v>81</v>
      </c>
      <c r="AV610" s="12" t="s">
        <v>81</v>
      </c>
      <c r="AW610" s="12" t="s">
        <v>6</v>
      </c>
      <c r="AX610" s="12" t="s">
        <v>79</v>
      </c>
      <c r="AY610" s="191" t="s">
        <v>136</v>
      </c>
    </row>
    <row r="611" spans="2:65" s="1" customFormat="1" ht="25.5" customHeight="1" x14ac:dyDescent="0.3">
      <c r="B611" s="169"/>
      <c r="C611" s="170" t="s">
        <v>658</v>
      </c>
      <c r="D611" s="170" t="s">
        <v>138</v>
      </c>
      <c r="E611" s="171" t="s">
        <v>659</v>
      </c>
      <c r="F611" s="172" t="s">
        <v>660</v>
      </c>
      <c r="G611" s="173" t="s">
        <v>179</v>
      </c>
      <c r="H611" s="313">
        <f>H612</f>
        <v>36.9</v>
      </c>
      <c r="I611" s="175">
        <v>57.499999999999993</v>
      </c>
      <c r="J611" s="176">
        <f>ROUND(I611*H611,2)</f>
        <v>2121.75</v>
      </c>
      <c r="K611" s="172" t="s">
        <v>142</v>
      </c>
      <c r="L611" s="41"/>
      <c r="M611" s="177" t="s">
        <v>5</v>
      </c>
      <c r="N611" s="178" t="s">
        <v>42</v>
      </c>
      <c r="O611" s="42"/>
      <c r="P611" s="179">
        <f>O611*H611</f>
        <v>0</v>
      </c>
      <c r="Q611" s="179">
        <v>0</v>
      </c>
      <c r="R611" s="179">
        <f>Q611*H611</f>
        <v>0</v>
      </c>
      <c r="S611" s="179">
        <v>0</v>
      </c>
      <c r="T611" s="180">
        <f>S611*H611</f>
        <v>0</v>
      </c>
      <c r="AR611" s="24" t="s">
        <v>204</v>
      </c>
      <c r="AT611" s="24" t="s">
        <v>138</v>
      </c>
      <c r="AU611" s="24" t="s">
        <v>81</v>
      </c>
      <c r="AY611" s="24" t="s">
        <v>136</v>
      </c>
      <c r="BE611" s="181">
        <f>IF(N611="základní",J611,0)</f>
        <v>2121.75</v>
      </c>
      <c r="BF611" s="181">
        <f>IF(N611="snížená",J611,0)</f>
        <v>0</v>
      </c>
      <c r="BG611" s="181">
        <f>IF(N611="zákl. přenesená",J611,0)</f>
        <v>0</v>
      </c>
      <c r="BH611" s="181">
        <f>IF(N611="sníž. přenesená",J611,0)</f>
        <v>0</v>
      </c>
      <c r="BI611" s="181">
        <f>IF(N611="nulová",J611,0)</f>
        <v>0</v>
      </c>
      <c r="BJ611" s="24" t="s">
        <v>79</v>
      </c>
      <c r="BK611" s="181">
        <f>ROUND(I611*H611,2)</f>
        <v>2121.75</v>
      </c>
      <c r="BL611" s="24" t="s">
        <v>204</v>
      </c>
      <c r="BM611" s="24" t="s">
        <v>661</v>
      </c>
    </row>
    <row r="612" spans="2:65" s="12" customFormat="1" x14ac:dyDescent="0.3">
      <c r="B612" s="190"/>
      <c r="D612" s="183" t="s">
        <v>145</v>
      </c>
      <c r="E612" s="191" t="s">
        <v>5</v>
      </c>
      <c r="F612" s="312" t="s">
        <v>602</v>
      </c>
      <c r="H612" s="315">
        <f>4.1*9</f>
        <v>36.9</v>
      </c>
      <c r="I612" s="194">
        <v>0</v>
      </c>
      <c r="L612" s="41"/>
      <c r="M612" s="195"/>
      <c r="N612" s="196"/>
      <c r="O612" s="196"/>
      <c r="P612" s="196"/>
      <c r="Q612" s="196"/>
      <c r="R612" s="196"/>
      <c r="S612" s="196"/>
      <c r="T612" s="197"/>
      <c r="AT612" s="191" t="s">
        <v>145</v>
      </c>
      <c r="AU612" s="191" t="s">
        <v>81</v>
      </c>
      <c r="AV612" s="12" t="s">
        <v>81</v>
      </c>
      <c r="AW612" s="12" t="s">
        <v>35</v>
      </c>
      <c r="AX612" s="12" t="s">
        <v>79</v>
      </c>
      <c r="AY612" s="191" t="s">
        <v>136</v>
      </c>
    </row>
    <row r="613" spans="2:65" s="1" customFormat="1" ht="16.5" customHeight="1" x14ac:dyDescent="0.3">
      <c r="B613" s="169"/>
      <c r="C613" s="206" t="s">
        <v>662</v>
      </c>
      <c r="D613" s="206" t="s">
        <v>355</v>
      </c>
      <c r="E613" s="207" t="s">
        <v>663</v>
      </c>
      <c r="F613" s="368" t="s">
        <v>1366</v>
      </c>
      <c r="G613" s="209" t="s">
        <v>179</v>
      </c>
      <c r="H613" s="355">
        <f>H614</f>
        <v>40.590000000000003</v>
      </c>
      <c r="I613" s="211">
        <v>322</v>
      </c>
      <c r="J613" s="212">
        <f>ROUND(I613*H613,2)</f>
        <v>13069.98</v>
      </c>
      <c r="K613" s="208" t="s">
        <v>142</v>
      </c>
      <c r="L613" s="41"/>
      <c r="M613" s="213" t="s">
        <v>5</v>
      </c>
      <c r="N613" s="214" t="s">
        <v>42</v>
      </c>
      <c r="O613" s="42"/>
      <c r="P613" s="179">
        <f>O613*H613</f>
        <v>0</v>
      </c>
      <c r="Q613" s="179">
        <v>3.5000000000000001E-3</v>
      </c>
      <c r="R613" s="179">
        <f>Q613*H613</f>
        <v>0.14206500000000002</v>
      </c>
      <c r="S613" s="179">
        <v>0</v>
      </c>
      <c r="T613" s="180">
        <f>S613*H613</f>
        <v>0</v>
      </c>
      <c r="AR613" s="24" t="s">
        <v>171</v>
      </c>
      <c r="AT613" s="24" t="s">
        <v>355</v>
      </c>
      <c r="AU613" s="24" t="s">
        <v>81</v>
      </c>
      <c r="AY613" s="24" t="s">
        <v>136</v>
      </c>
      <c r="BE613" s="181">
        <f>IF(N613="základní",J613,0)</f>
        <v>13069.98</v>
      </c>
      <c r="BF613" s="181">
        <f>IF(N613="snížená",J613,0)</f>
        <v>0</v>
      </c>
      <c r="BG613" s="181">
        <f>IF(N613="zákl. přenesená",J613,0)</f>
        <v>0</v>
      </c>
      <c r="BH613" s="181">
        <f>IF(N613="sníž. přenesená",J613,0)</f>
        <v>0</v>
      </c>
      <c r="BI613" s="181">
        <f>IF(N613="nulová",J613,0)</f>
        <v>0</v>
      </c>
      <c r="BJ613" s="24" t="s">
        <v>79</v>
      </c>
      <c r="BK613" s="181">
        <f>ROUND(I613*H613,2)</f>
        <v>13069.98</v>
      </c>
      <c r="BL613" s="24" t="s">
        <v>143</v>
      </c>
      <c r="BM613" s="24" t="s">
        <v>664</v>
      </c>
    </row>
    <row r="614" spans="2:65" s="12" customFormat="1" x14ac:dyDescent="0.3">
      <c r="B614" s="190"/>
      <c r="D614" s="183" t="s">
        <v>145</v>
      </c>
      <c r="F614" s="312" t="s">
        <v>1367</v>
      </c>
      <c r="H614" s="315">
        <f>36.9*1.1</f>
        <v>40.590000000000003</v>
      </c>
      <c r="I614" s="194">
        <v>0</v>
      </c>
      <c r="L614" s="41"/>
      <c r="M614" s="195"/>
      <c r="N614" s="196"/>
      <c r="O614" s="196"/>
      <c r="P614" s="196"/>
      <c r="Q614" s="196"/>
      <c r="R614" s="196"/>
      <c r="S614" s="196"/>
      <c r="T614" s="197"/>
      <c r="AT614" s="191" t="s">
        <v>145</v>
      </c>
      <c r="AU614" s="191" t="s">
        <v>81</v>
      </c>
      <c r="AV614" s="12" t="s">
        <v>81</v>
      </c>
      <c r="AW614" s="12" t="s">
        <v>6</v>
      </c>
      <c r="AX614" s="12" t="s">
        <v>79</v>
      </c>
      <c r="AY614" s="191" t="s">
        <v>136</v>
      </c>
    </row>
    <row r="615" spans="2:65" s="1" customFormat="1" ht="16.5" customHeight="1" x14ac:dyDescent="0.3">
      <c r="B615" s="169"/>
      <c r="C615" s="170" t="s">
        <v>665</v>
      </c>
      <c r="D615" s="170" t="s">
        <v>138</v>
      </c>
      <c r="E615" s="171" t="s">
        <v>666</v>
      </c>
      <c r="F615" s="172" t="s">
        <v>667</v>
      </c>
      <c r="G615" s="173" t="s">
        <v>179</v>
      </c>
      <c r="H615" s="313">
        <f>H616</f>
        <v>36.9</v>
      </c>
      <c r="I615" s="175">
        <v>57.499999999999993</v>
      </c>
      <c r="J615" s="176">
        <f>ROUND(I615*H615,2)</f>
        <v>2121.75</v>
      </c>
      <c r="K615" s="172" t="s">
        <v>142</v>
      </c>
      <c r="L615" s="41"/>
      <c r="M615" s="177" t="s">
        <v>5</v>
      </c>
      <c r="N615" s="178" t="s">
        <v>42</v>
      </c>
      <c r="O615" s="42"/>
      <c r="P615" s="179">
        <f>O615*H615</f>
        <v>0</v>
      </c>
      <c r="Q615" s="179">
        <v>0</v>
      </c>
      <c r="R615" s="179">
        <f>Q615*H615</f>
        <v>0</v>
      </c>
      <c r="S615" s="179">
        <v>0</v>
      </c>
      <c r="T615" s="180">
        <f>S615*H615</f>
        <v>0</v>
      </c>
      <c r="AR615" s="24" t="s">
        <v>204</v>
      </c>
      <c r="AT615" s="24" t="s">
        <v>138</v>
      </c>
      <c r="AU615" s="24" t="s">
        <v>81</v>
      </c>
      <c r="AY615" s="24" t="s">
        <v>136</v>
      </c>
      <c r="BE615" s="181">
        <f>IF(N615="základní",J615,0)</f>
        <v>2121.75</v>
      </c>
      <c r="BF615" s="181">
        <f>IF(N615="snížená",J615,0)</f>
        <v>0</v>
      </c>
      <c r="BG615" s="181">
        <f>IF(N615="zákl. přenesená",J615,0)</f>
        <v>0</v>
      </c>
      <c r="BH615" s="181">
        <f>IF(N615="sníž. přenesená",J615,0)</f>
        <v>0</v>
      </c>
      <c r="BI615" s="181">
        <f>IF(N615="nulová",J615,0)</f>
        <v>0</v>
      </c>
      <c r="BJ615" s="24" t="s">
        <v>79</v>
      </c>
      <c r="BK615" s="181">
        <f>ROUND(I615*H615,2)</f>
        <v>2121.75</v>
      </c>
      <c r="BL615" s="24" t="s">
        <v>204</v>
      </c>
      <c r="BM615" s="24" t="s">
        <v>668</v>
      </c>
    </row>
    <row r="616" spans="2:65" s="12" customFormat="1" x14ac:dyDescent="0.3">
      <c r="B616" s="190"/>
      <c r="D616" s="183" t="s">
        <v>145</v>
      </c>
      <c r="E616" s="191" t="s">
        <v>5</v>
      </c>
      <c r="F616" s="312" t="s">
        <v>602</v>
      </c>
      <c r="H616" s="315">
        <f>4.1*9</f>
        <v>36.9</v>
      </c>
      <c r="I616" s="194">
        <v>0</v>
      </c>
      <c r="L616" s="41"/>
      <c r="M616" s="195"/>
      <c r="N616" s="196"/>
      <c r="O616" s="196"/>
      <c r="P616" s="196"/>
      <c r="Q616" s="196"/>
      <c r="R616" s="196"/>
      <c r="S616" s="196"/>
      <c r="T616" s="197"/>
      <c r="AT616" s="191" t="s">
        <v>145</v>
      </c>
      <c r="AU616" s="191" t="s">
        <v>81</v>
      </c>
      <c r="AV616" s="12" t="s">
        <v>81</v>
      </c>
      <c r="AW616" s="12" t="s">
        <v>35</v>
      </c>
      <c r="AX616" s="12" t="s">
        <v>79</v>
      </c>
      <c r="AY616" s="191" t="s">
        <v>136</v>
      </c>
    </row>
    <row r="617" spans="2:65" s="1" customFormat="1" ht="16.5" customHeight="1" x14ac:dyDescent="0.3">
      <c r="B617" s="169"/>
      <c r="C617" s="206" t="s">
        <v>669</v>
      </c>
      <c r="D617" s="206" t="s">
        <v>355</v>
      </c>
      <c r="E617" s="207" t="s">
        <v>670</v>
      </c>
      <c r="F617" s="208" t="s">
        <v>671</v>
      </c>
      <c r="G617" s="209" t="s">
        <v>141</v>
      </c>
      <c r="H617" s="355">
        <f>H619</f>
        <v>3.0996000000000001</v>
      </c>
      <c r="I617" s="211">
        <v>2760</v>
      </c>
      <c r="J617" s="212">
        <f>ROUND(I617*H617,2)</f>
        <v>8554.9</v>
      </c>
      <c r="K617" s="208" t="s">
        <v>142</v>
      </c>
      <c r="L617" s="41"/>
      <c r="M617" s="213" t="s">
        <v>5</v>
      </c>
      <c r="N617" s="214" t="s">
        <v>42</v>
      </c>
      <c r="O617" s="42"/>
      <c r="P617" s="179">
        <f>O617*H617</f>
        <v>0</v>
      </c>
      <c r="Q617" s="179">
        <v>2.5000000000000001E-2</v>
      </c>
      <c r="R617" s="179">
        <f>Q617*H617</f>
        <v>7.7490000000000003E-2</v>
      </c>
      <c r="S617" s="179">
        <v>0</v>
      </c>
      <c r="T617" s="180">
        <f>S617*H617</f>
        <v>0</v>
      </c>
      <c r="AR617" s="24" t="s">
        <v>283</v>
      </c>
      <c r="AT617" s="24" t="s">
        <v>355</v>
      </c>
      <c r="AU617" s="24" t="s">
        <v>81</v>
      </c>
      <c r="AY617" s="24" t="s">
        <v>136</v>
      </c>
      <c r="BE617" s="181">
        <f>IF(N617="základní",J617,0)</f>
        <v>8554.9</v>
      </c>
      <c r="BF617" s="181">
        <f>IF(N617="snížená",J617,0)</f>
        <v>0</v>
      </c>
      <c r="BG617" s="181">
        <f>IF(N617="zákl. přenesená",J617,0)</f>
        <v>0</v>
      </c>
      <c r="BH617" s="181">
        <f>IF(N617="sníž. přenesená",J617,0)</f>
        <v>0</v>
      </c>
      <c r="BI617" s="181">
        <f>IF(N617="nulová",J617,0)</f>
        <v>0</v>
      </c>
      <c r="BJ617" s="24" t="s">
        <v>79</v>
      </c>
      <c r="BK617" s="181">
        <f>ROUND(I617*H617,2)</f>
        <v>8554.9</v>
      </c>
      <c r="BL617" s="24" t="s">
        <v>204</v>
      </c>
      <c r="BM617" s="24" t="s">
        <v>672</v>
      </c>
    </row>
    <row r="618" spans="2:65" s="12" customFormat="1" x14ac:dyDescent="0.3">
      <c r="B618" s="190"/>
      <c r="D618" s="183" t="s">
        <v>145</v>
      </c>
      <c r="E618" s="191" t="s">
        <v>5</v>
      </c>
      <c r="F618" s="312" t="s">
        <v>1368</v>
      </c>
      <c r="H618" s="315">
        <f>36.9*0.08</f>
        <v>2.952</v>
      </c>
      <c r="I618" s="194">
        <v>0</v>
      </c>
      <c r="L618" s="41"/>
      <c r="M618" s="195"/>
      <c r="N618" s="196"/>
      <c r="O618" s="196"/>
      <c r="P618" s="196"/>
      <c r="Q618" s="196"/>
      <c r="R618" s="196"/>
      <c r="S618" s="196"/>
      <c r="T618" s="197"/>
      <c r="AT618" s="191" t="s">
        <v>145</v>
      </c>
      <c r="AU618" s="191" t="s">
        <v>81</v>
      </c>
      <c r="AV618" s="12" t="s">
        <v>81</v>
      </c>
      <c r="AW618" s="12" t="s">
        <v>35</v>
      </c>
      <c r="AX618" s="12" t="s">
        <v>79</v>
      </c>
      <c r="AY618" s="191" t="s">
        <v>136</v>
      </c>
    </row>
    <row r="619" spans="2:65" s="12" customFormat="1" x14ac:dyDescent="0.3">
      <c r="B619" s="190"/>
      <c r="D619" s="183" t="s">
        <v>145</v>
      </c>
      <c r="F619" s="312" t="s">
        <v>1369</v>
      </c>
      <c r="H619" s="315">
        <f>2.952*1.05</f>
        <v>3.0996000000000001</v>
      </c>
      <c r="I619" s="194">
        <v>0</v>
      </c>
      <c r="L619" s="41"/>
      <c r="M619" s="195"/>
      <c r="N619" s="196"/>
      <c r="O619" s="196"/>
      <c r="P619" s="196"/>
      <c r="Q619" s="196"/>
      <c r="R619" s="196"/>
      <c r="S619" s="196"/>
      <c r="T619" s="197"/>
      <c r="AT619" s="191" t="s">
        <v>145</v>
      </c>
      <c r="AU619" s="191" t="s">
        <v>81</v>
      </c>
      <c r="AV619" s="12" t="s">
        <v>81</v>
      </c>
      <c r="AW619" s="12" t="s">
        <v>6</v>
      </c>
      <c r="AX619" s="12" t="s">
        <v>79</v>
      </c>
      <c r="AY619" s="191" t="s">
        <v>136</v>
      </c>
    </row>
    <row r="620" spans="2:65" s="1" customFormat="1" ht="25.5" customHeight="1" x14ac:dyDescent="0.3">
      <c r="B620" s="169"/>
      <c r="C620" s="170" t="s">
        <v>673</v>
      </c>
      <c r="D620" s="170" t="s">
        <v>138</v>
      </c>
      <c r="E620" s="171" t="s">
        <v>674</v>
      </c>
      <c r="F620" s="172" t="s">
        <v>675</v>
      </c>
      <c r="G620" s="173" t="s">
        <v>179</v>
      </c>
      <c r="H620" s="320">
        <f>H621</f>
        <v>99.96</v>
      </c>
      <c r="I620" s="175">
        <v>101.19999999999999</v>
      </c>
      <c r="J620" s="176">
        <f>ROUND(I620*H620,2)</f>
        <v>10115.950000000001</v>
      </c>
      <c r="K620" s="172" t="s">
        <v>142</v>
      </c>
      <c r="L620" s="41"/>
      <c r="M620" s="177" t="s">
        <v>5</v>
      </c>
      <c r="N620" s="178" t="s">
        <v>42</v>
      </c>
      <c r="O620" s="42"/>
      <c r="P620" s="179">
        <f>O620*H620</f>
        <v>0</v>
      </c>
      <c r="Q620" s="179">
        <v>0</v>
      </c>
      <c r="R620" s="179">
        <f>Q620*H620</f>
        <v>0</v>
      </c>
      <c r="S620" s="179">
        <v>0</v>
      </c>
      <c r="T620" s="180">
        <f>S620*H620</f>
        <v>0</v>
      </c>
      <c r="AR620" s="24" t="s">
        <v>204</v>
      </c>
      <c r="AT620" s="24" t="s">
        <v>138</v>
      </c>
      <c r="AU620" s="24" t="s">
        <v>81</v>
      </c>
      <c r="AY620" s="24" t="s">
        <v>136</v>
      </c>
      <c r="BE620" s="181">
        <f>IF(N620="základní",J620,0)</f>
        <v>10115.950000000001</v>
      </c>
      <c r="BF620" s="181">
        <f>IF(N620="snížená",J620,0)</f>
        <v>0</v>
      </c>
      <c r="BG620" s="181">
        <f>IF(N620="zákl. přenesená",J620,0)</f>
        <v>0</v>
      </c>
      <c r="BH620" s="181">
        <f>IF(N620="sníž. přenesená",J620,0)</f>
        <v>0</v>
      </c>
      <c r="BI620" s="181">
        <f>IF(N620="nulová",J620,0)</f>
        <v>0</v>
      </c>
      <c r="BJ620" s="24" t="s">
        <v>79</v>
      </c>
      <c r="BK620" s="181">
        <f>ROUND(I620*H620,2)</f>
        <v>10115.950000000001</v>
      </c>
      <c r="BL620" s="24" t="s">
        <v>204</v>
      </c>
      <c r="BM620" s="24" t="s">
        <v>676</v>
      </c>
    </row>
    <row r="621" spans="2:65" s="12" customFormat="1" x14ac:dyDescent="0.3">
      <c r="B621" s="190"/>
      <c r="D621" s="183" t="s">
        <v>145</v>
      </c>
      <c r="E621" s="191" t="s">
        <v>5</v>
      </c>
      <c r="F621" s="312" t="s">
        <v>1370</v>
      </c>
      <c r="G621" s="327"/>
      <c r="H621" s="315">
        <f>2*5.1*9.8</f>
        <v>99.96</v>
      </c>
      <c r="I621" s="194">
        <v>0</v>
      </c>
      <c r="L621" s="41"/>
      <c r="M621" s="195"/>
      <c r="N621" s="196"/>
      <c r="O621" s="196"/>
      <c r="P621" s="196"/>
      <c r="Q621" s="196"/>
      <c r="R621" s="196"/>
      <c r="S621" s="196"/>
      <c r="T621" s="197"/>
      <c r="AT621" s="191" t="s">
        <v>145</v>
      </c>
      <c r="AU621" s="191" t="s">
        <v>81</v>
      </c>
      <c r="AV621" s="12" t="s">
        <v>81</v>
      </c>
      <c r="AW621" s="12" t="s">
        <v>35</v>
      </c>
      <c r="AX621" s="12" t="s">
        <v>79</v>
      </c>
      <c r="AY621" s="191" t="s">
        <v>136</v>
      </c>
    </row>
    <row r="622" spans="2:65" s="1" customFormat="1" ht="25.5" customHeight="1" x14ac:dyDescent="0.3">
      <c r="B622" s="169"/>
      <c r="C622" s="206" t="s">
        <v>677</v>
      </c>
      <c r="D622" s="206" t="s">
        <v>355</v>
      </c>
      <c r="E622" s="207" t="s">
        <v>678</v>
      </c>
      <c r="F622" s="208" t="s">
        <v>679</v>
      </c>
      <c r="G622" s="209" t="s">
        <v>179</v>
      </c>
      <c r="H622" s="355">
        <f>H623</f>
        <v>109.956</v>
      </c>
      <c r="I622" s="211">
        <v>229.99999999999997</v>
      </c>
      <c r="J622" s="212">
        <f>ROUND(I622*H622,2)</f>
        <v>25289.88</v>
      </c>
      <c r="K622" s="208" t="s">
        <v>5</v>
      </c>
      <c r="L622" s="41"/>
      <c r="M622" s="213" t="s">
        <v>5</v>
      </c>
      <c r="N622" s="214" t="s">
        <v>42</v>
      </c>
      <c r="O622" s="42"/>
      <c r="P622" s="179">
        <f>O622*H622</f>
        <v>0</v>
      </c>
      <c r="Q622" s="179">
        <v>9.4999999999999998E-3</v>
      </c>
      <c r="R622" s="179">
        <f>Q622*H622</f>
        <v>1.0445819999999999</v>
      </c>
      <c r="S622" s="179">
        <v>0</v>
      </c>
      <c r="T622" s="180">
        <f>S622*H622</f>
        <v>0</v>
      </c>
      <c r="AR622" s="24" t="s">
        <v>283</v>
      </c>
      <c r="AT622" s="24" t="s">
        <v>355</v>
      </c>
      <c r="AU622" s="24" t="s">
        <v>81</v>
      </c>
      <c r="AY622" s="24" t="s">
        <v>136</v>
      </c>
      <c r="BE622" s="181">
        <f>IF(N622="základní",J622,0)</f>
        <v>25289.88</v>
      </c>
      <c r="BF622" s="181">
        <f>IF(N622="snížená",J622,0)</f>
        <v>0</v>
      </c>
      <c r="BG622" s="181">
        <f>IF(N622="zákl. přenesená",J622,0)</f>
        <v>0</v>
      </c>
      <c r="BH622" s="181">
        <f>IF(N622="sníž. přenesená",J622,0)</f>
        <v>0</v>
      </c>
      <c r="BI622" s="181">
        <f>IF(N622="nulová",J622,0)</f>
        <v>0</v>
      </c>
      <c r="BJ622" s="24" t="s">
        <v>79</v>
      </c>
      <c r="BK622" s="181">
        <f>ROUND(I622*H622,2)</f>
        <v>25289.88</v>
      </c>
      <c r="BL622" s="24" t="s">
        <v>204</v>
      </c>
      <c r="BM622" s="24" t="s">
        <v>680</v>
      </c>
    </row>
    <row r="623" spans="2:65" s="12" customFormat="1" x14ac:dyDescent="0.3">
      <c r="B623" s="190"/>
      <c r="D623" s="183" t="s">
        <v>145</v>
      </c>
      <c r="F623" s="312" t="s">
        <v>1371</v>
      </c>
      <c r="H623" s="315">
        <f>99.96*1.1</f>
        <v>109.956</v>
      </c>
      <c r="I623" s="194">
        <v>0</v>
      </c>
      <c r="J623" s="212">
        <f t="shared" ref="J623:J626" si="12">ROUND(I623*H623,2)</f>
        <v>0</v>
      </c>
      <c r="L623" s="41"/>
      <c r="M623" s="195"/>
      <c r="N623" s="196"/>
      <c r="O623" s="196"/>
      <c r="P623" s="196"/>
      <c r="Q623" s="196"/>
      <c r="R623" s="196"/>
      <c r="S623" s="196"/>
      <c r="T623" s="197"/>
      <c r="AT623" s="191" t="s">
        <v>145</v>
      </c>
      <c r="AU623" s="191" t="s">
        <v>81</v>
      </c>
      <c r="AV623" s="12" t="s">
        <v>81</v>
      </c>
      <c r="AW623" s="12" t="s">
        <v>6</v>
      </c>
      <c r="AX623" s="12" t="s">
        <v>79</v>
      </c>
      <c r="AY623" s="191" t="s">
        <v>136</v>
      </c>
    </row>
    <row r="624" spans="2:65" s="308" customFormat="1" ht="25.5" customHeight="1" x14ac:dyDescent="0.3">
      <c r="B624" s="169"/>
      <c r="C624" s="170"/>
      <c r="D624" s="170"/>
      <c r="E624" s="171"/>
      <c r="F624" s="408" t="s">
        <v>1372</v>
      </c>
      <c r="G624" s="409" t="s">
        <v>179</v>
      </c>
      <c r="H624" s="410">
        <f>H625</f>
        <v>99.96</v>
      </c>
      <c r="I624" s="411">
        <v>63.249999999999993</v>
      </c>
      <c r="J624" s="425">
        <f t="shared" si="12"/>
        <v>6322.47</v>
      </c>
      <c r="K624" s="172"/>
      <c r="L624" s="41"/>
      <c r="M624" s="177"/>
      <c r="N624" s="178"/>
      <c r="O624" s="309"/>
      <c r="P624" s="179"/>
      <c r="Q624" s="179"/>
      <c r="R624" s="179"/>
      <c r="S624" s="179"/>
      <c r="T624" s="180"/>
      <c r="AR624" s="24"/>
      <c r="AT624" s="24"/>
      <c r="AU624" s="24"/>
      <c r="AY624" s="24"/>
      <c r="BE624" s="181"/>
      <c r="BF624" s="181"/>
      <c r="BG624" s="181"/>
      <c r="BH624" s="181"/>
      <c r="BI624" s="181"/>
      <c r="BJ624" s="24"/>
      <c r="BK624" s="181"/>
      <c r="BL624" s="24"/>
      <c r="BM624" s="24"/>
    </row>
    <row r="625" spans="2:65" s="12" customFormat="1" x14ac:dyDescent="0.3">
      <c r="B625" s="190"/>
      <c r="D625" s="183"/>
      <c r="F625" s="312" t="s">
        <v>1370</v>
      </c>
      <c r="H625" s="315">
        <f>2*5.1*9.8</f>
        <v>99.96</v>
      </c>
      <c r="I625" s="194">
        <v>0</v>
      </c>
      <c r="J625" s="212">
        <f t="shared" si="12"/>
        <v>0</v>
      </c>
      <c r="L625" s="41"/>
      <c r="M625" s="195"/>
      <c r="N625" s="328"/>
      <c r="O625" s="328"/>
      <c r="P625" s="328"/>
      <c r="Q625" s="328"/>
      <c r="R625" s="328"/>
      <c r="S625" s="328"/>
      <c r="T625" s="197"/>
      <c r="AT625" s="191"/>
      <c r="AU625" s="191"/>
      <c r="AY625" s="191"/>
    </row>
    <row r="626" spans="2:65" s="308" customFormat="1" ht="25.5" customHeight="1" x14ac:dyDescent="0.3">
      <c r="B626" s="169"/>
      <c r="C626" s="206"/>
      <c r="D626" s="206"/>
      <c r="E626" s="207"/>
      <c r="F626" s="421" t="s">
        <v>1373</v>
      </c>
      <c r="G626" s="422" t="s">
        <v>179</v>
      </c>
      <c r="H626" s="423">
        <f>H627</f>
        <v>109.956</v>
      </c>
      <c r="I626" s="424">
        <v>114.99999999999999</v>
      </c>
      <c r="J626" s="425">
        <f t="shared" si="12"/>
        <v>12644.94</v>
      </c>
      <c r="K626" s="208"/>
      <c r="L626" s="41"/>
      <c r="M626" s="213"/>
      <c r="N626" s="214"/>
      <c r="O626" s="309"/>
      <c r="P626" s="179"/>
      <c r="Q626" s="179"/>
      <c r="R626" s="179"/>
      <c r="S626" s="179"/>
      <c r="T626" s="180"/>
      <c r="AR626" s="24"/>
      <c r="AT626" s="24"/>
      <c r="AU626" s="24"/>
      <c r="AY626" s="24"/>
      <c r="BE626" s="181"/>
      <c r="BF626" s="181"/>
      <c r="BG626" s="181"/>
      <c r="BH626" s="181"/>
      <c r="BI626" s="181"/>
      <c r="BJ626" s="24"/>
      <c r="BK626" s="181"/>
      <c r="BL626" s="24"/>
      <c r="BM626" s="24"/>
    </row>
    <row r="627" spans="2:65" s="12" customFormat="1" x14ac:dyDescent="0.3">
      <c r="B627" s="190"/>
      <c r="D627" s="183"/>
      <c r="F627" s="312" t="s">
        <v>1371</v>
      </c>
      <c r="H627" s="315">
        <f>99.96*1.1</f>
        <v>109.956</v>
      </c>
      <c r="I627" s="194">
        <v>0</v>
      </c>
      <c r="L627" s="41"/>
      <c r="M627" s="195"/>
      <c r="N627" s="196"/>
      <c r="O627" s="196"/>
      <c r="P627" s="196"/>
      <c r="Q627" s="196"/>
      <c r="R627" s="196"/>
      <c r="S627" s="196"/>
      <c r="T627" s="197"/>
      <c r="AT627" s="191"/>
      <c r="AU627" s="191"/>
      <c r="AY627" s="191"/>
    </row>
    <row r="628" spans="2:65" s="1" customFormat="1" ht="25.5" customHeight="1" x14ac:dyDescent="0.3">
      <c r="B628" s="169"/>
      <c r="C628" s="170" t="s">
        <v>681</v>
      </c>
      <c r="D628" s="170" t="s">
        <v>138</v>
      </c>
      <c r="E628" s="171" t="s">
        <v>682</v>
      </c>
      <c r="F628" s="172" t="s">
        <v>683</v>
      </c>
      <c r="G628" s="173" t="s">
        <v>179</v>
      </c>
      <c r="H628" s="313">
        <f>H630</f>
        <v>284.8</v>
      </c>
      <c r="I628" s="175">
        <v>51.749999999999993</v>
      </c>
      <c r="J628" s="176">
        <f>ROUND(I628*H628,2)</f>
        <v>14738.4</v>
      </c>
      <c r="K628" s="172" t="s">
        <v>142</v>
      </c>
      <c r="L628" s="41"/>
      <c r="M628" s="177" t="s">
        <v>5</v>
      </c>
      <c r="N628" s="178" t="s">
        <v>42</v>
      </c>
      <c r="O628" s="42"/>
      <c r="P628" s="179">
        <f>O628*H628</f>
        <v>0</v>
      </c>
      <c r="Q628" s="179">
        <v>1.0000000000000001E-5</v>
      </c>
      <c r="R628" s="179">
        <f>Q628*H628</f>
        <v>2.8480000000000003E-3</v>
      </c>
      <c r="S628" s="179">
        <v>0</v>
      </c>
      <c r="T628" s="180">
        <f>S628*H628</f>
        <v>0</v>
      </c>
      <c r="AR628" s="24" t="s">
        <v>204</v>
      </c>
      <c r="AT628" s="24" t="s">
        <v>138</v>
      </c>
      <c r="AU628" s="24" t="s">
        <v>81</v>
      </c>
      <c r="AY628" s="24" t="s">
        <v>136</v>
      </c>
      <c r="BE628" s="181">
        <f>IF(N628="základní",J628,0)</f>
        <v>14738.4</v>
      </c>
      <c r="BF628" s="181">
        <f>IF(N628="snížená",J628,0)</f>
        <v>0</v>
      </c>
      <c r="BG628" s="181">
        <f>IF(N628="zákl. přenesená",J628,0)</f>
        <v>0</v>
      </c>
      <c r="BH628" s="181">
        <f>IF(N628="sníž. přenesená",J628,0)</f>
        <v>0</v>
      </c>
      <c r="BI628" s="181">
        <f>IF(N628="nulová",J628,0)</f>
        <v>0</v>
      </c>
      <c r="BJ628" s="24" t="s">
        <v>79</v>
      </c>
      <c r="BK628" s="181">
        <f>ROUND(I628*H628,2)</f>
        <v>14738.4</v>
      </c>
      <c r="BL628" s="24" t="s">
        <v>204</v>
      </c>
      <c r="BM628" s="24" t="s">
        <v>684</v>
      </c>
    </row>
    <row r="629" spans="2:65" s="1" customFormat="1" ht="54" x14ac:dyDescent="0.3">
      <c r="B629" s="41"/>
      <c r="D629" s="183" t="s">
        <v>406</v>
      </c>
      <c r="F629" s="223" t="s">
        <v>685</v>
      </c>
      <c r="H629" s="327"/>
      <c r="I629" s="224">
        <v>0</v>
      </c>
      <c r="L629" s="41"/>
      <c r="M629" s="225"/>
      <c r="N629" s="42"/>
      <c r="O629" s="42"/>
      <c r="P629" s="42"/>
      <c r="Q629" s="42"/>
      <c r="R629" s="42"/>
      <c r="S629" s="42"/>
      <c r="T629" s="70"/>
      <c r="AT629" s="24" t="s">
        <v>406</v>
      </c>
      <c r="AU629" s="24" t="s">
        <v>81</v>
      </c>
    </row>
    <row r="630" spans="2:65" s="12" customFormat="1" x14ac:dyDescent="0.3">
      <c r="B630" s="190"/>
      <c r="D630" s="183" t="s">
        <v>145</v>
      </c>
      <c r="E630" s="191" t="s">
        <v>5</v>
      </c>
      <c r="F630" s="371">
        <f>H602+H597</f>
        <v>284.8</v>
      </c>
      <c r="H630" s="315">
        <f>F630</f>
        <v>284.8</v>
      </c>
      <c r="I630" s="194">
        <v>0</v>
      </c>
      <c r="L630" s="41"/>
      <c r="M630" s="195"/>
      <c r="N630" s="196"/>
      <c r="O630" s="196"/>
      <c r="P630" s="196"/>
      <c r="Q630" s="196"/>
      <c r="R630" s="196"/>
      <c r="S630" s="196"/>
      <c r="T630" s="197"/>
      <c r="AT630" s="191" t="s">
        <v>145</v>
      </c>
      <c r="AU630" s="191" t="s">
        <v>81</v>
      </c>
      <c r="AV630" s="12" t="s">
        <v>81</v>
      </c>
      <c r="AW630" s="12" t="s">
        <v>35</v>
      </c>
      <c r="AX630" s="12" t="s">
        <v>79</v>
      </c>
      <c r="AY630" s="191" t="s">
        <v>136</v>
      </c>
    </row>
    <row r="631" spans="2:65" s="1" customFormat="1" ht="16.5" customHeight="1" x14ac:dyDescent="0.3">
      <c r="B631" s="169"/>
      <c r="C631" s="206" t="s">
        <v>686</v>
      </c>
      <c r="D631" s="206" t="s">
        <v>355</v>
      </c>
      <c r="E631" s="207" t="s">
        <v>687</v>
      </c>
      <c r="F631" s="208" t="s">
        <v>688</v>
      </c>
      <c r="G631" s="209" t="s">
        <v>179</v>
      </c>
      <c r="H631" s="355">
        <f>H632</f>
        <v>327.52</v>
      </c>
      <c r="I631" s="211">
        <v>40.25</v>
      </c>
      <c r="J631" s="212">
        <f>ROUND(I631*H631,2)</f>
        <v>13182.68</v>
      </c>
      <c r="K631" s="208" t="s">
        <v>142</v>
      </c>
      <c r="L631" s="41"/>
      <c r="M631" s="213" t="s">
        <v>5</v>
      </c>
      <c r="N631" s="214" t="s">
        <v>42</v>
      </c>
      <c r="O631" s="42"/>
      <c r="P631" s="179">
        <f>O631*H631</f>
        <v>0</v>
      </c>
      <c r="Q631" s="179">
        <v>1.2E-4</v>
      </c>
      <c r="R631" s="179">
        <f>Q631*H631</f>
        <v>3.9302400000000001E-2</v>
      </c>
      <c r="S631" s="179">
        <v>0</v>
      </c>
      <c r="T631" s="180">
        <f>S631*H631</f>
        <v>0</v>
      </c>
      <c r="AR631" s="24" t="s">
        <v>283</v>
      </c>
      <c r="AT631" s="24" t="s">
        <v>355</v>
      </c>
      <c r="AU631" s="24" t="s">
        <v>81</v>
      </c>
      <c r="AY631" s="24" t="s">
        <v>136</v>
      </c>
      <c r="BE631" s="181">
        <f>IF(N631="základní",J631,0)</f>
        <v>13182.68</v>
      </c>
      <c r="BF631" s="181">
        <f>IF(N631="snížená",J631,0)</f>
        <v>0</v>
      </c>
      <c r="BG631" s="181">
        <f>IF(N631="zákl. přenesená",J631,0)</f>
        <v>0</v>
      </c>
      <c r="BH631" s="181">
        <f>IF(N631="sníž. přenesená",J631,0)</f>
        <v>0</v>
      </c>
      <c r="BI631" s="181">
        <f>IF(N631="nulová",J631,0)</f>
        <v>0</v>
      </c>
      <c r="BJ631" s="24" t="s">
        <v>79</v>
      </c>
      <c r="BK631" s="181">
        <f>ROUND(I631*H631,2)</f>
        <v>13182.68</v>
      </c>
      <c r="BL631" s="24" t="s">
        <v>204</v>
      </c>
      <c r="BM631" s="24" t="s">
        <v>689</v>
      </c>
    </row>
    <row r="632" spans="2:65" s="12" customFormat="1" x14ac:dyDescent="0.3">
      <c r="B632" s="190"/>
      <c r="D632" s="183" t="s">
        <v>145</v>
      </c>
      <c r="F632" s="312" t="s">
        <v>1374</v>
      </c>
      <c r="H632" s="315">
        <f>284.8*1.15</f>
        <v>327.52</v>
      </c>
      <c r="I632" s="194">
        <v>0</v>
      </c>
      <c r="J632" s="212">
        <f t="shared" ref="J632:J636" si="13">ROUND(I632*H632,2)</f>
        <v>0</v>
      </c>
      <c r="L632" s="41"/>
      <c r="M632" s="195"/>
      <c r="N632" s="196"/>
      <c r="O632" s="196"/>
      <c r="P632" s="196"/>
      <c r="Q632" s="196"/>
      <c r="R632" s="196"/>
      <c r="S632" s="196"/>
      <c r="T632" s="197"/>
      <c r="AT632" s="191" t="s">
        <v>145</v>
      </c>
      <c r="AU632" s="191" t="s">
        <v>81</v>
      </c>
      <c r="AV632" s="12" t="s">
        <v>81</v>
      </c>
      <c r="AW632" s="12" t="s">
        <v>6</v>
      </c>
      <c r="AX632" s="12" t="s">
        <v>79</v>
      </c>
      <c r="AY632" s="191" t="s">
        <v>136</v>
      </c>
    </row>
    <row r="633" spans="2:65" s="308" customFormat="1" ht="25.5" customHeight="1" x14ac:dyDescent="0.3">
      <c r="B633" s="169"/>
      <c r="C633" s="170"/>
      <c r="D633" s="170"/>
      <c r="E633" s="171"/>
      <c r="F633" s="172" t="s">
        <v>1437</v>
      </c>
      <c r="G633" s="173" t="s">
        <v>179</v>
      </c>
      <c r="H633" s="174">
        <f>H634</f>
        <v>12.459999999999999</v>
      </c>
      <c r="I633" s="175">
        <v>17.25</v>
      </c>
      <c r="J633" s="212">
        <f t="shared" si="13"/>
        <v>214.94</v>
      </c>
      <c r="K633" s="172"/>
      <c r="L633" s="41"/>
      <c r="M633" s="177"/>
      <c r="N633" s="178"/>
      <c r="O633" s="309"/>
      <c r="P633" s="179"/>
      <c r="Q633" s="179"/>
      <c r="R633" s="179"/>
      <c r="S633" s="179"/>
      <c r="T633" s="180"/>
      <c r="AR633" s="24"/>
      <c r="AT633" s="24"/>
      <c r="AU633" s="24"/>
      <c r="AY633" s="24"/>
      <c r="BE633" s="181"/>
      <c r="BF633" s="181"/>
      <c r="BG633" s="181"/>
      <c r="BH633" s="181"/>
      <c r="BI633" s="181"/>
      <c r="BJ633" s="24"/>
      <c r="BK633" s="181"/>
      <c r="BL633" s="24"/>
      <c r="BM633" s="24"/>
    </row>
    <row r="634" spans="2:65" s="12" customFormat="1" x14ac:dyDescent="0.3">
      <c r="B634" s="190"/>
      <c r="D634" s="183"/>
      <c r="E634" s="369" t="s">
        <v>1378</v>
      </c>
      <c r="F634" s="312" t="s">
        <v>1435</v>
      </c>
      <c r="H634" s="315">
        <f>2.8*4.45</f>
        <v>12.459999999999999</v>
      </c>
      <c r="I634" s="194">
        <v>0</v>
      </c>
      <c r="J634" s="212">
        <f t="shared" si="13"/>
        <v>0</v>
      </c>
      <c r="L634" s="41"/>
      <c r="M634" s="195"/>
      <c r="N634" s="196"/>
      <c r="O634" s="196"/>
      <c r="P634" s="196"/>
      <c r="Q634" s="196"/>
      <c r="R634" s="196"/>
      <c r="S634" s="196"/>
      <c r="T634" s="197"/>
      <c r="AT634" s="191"/>
      <c r="AU634" s="191"/>
      <c r="AY634" s="191"/>
    </row>
    <row r="635" spans="2:65" s="308" customFormat="1" ht="16.5" customHeight="1" x14ac:dyDescent="0.3">
      <c r="B635" s="169"/>
      <c r="C635" s="206"/>
      <c r="D635" s="206"/>
      <c r="E635" s="207"/>
      <c r="F635" s="421" t="s">
        <v>1438</v>
      </c>
      <c r="G635" s="422" t="s">
        <v>179</v>
      </c>
      <c r="H635" s="423">
        <f>H636</f>
        <v>13.083</v>
      </c>
      <c r="I635" s="424">
        <v>28.749999999999996</v>
      </c>
      <c r="J635" s="212">
        <f t="shared" si="13"/>
        <v>376.14</v>
      </c>
      <c r="K635" s="208"/>
      <c r="L635" s="41"/>
      <c r="M635" s="213"/>
      <c r="N635" s="214"/>
      <c r="O635" s="309"/>
      <c r="P635" s="179"/>
      <c r="Q635" s="179"/>
      <c r="R635" s="179"/>
      <c r="S635" s="179"/>
      <c r="T635" s="180"/>
      <c r="AR635" s="24"/>
      <c r="AT635" s="24"/>
      <c r="AU635" s="24"/>
      <c r="AY635" s="24"/>
      <c r="BE635" s="181"/>
      <c r="BF635" s="181"/>
      <c r="BG635" s="181"/>
      <c r="BH635" s="181"/>
      <c r="BI635" s="181"/>
      <c r="BJ635" s="24"/>
      <c r="BK635" s="181"/>
      <c r="BL635" s="24"/>
      <c r="BM635" s="24"/>
    </row>
    <row r="636" spans="2:65" s="12" customFormat="1" x14ac:dyDescent="0.3">
      <c r="B636" s="190"/>
      <c r="D636" s="183"/>
      <c r="F636" s="312" t="s">
        <v>1436</v>
      </c>
      <c r="H636" s="315">
        <f>2.8*4.45*1.05</f>
        <v>13.083</v>
      </c>
      <c r="I636" s="194">
        <v>0</v>
      </c>
      <c r="J636" s="212">
        <f t="shared" si="13"/>
        <v>0</v>
      </c>
      <c r="L636" s="41"/>
      <c r="M636" s="195"/>
      <c r="N636" s="196"/>
      <c r="O636" s="196"/>
      <c r="P636" s="196"/>
      <c r="Q636" s="196"/>
      <c r="R636" s="196"/>
      <c r="S636" s="196"/>
      <c r="T636" s="197"/>
      <c r="AT636" s="191"/>
      <c r="AU636" s="191"/>
      <c r="AY636" s="191"/>
    </row>
    <row r="637" spans="2:65" s="1" customFormat="1" ht="16.5" customHeight="1" x14ac:dyDescent="0.3">
      <c r="B637" s="169"/>
      <c r="C637" s="170" t="s">
        <v>690</v>
      </c>
      <c r="D637" s="170" t="s">
        <v>138</v>
      </c>
      <c r="E637" s="171" t="s">
        <v>691</v>
      </c>
      <c r="F637" s="172" t="s">
        <v>692</v>
      </c>
      <c r="G637" s="173" t="s">
        <v>554</v>
      </c>
      <c r="H637" s="226">
        <v>2042.58</v>
      </c>
      <c r="I637" s="175">
        <v>4.0249999999999995</v>
      </c>
      <c r="J637" s="176">
        <f>ROUND(I637*H637,2)</f>
        <v>8221.3799999999992</v>
      </c>
      <c r="K637" s="172" t="s">
        <v>142</v>
      </c>
      <c r="L637" s="41"/>
      <c r="M637" s="177" t="s">
        <v>5</v>
      </c>
      <c r="N637" s="178" t="s">
        <v>42</v>
      </c>
      <c r="O637" s="42"/>
      <c r="P637" s="179">
        <f>O637*H637</f>
        <v>0</v>
      </c>
      <c r="Q637" s="179">
        <v>0</v>
      </c>
      <c r="R637" s="179">
        <f>Q637*H637</f>
        <v>0</v>
      </c>
      <c r="S637" s="179">
        <v>0</v>
      </c>
      <c r="T637" s="180">
        <f>S637*H637</f>
        <v>0</v>
      </c>
      <c r="AR637" s="24" t="s">
        <v>204</v>
      </c>
      <c r="AT637" s="24" t="s">
        <v>138</v>
      </c>
      <c r="AU637" s="24" t="s">
        <v>81</v>
      </c>
      <c r="AY637" s="24" t="s">
        <v>136</v>
      </c>
      <c r="BE637" s="181">
        <f>IF(N637="základní",J637,0)</f>
        <v>8221.3799999999992</v>
      </c>
      <c r="BF637" s="181">
        <f>IF(N637="snížená",J637,0)</f>
        <v>0</v>
      </c>
      <c r="BG637" s="181">
        <f>IF(N637="zákl. přenesená",J637,0)</f>
        <v>0</v>
      </c>
      <c r="BH637" s="181">
        <f>IF(N637="sníž. přenesená",J637,0)</f>
        <v>0</v>
      </c>
      <c r="BI637" s="181">
        <f>IF(N637="nulová",J637,0)</f>
        <v>0</v>
      </c>
      <c r="BJ637" s="24" t="s">
        <v>79</v>
      </c>
      <c r="BK637" s="181">
        <f>ROUND(I637*H637,2)</f>
        <v>8221.3799999999992</v>
      </c>
      <c r="BL637" s="24" t="s">
        <v>204</v>
      </c>
      <c r="BM637" s="24" t="s">
        <v>693</v>
      </c>
    </row>
    <row r="638" spans="2:65" s="10" customFormat="1" ht="29.85" customHeight="1" x14ac:dyDescent="0.3">
      <c r="B638" s="156"/>
      <c r="D638" s="157" t="s">
        <v>70</v>
      </c>
      <c r="E638" s="167" t="s">
        <v>694</v>
      </c>
      <c r="F638" s="167" t="s">
        <v>695</v>
      </c>
      <c r="I638" s="159">
        <v>0</v>
      </c>
      <c r="J638" s="168">
        <f>SUM(J639:J688)</f>
        <v>404927.57000000007</v>
      </c>
      <c r="L638" s="41"/>
      <c r="M638" s="161"/>
      <c r="N638" s="162"/>
      <c r="O638" s="162"/>
      <c r="P638" s="163">
        <f>SUM(P639:P688)</f>
        <v>0</v>
      </c>
      <c r="Q638" s="162"/>
      <c r="R638" s="163">
        <f>SUM(R639:R688)</f>
        <v>6.5737055599999996</v>
      </c>
      <c r="S638" s="162"/>
      <c r="T638" s="164">
        <f>SUM(T639:T688)</f>
        <v>0</v>
      </c>
      <c r="AR638" s="157" t="s">
        <v>81</v>
      </c>
      <c r="AT638" s="165" t="s">
        <v>70</v>
      </c>
      <c r="AU638" s="165" t="s">
        <v>79</v>
      </c>
      <c r="AY638" s="157" t="s">
        <v>136</v>
      </c>
      <c r="BK638" s="166">
        <f>SUM(BK639:BK688)</f>
        <v>359703.82000000007</v>
      </c>
    </row>
    <row r="639" spans="2:65" s="1" customFormat="1" ht="25.5" customHeight="1" x14ac:dyDescent="0.3">
      <c r="B639" s="169"/>
      <c r="C639" s="170" t="s">
        <v>696</v>
      </c>
      <c r="D639" s="170" t="s">
        <v>138</v>
      </c>
      <c r="E639" s="171" t="s">
        <v>697</v>
      </c>
      <c r="F639" s="172" t="s">
        <v>698</v>
      </c>
      <c r="G639" s="173" t="s">
        <v>141</v>
      </c>
      <c r="H639" s="320">
        <v>5.2480000000000002</v>
      </c>
      <c r="I639" s="175">
        <v>758.99999999999989</v>
      </c>
      <c r="J639" s="176">
        <f>ROUND(I639*H639,2)</f>
        <v>3983.23</v>
      </c>
      <c r="K639" s="172" t="s">
        <v>142</v>
      </c>
      <c r="L639" s="41"/>
      <c r="M639" s="177" t="s">
        <v>5</v>
      </c>
      <c r="N639" s="178" t="s">
        <v>42</v>
      </c>
      <c r="O639" s="42"/>
      <c r="P639" s="179">
        <f>O639*H639</f>
        <v>0</v>
      </c>
      <c r="Q639" s="179">
        <v>1.08E-3</v>
      </c>
      <c r="R639" s="179">
        <f>Q639*H639</f>
        <v>5.6678400000000004E-3</v>
      </c>
      <c r="S639" s="179">
        <v>0</v>
      </c>
      <c r="T639" s="180">
        <f>S639*H639</f>
        <v>0</v>
      </c>
      <c r="AR639" s="24" t="s">
        <v>204</v>
      </c>
      <c r="AT639" s="24" t="s">
        <v>138</v>
      </c>
      <c r="AU639" s="24" t="s">
        <v>81</v>
      </c>
      <c r="AY639" s="24" t="s">
        <v>136</v>
      </c>
      <c r="BE639" s="181">
        <f>IF(N639="základní",J639,0)</f>
        <v>3983.23</v>
      </c>
      <c r="BF639" s="181">
        <f>IF(N639="snížená",J639,0)</f>
        <v>0</v>
      </c>
      <c r="BG639" s="181">
        <f>IF(N639="zákl. přenesená",J639,0)</f>
        <v>0</v>
      </c>
      <c r="BH639" s="181">
        <f>IF(N639="sníž. přenesená",J639,0)</f>
        <v>0</v>
      </c>
      <c r="BI639" s="181">
        <f>IF(N639="nulová",J639,0)</f>
        <v>0</v>
      </c>
      <c r="BJ639" s="24" t="s">
        <v>79</v>
      </c>
      <c r="BK639" s="181">
        <f>ROUND(I639*H639,2)</f>
        <v>3983.23</v>
      </c>
      <c r="BL639" s="24" t="s">
        <v>204</v>
      </c>
      <c r="BM639" s="24" t="s">
        <v>699</v>
      </c>
    </row>
    <row r="640" spans="2:65" s="12" customFormat="1" x14ac:dyDescent="0.3">
      <c r="B640" s="190"/>
      <c r="D640" s="183" t="s">
        <v>145</v>
      </c>
      <c r="E640" s="191" t="s">
        <v>5</v>
      </c>
      <c r="F640" s="192"/>
      <c r="H640" s="193"/>
      <c r="I640" s="194">
        <v>0</v>
      </c>
      <c r="L640" s="41"/>
      <c r="M640" s="195"/>
      <c r="N640" s="196"/>
      <c r="O640" s="196"/>
      <c r="P640" s="196"/>
      <c r="Q640" s="196"/>
      <c r="R640" s="196"/>
      <c r="S640" s="196"/>
      <c r="T640" s="197"/>
      <c r="AT640" s="191" t="s">
        <v>145</v>
      </c>
      <c r="AU640" s="191" t="s">
        <v>81</v>
      </c>
      <c r="AV640" s="12" t="s">
        <v>81</v>
      </c>
      <c r="AW640" s="12" t="s">
        <v>35</v>
      </c>
      <c r="AX640" s="12" t="s">
        <v>79</v>
      </c>
      <c r="AY640" s="191" t="s">
        <v>136</v>
      </c>
    </row>
    <row r="641" spans="2:65" s="1" customFormat="1" ht="25.5" customHeight="1" x14ac:dyDescent="0.3">
      <c r="B641" s="169"/>
      <c r="C641" s="170" t="s">
        <v>700</v>
      </c>
      <c r="D641" s="170" t="s">
        <v>138</v>
      </c>
      <c r="E641" s="171" t="s">
        <v>701</v>
      </c>
      <c r="F641" s="172" t="s">
        <v>702</v>
      </c>
      <c r="G641" s="173" t="s">
        <v>249</v>
      </c>
      <c r="H641" s="320">
        <f>SUM(H642:H644)</f>
        <v>163.19999999999999</v>
      </c>
      <c r="I641" s="175">
        <v>270.25</v>
      </c>
      <c r="J641" s="176">
        <f>ROUND(I641*H641,2)</f>
        <v>44104.800000000003</v>
      </c>
      <c r="K641" s="172" t="s">
        <v>142</v>
      </c>
      <c r="L641" s="41"/>
      <c r="M641" s="177" t="s">
        <v>5</v>
      </c>
      <c r="N641" s="178" t="s">
        <v>42</v>
      </c>
      <c r="O641" s="42"/>
      <c r="P641" s="179">
        <f>O641*H641</f>
        <v>0</v>
      </c>
      <c r="Q641" s="179">
        <v>0</v>
      </c>
      <c r="R641" s="179">
        <f>Q641*H641</f>
        <v>0</v>
      </c>
      <c r="S641" s="179">
        <v>0</v>
      </c>
      <c r="T641" s="180">
        <f>S641*H641</f>
        <v>0</v>
      </c>
      <c r="AR641" s="24" t="s">
        <v>204</v>
      </c>
      <c r="AT641" s="24" t="s">
        <v>138</v>
      </c>
      <c r="AU641" s="24" t="s">
        <v>81</v>
      </c>
      <c r="AY641" s="24" t="s">
        <v>136</v>
      </c>
      <c r="BE641" s="181">
        <f>IF(N641="základní",J641,0)</f>
        <v>44104.800000000003</v>
      </c>
      <c r="BF641" s="181">
        <f>IF(N641="snížená",J641,0)</f>
        <v>0</v>
      </c>
      <c r="BG641" s="181">
        <f>IF(N641="zákl. přenesená",J641,0)</f>
        <v>0</v>
      </c>
      <c r="BH641" s="181">
        <f>IF(N641="sníž. přenesená",J641,0)</f>
        <v>0</v>
      </c>
      <c r="BI641" s="181">
        <f>IF(N641="nulová",J641,0)</f>
        <v>0</v>
      </c>
      <c r="BJ641" s="24" t="s">
        <v>79</v>
      </c>
      <c r="BK641" s="181">
        <f>ROUND(I641*H641,2)</f>
        <v>44104.800000000003</v>
      </c>
      <c r="BL641" s="24" t="s">
        <v>204</v>
      </c>
      <c r="BM641" s="24" t="s">
        <v>703</v>
      </c>
    </row>
    <row r="642" spans="2:65" s="12" customFormat="1" x14ac:dyDescent="0.3">
      <c r="B642" s="190"/>
      <c r="D642" s="183" t="s">
        <v>145</v>
      </c>
      <c r="E642" s="314" t="s">
        <v>1376</v>
      </c>
      <c r="F642" s="312" t="s">
        <v>1379</v>
      </c>
      <c r="H642" s="315">
        <f>9.5*4</f>
        <v>38</v>
      </c>
      <c r="I642" s="194">
        <v>0</v>
      </c>
      <c r="L642" s="41"/>
      <c r="M642" s="195"/>
      <c r="N642" s="196"/>
      <c r="O642" s="196"/>
      <c r="P642" s="196"/>
      <c r="Q642" s="196"/>
      <c r="R642" s="196"/>
      <c r="S642" s="196"/>
      <c r="T642" s="197"/>
      <c r="AT642" s="191" t="s">
        <v>145</v>
      </c>
      <c r="AU642" s="191" t="s">
        <v>81</v>
      </c>
      <c r="AV642" s="12" t="s">
        <v>81</v>
      </c>
      <c r="AW642" s="12" t="s">
        <v>35</v>
      </c>
      <c r="AX642" s="12" t="s">
        <v>71</v>
      </c>
      <c r="AY642" s="191" t="s">
        <v>136</v>
      </c>
    </row>
    <row r="643" spans="2:65" s="12" customFormat="1" x14ac:dyDescent="0.3">
      <c r="B643" s="190"/>
      <c r="D643" s="183" t="s">
        <v>145</v>
      </c>
      <c r="E643" s="314" t="s">
        <v>1377</v>
      </c>
      <c r="F643" s="312" t="s">
        <v>1380</v>
      </c>
      <c r="H643" s="315">
        <f>5*11*2</f>
        <v>110</v>
      </c>
      <c r="I643" s="194">
        <v>0</v>
      </c>
      <c r="L643" s="41"/>
      <c r="M643" s="195"/>
      <c r="N643" s="196"/>
      <c r="O643" s="196"/>
      <c r="P643" s="196"/>
      <c r="Q643" s="196"/>
      <c r="R643" s="196"/>
      <c r="S643" s="196"/>
      <c r="T643" s="197"/>
      <c r="AT643" s="191" t="s">
        <v>145</v>
      </c>
      <c r="AU643" s="191" t="s">
        <v>81</v>
      </c>
      <c r="AV643" s="12" t="s">
        <v>81</v>
      </c>
      <c r="AW643" s="12" t="s">
        <v>35</v>
      </c>
      <c r="AX643" s="12" t="s">
        <v>71</v>
      </c>
      <c r="AY643" s="191" t="s">
        <v>136</v>
      </c>
    </row>
    <row r="644" spans="2:65" s="13" customFormat="1" x14ac:dyDescent="0.3">
      <c r="B644" s="198"/>
      <c r="D644" s="183" t="s">
        <v>145</v>
      </c>
      <c r="E644" s="314" t="s">
        <v>1378</v>
      </c>
      <c r="F644" s="312" t="s">
        <v>1381</v>
      </c>
      <c r="H644" s="201">
        <f>4*3.8</f>
        <v>15.2</v>
      </c>
      <c r="I644" s="202">
        <v>0</v>
      </c>
      <c r="L644" s="41"/>
      <c r="M644" s="203"/>
      <c r="N644" s="204"/>
      <c r="O644" s="204"/>
      <c r="P644" s="204"/>
      <c r="Q644" s="204"/>
      <c r="R644" s="204"/>
      <c r="S644" s="204"/>
      <c r="T644" s="205"/>
      <c r="AT644" s="199" t="s">
        <v>145</v>
      </c>
      <c r="AU644" s="199" t="s">
        <v>81</v>
      </c>
      <c r="AV644" s="13" t="s">
        <v>143</v>
      </c>
      <c r="AW644" s="13" t="s">
        <v>35</v>
      </c>
      <c r="AX644" s="13" t="s">
        <v>79</v>
      </c>
      <c r="AY644" s="199" t="s">
        <v>136</v>
      </c>
    </row>
    <row r="645" spans="2:65" s="1" customFormat="1" ht="16.5" customHeight="1" x14ac:dyDescent="0.3">
      <c r="B645" s="169"/>
      <c r="C645" s="394" t="s">
        <v>704</v>
      </c>
      <c r="D645" s="206" t="s">
        <v>355</v>
      </c>
      <c r="E645" s="207" t="s">
        <v>705</v>
      </c>
      <c r="F645" s="367" t="s">
        <v>1375</v>
      </c>
      <c r="G645" s="209" t="s">
        <v>141</v>
      </c>
      <c r="H645" s="355">
        <f>SUM(H646:H648)</f>
        <v>3.5611400000000004</v>
      </c>
      <c r="I645" s="211">
        <v>11270</v>
      </c>
      <c r="J645" s="212">
        <f>ROUND(I645*H645,2)</f>
        <v>40134.050000000003</v>
      </c>
      <c r="K645" s="208" t="s">
        <v>142</v>
      </c>
      <c r="L645" s="41"/>
      <c r="M645" s="213" t="s">
        <v>5</v>
      </c>
      <c r="N645" s="214" t="s">
        <v>42</v>
      </c>
      <c r="O645" s="42"/>
      <c r="P645" s="179">
        <f>O645*H645</f>
        <v>0</v>
      </c>
      <c r="Q645" s="179">
        <v>0.55000000000000004</v>
      </c>
      <c r="R645" s="179">
        <f>Q645*H645</f>
        <v>1.9586270000000003</v>
      </c>
      <c r="S645" s="179">
        <v>0</v>
      </c>
      <c r="T645" s="180">
        <f>S645*H645</f>
        <v>0</v>
      </c>
      <c r="AR645" s="24" t="s">
        <v>283</v>
      </c>
      <c r="AT645" s="24" t="s">
        <v>355</v>
      </c>
      <c r="AU645" s="24" t="s">
        <v>81</v>
      </c>
      <c r="AY645" s="24" t="s">
        <v>136</v>
      </c>
      <c r="BE645" s="181">
        <f>IF(N645="základní",J645,0)</f>
        <v>40134.050000000003</v>
      </c>
      <c r="BF645" s="181">
        <f>IF(N645="snížená",J645,0)</f>
        <v>0</v>
      </c>
      <c r="BG645" s="181">
        <f>IF(N645="zákl. přenesená",J645,0)</f>
        <v>0</v>
      </c>
      <c r="BH645" s="181">
        <f>IF(N645="sníž. přenesená",J645,0)</f>
        <v>0</v>
      </c>
      <c r="BI645" s="181">
        <f>IF(N645="nulová",J645,0)</f>
        <v>0</v>
      </c>
      <c r="BJ645" s="24" t="s">
        <v>79</v>
      </c>
      <c r="BK645" s="181">
        <f>ROUND(I645*H645,2)</f>
        <v>40134.050000000003</v>
      </c>
      <c r="BL645" s="24" t="s">
        <v>204</v>
      </c>
      <c r="BM645" s="24" t="s">
        <v>706</v>
      </c>
    </row>
    <row r="646" spans="2:65" s="12" customFormat="1" x14ac:dyDescent="0.3">
      <c r="B646" s="190"/>
      <c r="D646" s="183" t="s">
        <v>145</v>
      </c>
      <c r="E646" s="314" t="s">
        <v>1376</v>
      </c>
      <c r="F646" s="312" t="s">
        <v>1538</v>
      </c>
      <c r="H646" s="315">
        <f>9.5*0.15*0.15*4*1.1</f>
        <v>0.9405</v>
      </c>
      <c r="I646" s="194">
        <v>0</v>
      </c>
      <c r="L646" s="41"/>
      <c r="M646" s="195"/>
      <c r="N646" s="196"/>
      <c r="O646" s="196"/>
      <c r="P646" s="196"/>
      <c r="Q646" s="196"/>
      <c r="R646" s="196"/>
      <c r="S646" s="196"/>
      <c r="T646" s="197"/>
      <c r="AT646" s="191" t="s">
        <v>145</v>
      </c>
      <c r="AU646" s="191" t="s">
        <v>81</v>
      </c>
      <c r="AV646" s="12" t="s">
        <v>81</v>
      </c>
      <c r="AW646" s="12" t="s">
        <v>35</v>
      </c>
      <c r="AX646" s="12" t="s">
        <v>71</v>
      </c>
      <c r="AY646" s="191" t="s">
        <v>136</v>
      </c>
    </row>
    <row r="647" spans="2:65" s="12" customFormat="1" x14ac:dyDescent="0.3">
      <c r="B647" s="190"/>
      <c r="D647" s="183" t="s">
        <v>145</v>
      </c>
      <c r="E647" s="314" t="s">
        <v>1377</v>
      </c>
      <c r="F647" s="312" t="s">
        <v>1539</v>
      </c>
      <c r="H647" s="315">
        <f>5*0.1*0.2*11*2*1.1</f>
        <v>2.4200000000000004</v>
      </c>
      <c r="I647" s="194">
        <v>0</v>
      </c>
      <c r="L647" s="41"/>
      <c r="M647" s="195"/>
      <c r="N647" s="196"/>
      <c r="O647" s="196"/>
      <c r="P647" s="196"/>
      <c r="Q647" s="196"/>
      <c r="R647" s="196"/>
      <c r="S647" s="196"/>
      <c r="T647" s="197"/>
      <c r="AT647" s="191" t="s">
        <v>145</v>
      </c>
      <c r="AU647" s="191" t="s">
        <v>81</v>
      </c>
      <c r="AV647" s="12" t="s">
        <v>81</v>
      </c>
      <c r="AW647" s="12" t="s">
        <v>35</v>
      </c>
      <c r="AX647" s="12" t="s">
        <v>71</v>
      </c>
      <c r="AY647" s="191" t="s">
        <v>136</v>
      </c>
    </row>
    <row r="648" spans="2:65" s="12" customFormat="1" x14ac:dyDescent="0.3">
      <c r="B648" s="190"/>
      <c r="D648" s="183" t="s">
        <v>145</v>
      </c>
      <c r="E648" s="314" t="s">
        <v>1378</v>
      </c>
      <c r="F648" s="312" t="s">
        <v>1540</v>
      </c>
      <c r="H648" s="315">
        <f>4*3.8*0.1*0.12*1.1</f>
        <v>0.20064000000000001</v>
      </c>
      <c r="I648" s="194">
        <v>0</v>
      </c>
      <c r="L648" s="41"/>
      <c r="M648" s="195"/>
      <c r="N648" s="196"/>
      <c r="O648" s="196"/>
      <c r="P648" s="196"/>
      <c r="Q648" s="196"/>
      <c r="R648" s="196"/>
      <c r="S648" s="196"/>
      <c r="T648" s="197"/>
      <c r="AT648" s="191" t="s">
        <v>145</v>
      </c>
      <c r="AU648" s="191" t="s">
        <v>81</v>
      </c>
      <c r="AV648" s="12" t="s">
        <v>143</v>
      </c>
      <c r="AW648" s="12" t="s">
        <v>35</v>
      </c>
      <c r="AX648" s="12" t="s">
        <v>79</v>
      </c>
      <c r="AY648" s="191" t="s">
        <v>136</v>
      </c>
    </row>
    <row r="649" spans="2:65" s="12" customFormat="1" x14ac:dyDescent="0.3">
      <c r="B649" s="190"/>
      <c r="D649" s="183" t="s">
        <v>145</v>
      </c>
      <c r="F649" s="192"/>
      <c r="H649" s="193"/>
      <c r="I649" s="194">
        <v>0</v>
      </c>
      <c r="L649" s="41"/>
      <c r="M649" s="195"/>
      <c r="N649" s="196"/>
      <c r="O649" s="196"/>
      <c r="P649" s="196"/>
      <c r="Q649" s="196"/>
      <c r="R649" s="196"/>
      <c r="S649" s="196"/>
      <c r="T649" s="197"/>
      <c r="AT649" s="191" t="s">
        <v>145</v>
      </c>
      <c r="AU649" s="191" t="s">
        <v>81</v>
      </c>
      <c r="AV649" s="12" t="s">
        <v>81</v>
      </c>
      <c r="AW649" s="12" t="s">
        <v>6</v>
      </c>
      <c r="AX649" s="12" t="s">
        <v>79</v>
      </c>
      <c r="AY649" s="191" t="s">
        <v>136</v>
      </c>
    </row>
    <row r="650" spans="2:65" s="1" customFormat="1" ht="25.5" customHeight="1" x14ac:dyDescent="0.3">
      <c r="B650" s="169"/>
      <c r="C650" s="170" t="s">
        <v>707</v>
      </c>
      <c r="D650" s="170" t="s">
        <v>138</v>
      </c>
      <c r="E650" s="171" t="s">
        <v>708</v>
      </c>
      <c r="F650" s="172" t="s">
        <v>1567</v>
      </c>
      <c r="G650" s="173" t="s">
        <v>179</v>
      </c>
      <c r="H650" s="313">
        <f>SUM(H652:H658)</f>
        <v>89.47</v>
      </c>
      <c r="I650" s="175">
        <v>747.49999999999989</v>
      </c>
      <c r="J650" s="176">
        <f>ROUND(I650*H650,2)</f>
        <v>66878.83</v>
      </c>
      <c r="K650" s="172" t="s">
        <v>142</v>
      </c>
      <c r="L650" s="41"/>
      <c r="M650" s="177" t="s">
        <v>5</v>
      </c>
      <c r="N650" s="178" t="s">
        <v>42</v>
      </c>
      <c r="O650" s="42"/>
      <c r="P650" s="179">
        <f>O650*H650</f>
        <v>0</v>
      </c>
      <c r="Q650" s="179">
        <v>1.438E-2</v>
      </c>
      <c r="R650" s="179">
        <f>Q650*H650</f>
        <v>1.2865786000000001</v>
      </c>
      <c r="S650" s="179">
        <v>0</v>
      </c>
      <c r="T650" s="180">
        <f>S650*H650</f>
        <v>0</v>
      </c>
      <c r="AR650" s="24" t="s">
        <v>204</v>
      </c>
      <c r="AT650" s="24" t="s">
        <v>138</v>
      </c>
      <c r="AU650" s="24" t="s">
        <v>81</v>
      </c>
      <c r="AY650" s="24" t="s">
        <v>136</v>
      </c>
      <c r="BE650" s="181">
        <f>IF(N650="základní",J650,0)</f>
        <v>66878.83</v>
      </c>
      <c r="BF650" s="181">
        <f>IF(N650="snížená",J650,0)</f>
        <v>0</v>
      </c>
      <c r="BG650" s="181">
        <f>IF(N650="zákl. přenesená",J650,0)</f>
        <v>0</v>
      </c>
      <c r="BH650" s="181">
        <f>IF(N650="sníž. přenesená",J650,0)</f>
        <v>0</v>
      </c>
      <c r="BI650" s="181">
        <f>IF(N650="nulová",J650,0)</f>
        <v>0</v>
      </c>
      <c r="BJ650" s="24" t="s">
        <v>79</v>
      </c>
      <c r="BK650" s="181">
        <f>ROUND(I650*H650,2)</f>
        <v>66878.83</v>
      </c>
      <c r="BL650" s="24" t="s">
        <v>204</v>
      </c>
      <c r="BM650" s="24" t="s">
        <v>709</v>
      </c>
    </row>
    <row r="651" spans="2:65" s="11" customFormat="1" x14ac:dyDescent="0.3">
      <c r="B651" s="182"/>
      <c r="D651" s="183" t="s">
        <v>145</v>
      </c>
      <c r="E651" s="184" t="s">
        <v>5</v>
      </c>
      <c r="F651" s="312" t="s">
        <v>710</v>
      </c>
      <c r="H651" s="314" t="s">
        <v>5</v>
      </c>
      <c r="I651" s="186">
        <v>0</v>
      </c>
      <c r="J651" s="176"/>
      <c r="L651" s="41"/>
      <c r="M651" s="187"/>
      <c r="N651" s="188"/>
      <c r="O651" s="188"/>
      <c r="P651" s="188"/>
      <c r="Q651" s="188"/>
      <c r="R651" s="188"/>
      <c r="S651" s="188"/>
      <c r="T651" s="189"/>
      <c r="AT651" s="184" t="s">
        <v>145</v>
      </c>
      <c r="AU651" s="184" t="s">
        <v>81</v>
      </c>
      <c r="AV651" s="11" t="s">
        <v>79</v>
      </c>
      <c r="AW651" s="11" t="s">
        <v>35</v>
      </c>
      <c r="AX651" s="11" t="s">
        <v>71</v>
      </c>
      <c r="AY651" s="184" t="s">
        <v>136</v>
      </c>
    </row>
    <row r="652" spans="2:65" s="12" customFormat="1" x14ac:dyDescent="0.3">
      <c r="B652" s="190"/>
      <c r="D652" s="183" t="s">
        <v>145</v>
      </c>
      <c r="E652" s="191" t="s">
        <v>5</v>
      </c>
      <c r="F652" s="312" t="s">
        <v>1387</v>
      </c>
      <c r="H652" s="315">
        <f>4.1*0.5*2</f>
        <v>4.0999999999999996</v>
      </c>
      <c r="I652" s="194">
        <v>0</v>
      </c>
      <c r="J652" s="176">
        <f t="shared" ref="J652:J661" si="14">ROUND(I652*H652,2)</f>
        <v>0</v>
      </c>
      <c r="L652" s="41"/>
      <c r="M652" s="195"/>
      <c r="N652" s="196"/>
      <c r="O652" s="196"/>
      <c r="P652" s="196"/>
      <c r="Q652" s="196"/>
      <c r="R652" s="196"/>
      <c r="S652" s="196"/>
      <c r="T652" s="197"/>
      <c r="AT652" s="191" t="s">
        <v>145</v>
      </c>
      <c r="AU652" s="191" t="s">
        <v>81</v>
      </c>
      <c r="AV652" s="12" t="s">
        <v>81</v>
      </c>
      <c r="AW652" s="12" t="s">
        <v>35</v>
      </c>
      <c r="AX652" s="12" t="s">
        <v>79</v>
      </c>
      <c r="AY652" s="191" t="s">
        <v>136</v>
      </c>
    </row>
    <row r="653" spans="2:65" s="12" customFormat="1" x14ac:dyDescent="0.3">
      <c r="B653" s="190"/>
      <c r="D653" s="183"/>
      <c r="E653" s="191"/>
      <c r="F653" s="312" t="s">
        <v>1385</v>
      </c>
      <c r="H653" s="315"/>
      <c r="I653" s="194">
        <v>0</v>
      </c>
      <c r="J653" s="176">
        <f t="shared" si="14"/>
        <v>0</v>
      </c>
      <c r="L653" s="41"/>
      <c r="M653" s="195"/>
      <c r="N653" s="328"/>
      <c r="O653" s="328"/>
      <c r="P653" s="328"/>
      <c r="Q653" s="328"/>
      <c r="R653" s="328"/>
      <c r="S653" s="328"/>
      <c r="T653" s="197"/>
      <c r="AT653" s="191"/>
      <c r="AU653" s="191"/>
      <c r="AY653" s="191"/>
    </row>
    <row r="654" spans="2:65" s="12" customFormat="1" x14ac:dyDescent="0.3">
      <c r="B654" s="190"/>
      <c r="D654" s="183"/>
      <c r="E654" s="191"/>
      <c r="F654" s="312" t="s">
        <v>1388</v>
      </c>
      <c r="H654" s="315">
        <f>4.1*(0.6*4+0.5)</f>
        <v>11.889999999999999</v>
      </c>
      <c r="I654" s="194">
        <v>0</v>
      </c>
      <c r="J654" s="176">
        <f t="shared" si="14"/>
        <v>0</v>
      </c>
      <c r="L654" s="41"/>
      <c r="M654" s="195"/>
      <c r="N654" s="328"/>
      <c r="O654" s="328"/>
      <c r="P654" s="328"/>
      <c r="Q654" s="328"/>
      <c r="R654" s="328"/>
      <c r="S654" s="328"/>
      <c r="T654" s="197"/>
      <c r="AT654" s="191"/>
      <c r="AU654" s="191"/>
      <c r="AY654" s="191"/>
    </row>
    <row r="655" spans="2:65" s="12" customFormat="1" x14ac:dyDescent="0.3">
      <c r="B655" s="190"/>
      <c r="D655" s="183"/>
      <c r="E655" s="191"/>
      <c r="F655" s="312" t="s">
        <v>1384</v>
      </c>
      <c r="H655" s="315"/>
      <c r="I655" s="194">
        <v>0</v>
      </c>
      <c r="J655" s="176">
        <f t="shared" si="14"/>
        <v>0</v>
      </c>
      <c r="L655" s="41"/>
      <c r="M655" s="195"/>
      <c r="N655" s="328"/>
      <c r="O655" s="328"/>
      <c r="P655" s="328"/>
      <c r="Q655" s="328"/>
      <c r="R655" s="328"/>
      <c r="S655" s="328"/>
      <c r="T655" s="197"/>
      <c r="AT655" s="191"/>
      <c r="AU655" s="191"/>
      <c r="AY655" s="191"/>
    </row>
    <row r="656" spans="2:65" s="12" customFormat="1" x14ac:dyDescent="0.3">
      <c r="B656" s="190"/>
      <c r="D656" s="183"/>
      <c r="E656" s="191"/>
      <c r="F656" s="312" t="s">
        <v>1386</v>
      </c>
      <c r="H656" s="315">
        <f>(0.6*5.4*2+0.6*10)*2+1*(5.4*2+10)</f>
        <v>45.760000000000005</v>
      </c>
      <c r="I656" s="194">
        <v>0</v>
      </c>
      <c r="J656" s="176">
        <f t="shared" si="14"/>
        <v>0</v>
      </c>
      <c r="L656" s="41"/>
      <c r="M656" s="195"/>
      <c r="N656" s="328"/>
      <c r="O656" s="328"/>
      <c r="P656" s="328"/>
      <c r="Q656" s="328"/>
      <c r="R656" s="328"/>
      <c r="S656" s="328"/>
      <c r="T656" s="197"/>
      <c r="AT656" s="191"/>
      <c r="AU656" s="191"/>
      <c r="AY656" s="191"/>
    </row>
    <row r="657" spans="2:65" s="12" customFormat="1" x14ac:dyDescent="0.3">
      <c r="B657" s="190"/>
      <c r="D657" s="183"/>
      <c r="E657" s="191"/>
      <c r="F657" s="312" t="s">
        <v>1382</v>
      </c>
      <c r="H657" s="315"/>
      <c r="I657" s="194">
        <v>0</v>
      </c>
      <c r="J657" s="176">
        <f t="shared" si="14"/>
        <v>0</v>
      </c>
      <c r="L657" s="41"/>
      <c r="M657" s="195"/>
      <c r="N657" s="328"/>
      <c r="O657" s="328"/>
      <c r="P657" s="328"/>
      <c r="Q657" s="328"/>
      <c r="R657" s="328"/>
      <c r="S657" s="328"/>
      <c r="T657" s="197"/>
      <c r="AT657" s="191"/>
      <c r="AU657" s="191"/>
      <c r="AY657" s="191"/>
    </row>
    <row r="658" spans="2:65" s="12" customFormat="1" ht="12.75" customHeight="1" x14ac:dyDescent="0.3">
      <c r="B658" s="190"/>
      <c r="D658" s="183"/>
      <c r="E658" s="191"/>
      <c r="F658" s="312" t="s">
        <v>1383</v>
      </c>
      <c r="H658" s="315">
        <f>(2*0.6*(5.4+10))+(2*0.3*(5.4+10))</f>
        <v>27.72</v>
      </c>
      <c r="I658" s="194">
        <v>0</v>
      </c>
      <c r="J658" s="176">
        <f t="shared" si="14"/>
        <v>0</v>
      </c>
      <c r="L658" s="41"/>
      <c r="M658" s="195"/>
      <c r="N658" s="328"/>
      <c r="O658" s="328"/>
      <c r="P658" s="328"/>
      <c r="Q658" s="328"/>
      <c r="R658" s="328"/>
      <c r="S658" s="328"/>
      <c r="T658" s="197"/>
      <c r="AT658" s="191"/>
      <c r="AU658" s="191"/>
      <c r="AY658" s="191"/>
    </row>
    <row r="659" spans="2:65" s="308" customFormat="1" ht="25.5" customHeight="1" x14ac:dyDescent="0.3">
      <c r="B659" s="169"/>
      <c r="C659" s="170"/>
      <c r="D659" s="170"/>
      <c r="E659" s="171"/>
      <c r="F659" s="172" t="s">
        <v>1401</v>
      </c>
      <c r="G659" s="173" t="s">
        <v>179</v>
      </c>
      <c r="H659" s="313">
        <f>H660</f>
        <v>121</v>
      </c>
      <c r="I659" s="175">
        <v>373.74999999999994</v>
      </c>
      <c r="J659" s="176">
        <f t="shared" si="14"/>
        <v>45223.75</v>
      </c>
      <c r="K659" s="172"/>
      <c r="L659" s="41"/>
      <c r="M659" s="177"/>
      <c r="N659" s="178"/>
      <c r="O659" s="309"/>
      <c r="P659" s="179"/>
      <c r="Q659" s="179"/>
      <c r="R659" s="179"/>
      <c r="S659" s="179"/>
      <c r="T659" s="180"/>
      <c r="AR659" s="24"/>
      <c r="AT659" s="24"/>
      <c r="AU659" s="24"/>
      <c r="AY659" s="24"/>
      <c r="BE659" s="181"/>
      <c r="BF659" s="181"/>
      <c r="BG659" s="181"/>
      <c r="BH659" s="181"/>
      <c r="BI659" s="181"/>
      <c r="BJ659" s="24"/>
      <c r="BK659" s="181"/>
      <c r="BL659" s="24"/>
      <c r="BM659" s="24"/>
    </row>
    <row r="660" spans="2:65" s="12" customFormat="1" x14ac:dyDescent="0.3">
      <c r="B660" s="190"/>
      <c r="D660" s="183"/>
      <c r="E660" s="191"/>
      <c r="F660" s="312" t="s">
        <v>1402</v>
      </c>
      <c r="H660" s="315">
        <f>2*11*5.5</f>
        <v>121</v>
      </c>
      <c r="I660" s="194">
        <v>0</v>
      </c>
      <c r="J660" s="176">
        <f t="shared" si="14"/>
        <v>0</v>
      </c>
      <c r="L660" s="41"/>
      <c r="M660" s="195"/>
      <c r="N660" s="328"/>
      <c r="O660" s="328"/>
      <c r="P660" s="328"/>
      <c r="Q660" s="328"/>
      <c r="R660" s="328"/>
      <c r="S660" s="328"/>
      <c r="T660" s="197"/>
      <c r="AT660" s="191"/>
      <c r="AU660" s="191"/>
      <c r="AY660" s="191"/>
    </row>
    <row r="661" spans="2:65" s="308" customFormat="1" ht="16.5" customHeight="1" x14ac:dyDescent="0.3">
      <c r="B661" s="169"/>
      <c r="C661" s="394"/>
      <c r="D661" s="206"/>
      <c r="E661" s="207"/>
      <c r="F661" s="368" t="s">
        <v>1403</v>
      </c>
      <c r="G661" s="370" t="s">
        <v>141</v>
      </c>
      <c r="H661" s="355">
        <v>0</v>
      </c>
      <c r="I661" s="211">
        <v>0</v>
      </c>
      <c r="J661" s="176">
        <f t="shared" si="14"/>
        <v>0</v>
      </c>
      <c r="K661" s="208"/>
      <c r="L661" s="41"/>
      <c r="M661" s="213"/>
      <c r="N661" s="214"/>
      <c r="O661" s="309"/>
      <c r="P661" s="179"/>
      <c r="Q661" s="179"/>
      <c r="R661" s="179"/>
      <c r="S661" s="179"/>
      <c r="T661" s="180"/>
      <c r="AR661" s="24"/>
      <c r="AT661" s="24"/>
      <c r="AU661" s="24"/>
      <c r="AY661" s="24"/>
      <c r="BE661" s="181"/>
      <c r="BF661" s="181"/>
      <c r="BG661" s="181"/>
      <c r="BH661" s="181"/>
      <c r="BI661" s="181"/>
      <c r="BJ661" s="24"/>
      <c r="BK661" s="181"/>
      <c r="BL661" s="24"/>
      <c r="BM661" s="24"/>
    </row>
    <row r="662" spans="2:65" s="12" customFormat="1" x14ac:dyDescent="0.3">
      <c r="B662" s="190"/>
      <c r="D662" s="183"/>
      <c r="E662" s="191"/>
      <c r="F662" s="312" t="s">
        <v>1541</v>
      </c>
      <c r="H662" s="315">
        <v>0</v>
      </c>
      <c r="I662" s="194">
        <v>0</v>
      </c>
      <c r="L662" s="41"/>
      <c r="M662" s="195"/>
      <c r="N662" s="196"/>
      <c r="O662" s="196"/>
      <c r="P662" s="196"/>
      <c r="Q662" s="196"/>
      <c r="R662" s="196"/>
      <c r="S662" s="196"/>
      <c r="T662" s="197"/>
      <c r="AT662" s="191"/>
      <c r="AU662" s="191"/>
      <c r="AY662" s="191"/>
    </row>
    <row r="663" spans="2:65" s="1" customFormat="1" ht="25.5" customHeight="1" x14ac:dyDescent="0.3">
      <c r="B663" s="169"/>
      <c r="C663" s="170" t="s">
        <v>711</v>
      </c>
      <c r="D663" s="170" t="s">
        <v>138</v>
      </c>
      <c r="E663" s="171" t="s">
        <v>712</v>
      </c>
      <c r="F663" s="172" t="s">
        <v>713</v>
      </c>
      <c r="G663" s="173" t="s">
        <v>179</v>
      </c>
      <c r="H663" s="320">
        <v>113.4</v>
      </c>
      <c r="I663" s="175">
        <v>69</v>
      </c>
      <c r="J663" s="176">
        <f>ROUND(I663*H663,2)</f>
        <v>7824.6</v>
      </c>
      <c r="K663" s="172" t="s">
        <v>142</v>
      </c>
      <c r="L663" s="41"/>
      <c r="M663" s="177" t="s">
        <v>5</v>
      </c>
      <c r="N663" s="178" t="s">
        <v>42</v>
      </c>
      <c r="O663" s="42"/>
      <c r="P663" s="179">
        <f>O663*H663</f>
        <v>0</v>
      </c>
      <c r="Q663" s="179">
        <v>0</v>
      </c>
      <c r="R663" s="179">
        <f>Q663*H663</f>
        <v>0</v>
      </c>
      <c r="S663" s="179">
        <v>0</v>
      </c>
      <c r="T663" s="180">
        <f>S663*H663</f>
        <v>0</v>
      </c>
      <c r="AR663" s="24" t="s">
        <v>204</v>
      </c>
      <c r="AT663" s="24" t="s">
        <v>138</v>
      </c>
      <c r="AU663" s="24" t="s">
        <v>81</v>
      </c>
      <c r="AY663" s="24" t="s">
        <v>136</v>
      </c>
      <c r="BE663" s="181">
        <f>IF(N663="základní",J663,0)</f>
        <v>7824.6</v>
      </c>
      <c r="BF663" s="181">
        <f>IF(N663="snížená",J663,0)</f>
        <v>0</v>
      </c>
      <c r="BG663" s="181">
        <f>IF(N663="zákl. přenesená",J663,0)</f>
        <v>0</v>
      </c>
      <c r="BH663" s="181">
        <f>IF(N663="sníž. přenesená",J663,0)</f>
        <v>0</v>
      </c>
      <c r="BI663" s="181">
        <f>IF(N663="nulová",J663,0)</f>
        <v>0</v>
      </c>
      <c r="BJ663" s="24" t="s">
        <v>79</v>
      </c>
      <c r="BK663" s="181">
        <f>ROUND(I663*H663,2)</f>
        <v>7824.6</v>
      </c>
      <c r="BL663" s="24" t="s">
        <v>204</v>
      </c>
      <c r="BM663" s="24" t="s">
        <v>714</v>
      </c>
    </row>
    <row r="664" spans="2:65" s="12" customFormat="1" x14ac:dyDescent="0.3">
      <c r="B664" s="190"/>
      <c r="D664" s="183" t="s">
        <v>145</v>
      </c>
      <c r="E664" s="191" t="s">
        <v>5</v>
      </c>
      <c r="F664" s="312" t="s">
        <v>1397</v>
      </c>
      <c r="H664" s="315">
        <f>2*5.5*10.2</f>
        <v>112.19999999999999</v>
      </c>
      <c r="I664" s="194">
        <v>0</v>
      </c>
      <c r="L664" s="41"/>
      <c r="M664" s="195"/>
      <c r="N664" s="196"/>
      <c r="O664" s="196"/>
      <c r="P664" s="196"/>
      <c r="Q664" s="196"/>
      <c r="R664" s="196"/>
      <c r="S664" s="196"/>
      <c r="T664" s="197"/>
      <c r="AT664" s="191" t="s">
        <v>145</v>
      </c>
      <c r="AU664" s="191" t="s">
        <v>81</v>
      </c>
      <c r="AV664" s="12" t="s">
        <v>81</v>
      </c>
      <c r="AW664" s="12" t="s">
        <v>35</v>
      </c>
      <c r="AX664" s="12" t="s">
        <v>79</v>
      </c>
      <c r="AY664" s="191" t="s">
        <v>136</v>
      </c>
    </row>
    <row r="665" spans="2:65" s="1" customFormat="1" ht="16.5" customHeight="1" x14ac:dyDescent="0.3">
      <c r="B665" s="169"/>
      <c r="C665" s="206" t="s">
        <v>715</v>
      </c>
      <c r="D665" s="206" t="s">
        <v>355</v>
      </c>
      <c r="E665" s="207" t="s">
        <v>716</v>
      </c>
      <c r="F665" s="208" t="s">
        <v>717</v>
      </c>
      <c r="G665" s="209" t="s">
        <v>141</v>
      </c>
      <c r="H665" s="355">
        <v>1.409</v>
      </c>
      <c r="I665" s="211">
        <v>11385</v>
      </c>
      <c r="J665" s="212">
        <f>ROUND(I665*H665,2)</f>
        <v>16041.47</v>
      </c>
      <c r="K665" s="208" t="s">
        <v>142</v>
      </c>
      <c r="L665" s="41"/>
      <c r="M665" s="213" t="s">
        <v>5</v>
      </c>
      <c r="N665" s="214" t="s">
        <v>42</v>
      </c>
      <c r="O665" s="42"/>
      <c r="P665" s="179">
        <f>O665*H665</f>
        <v>0</v>
      </c>
      <c r="Q665" s="179">
        <v>0.55000000000000004</v>
      </c>
      <c r="R665" s="179">
        <f>Q665*H665</f>
        <v>0.77495000000000003</v>
      </c>
      <c r="S665" s="179">
        <v>0</v>
      </c>
      <c r="T665" s="180">
        <f>S665*H665</f>
        <v>0</v>
      </c>
      <c r="AR665" s="24" t="s">
        <v>283</v>
      </c>
      <c r="AT665" s="24" t="s">
        <v>355</v>
      </c>
      <c r="AU665" s="24" t="s">
        <v>81</v>
      </c>
      <c r="AY665" s="24" t="s">
        <v>136</v>
      </c>
      <c r="BE665" s="181">
        <f>IF(N665="základní",J665,0)</f>
        <v>16041.47</v>
      </c>
      <c r="BF665" s="181">
        <f>IF(N665="snížená",J665,0)</f>
        <v>0</v>
      </c>
      <c r="BG665" s="181">
        <f>IF(N665="zákl. přenesená",J665,0)</f>
        <v>0</v>
      </c>
      <c r="BH665" s="181">
        <f>IF(N665="sníž. přenesená",J665,0)</f>
        <v>0</v>
      </c>
      <c r="BI665" s="181">
        <f>IF(N665="nulová",J665,0)</f>
        <v>0</v>
      </c>
      <c r="BJ665" s="24" t="s">
        <v>79</v>
      </c>
      <c r="BK665" s="181">
        <f>ROUND(I665*H665,2)</f>
        <v>16041.47</v>
      </c>
      <c r="BL665" s="24" t="s">
        <v>204</v>
      </c>
      <c r="BM665" s="24" t="s">
        <v>718</v>
      </c>
    </row>
    <row r="666" spans="2:65" s="12" customFormat="1" x14ac:dyDescent="0.3">
      <c r="B666" s="190"/>
      <c r="D666" s="183" t="s">
        <v>145</v>
      </c>
      <c r="E666" s="314" t="s">
        <v>1399</v>
      </c>
      <c r="F666" s="312" t="s">
        <v>1398</v>
      </c>
      <c r="H666" s="315">
        <f>2*11*5.5*0.06*0.06</f>
        <v>0.43559999999999999</v>
      </c>
      <c r="I666" s="194">
        <v>0</v>
      </c>
      <c r="L666" s="41"/>
      <c r="M666" s="195"/>
      <c r="N666" s="196"/>
      <c r="O666" s="196"/>
      <c r="P666" s="196"/>
      <c r="Q666" s="196"/>
      <c r="R666" s="196"/>
      <c r="S666" s="196"/>
      <c r="T666" s="197"/>
      <c r="AT666" s="191" t="s">
        <v>145</v>
      </c>
      <c r="AU666" s="191" t="s">
        <v>81</v>
      </c>
      <c r="AV666" s="12" t="s">
        <v>81</v>
      </c>
      <c r="AW666" s="12" t="s">
        <v>35</v>
      </c>
      <c r="AX666" s="12" t="s">
        <v>79</v>
      </c>
      <c r="AY666" s="191" t="s">
        <v>136</v>
      </c>
    </row>
    <row r="667" spans="2:65" s="12" customFormat="1" x14ac:dyDescent="0.3">
      <c r="B667" s="190"/>
      <c r="D667" s="183" t="s">
        <v>145</v>
      </c>
      <c r="F667" s="312" t="s">
        <v>1400</v>
      </c>
      <c r="H667" s="315">
        <f>0.436*1.15</f>
        <v>0.50139999999999996</v>
      </c>
      <c r="I667" s="194">
        <v>0</v>
      </c>
      <c r="L667" s="41"/>
      <c r="M667" s="195"/>
      <c r="N667" s="196"/>
      <c r="O667" s="196"/>
      <c r="P667" s="196"/>
      <c r="Q667" s="196"/>
      <c r="R667" s="196"/>
      <c r="S667" s="196"/>
      <c r="T667" s="197"/>
      <c r="AT667" s="191" t="s">
        <v>145</v>
      </c>
      <c r="AU667" s="191" t="s">
        <v>81</v>
      </c>
      <c r="AV667" s="12" t="s">
        <v>81</v>
      </c>
      <c r="AW667" s="12" t="s">
        <v>6</v>
      </c>
      <c r="AX667" s="12" t="s">
        <v>79</v>
      </c>
      <c r="AY667" s="191" t="s">
        <v>136</v>
      </c>
    </row>
    <row r="668" spans="2:65" s="1" customFormat="1" ht="16.5" customHeight="1" x14ac:dyDescent="0.3">
      <c r="B668" s="169"/>
      <c r="C668" s="170" t="s">
        <v>719</v>
      </c>
      <c r="D668" s="170" t="s">
        <v>138</v>
      </c>
      <c r="E668" s="171" t="s">
        <v>720</v>
      </c>
      <c r="F668" s="172" t="s">
        <v>721</v>
      </c>
      <c r="G668" s="173" t="s">
        <v>249</v>
      </c>
      <c r="H668" s="174">
        <v>170.1</v>
      </c>
      <c r="I668" s="175">
        <v>36.799999999999997</v>
      </c>
      <c r="J668" s="176">
        <f>ROUND(I668*H668,2)</f>
        <v>6259.68</v>
      </c>
      <c r="K668" s="172" t="s">
        <v>142</v>
      </c>
      <c r="L668" s="41"/>
      <c r="M668" s="177" t="s">
        <v>5</v>
      </c>
      <c r="N668" s="178" t="s">
        <v>42</v>
      </c>
      <c r="O668" s="42"/>
      <c r="P668" s="179">
        <f>O668*H668</f>
        <v>0</v>
      </c>
      <c r="Q668" s="179">
        <v>0</v>
      </c>
      <c r="R668" s="179">
        <f>Q668*H668</f>
        <v>0</v>
      </c>
      <c r="S668" s="179">
        <v>0</v>
      </c>
      <c r="T668" s="180">
        <f>S668*H668</f>
        <v>0</v>
      </c>
      <c r="AR668" s="24" t="s">
        <v>204</v>
      </c>
      <c r="AT668" s="24" t="s">
        <v>138</v>
      </c>
      <c r="AU668" s="24" t="s">
        <v>81</v>
      </c>
      <c r="AY668" s="24" t="s">
        <v>136</v>
      </c>
      <c r="BE668" s="181">
        <f>IF(N668="základní",J668,0)</f>
        <v>6259.68</v>
      </c>
      <c r="BF668" s="181">
        <f>IF(N668="snížená",J668,0)</f>
        <v>0</v>
      </c>
      <c r="BG668" s="181">
        <f>IF(N668="zákl. přenesená",J668,0)</f>
        <v>0</v>
      </c>
      <c r="BH668" s="181">
        <f>IF(N668="sníž. přenesená",J668,0)</f>
        <v>0</v>
      </c>
      <c r="BI668" s="181">
        <f>IF(N668="nulová",J668,0)</f>
        <v>0</v>
      </c>
      <c r="BJ668" s="24" t="s">
        <v>79</v>
      </c>
      <c r="BK668" s="181">
        <f>ROUND(I668*H668,2)</f>
        <v>6259.68</v>
      </c>
      <c r="BL668" s="24" t="s">
        <v>204</v>
      </c>
      <c r="BM668" s="24" t="s">
        <v>722</v>
      </c>
    </row>
    <row r="669" spans="2:65" s="12" customFormat="1" x14ac:dyDescent="0.3">
      <c r="B669" s="190"/>
      <c r="D669" s="183" t="s">
        <v>145</v>
      </c>
      <c r="E669" s="191" t="s">
        <v>5</v>
      </c>
      <c r="F669" s="192"/>
      <c r="H669" s="193">
        <v>170.1</v>
      </c>
      <c r="I669" s="194">
        <v>0</v>
      </c>
      <c r="L669" s="41"/>
      <c r="M669" s="195"/>
      <c r="N669" s="196"/>
      <c r="O669" s="196"/>
      <c r="P669" s="196"/>
      <c r="Q669" s="196"/>
      <c r="R669" s="196"/>
      <c r="S669" s="196"/>
      <c r="T669" s="197"/>
      <c r="AT669" s="191" t="s">
        <v>145</v>
      </c>
      <c r="AU669" s="191" t="s">
        <v>81</v>
      </c>
      <c r="AV669" s="12" t="s">
        <v>81</v>
      </c>
      <c r="AW669" s="12" t="s">
        <v>35</v>
      </c>
      <c r="AX669" s="12" t="s">
        <v>79</v>
      </c>
      <c r="AY669" s="191" t="s">
        <v>136</v>
      </c>
    </row>
    <row r="670" spans="2:65" s="1" customFormat="1" ht="16.5" customHeight="1" x14ac:dyDescent="0.3">
      <c r="B670" s="169"/>
      <c r="C670" s="206" t="s">
        <v>723</v>
      </c>
      <c r="D670" s="206" t="s">
        <v>355</v>
      </c>
      <c r="E670" s="207" t="s">
        <v>716</v>
      </c>
      <c r="F670" s="208" t="s">
        <v>717</v>
      </c>
      <c r="G670" s="209" t="s">
        <v>141</v>
      </c>
      <c r="H670" s="210">
        <v>0.46899999999999997</v>
      </c>
      <c r="I670" s="211">
        <v>11385</v>
      </c>
      <c r="J670" s="212">
        <f>ROUND(I670*H670,2)</f>
        <v>5339.57</v>
      </c>
      <c r="K670" s="208" t="s">
        <v>142</v>
      </c>
      <c r="L670" s="41"/>
      <c r="M670" s="213" t="s">
        <v>5</v>
      </c>
      <c r="N670" s="214" t="s">
        <v>42</v>
      </c>
      <c r="O670" s="42"/>
      <c r="P670" s="179">
        <f>O670*H670</f>
        <v>0</v>
      </c>
      <c r="Q670" s="179">
        <v>0.55000000000000004</v>
      </c>
      <c r="R670" s="179">
        <f>Q670*H670</f>
        <v>0.25795000000000001</v>
      </c>
      <c r="S670" s="179">
        <v>0</v>
      </c>
      <c r="T670" s="180">
        <f>S670*H670</f>
        <v>0</v>
      </c>
      <c r="AR670" s="24" t="s">
        <v>283</v>
      </c>
      <c r="AT670" s="24" t="s">
        <v>355</v>
      </c>
      <c r="AU670" s="24" t="s">
        <v>81</v>
      </c>
      <c r="AY670" s="24" t="s">
        <v>136</v>
      </c>
      <c r="BE670" s="181">
        <f>IF(N670="základní",J670,0)</f>
        <v>5339.57</v>
      </c>
      <c r="BF670" s="181">
        <f>IF(N670="snížená",J670,0)</f>
        <v>0</v>
      </c>
      <c r="BG670" s="181">
        <f>IF(N670="zákl. přenesená",J670,0)</f>
        <v>0</v>
      </c>
      <c r="BH670" s="181">
        <f>IF(N670="sníž. přenesená",J670,0)</f>
        <v>0</v>
      </c>
      <c r="BI670" s="181">
        <f>IF(N670="nulová",J670,0)</f>
        <v>0</v>
      </c>
      <c r="BJ670" s="24" t="s">
        <v>79</v>
      </c>
      <c r="BK670" s="181">
        <f>ROUND(I670*H670,2)</f>
        <v>5339.57</v>
      </c>
      <c r="BL670" s="24" t="s">
        <v>204</v>
      </c>
      <c r="BM670" s="24" t="s">
        <v>724</v>
      </c>
    </row>
    <row r="671" spans="2:65" s="12" customFormat="1" x14ac:dyDescent="0.3">
      <c r="B671" s="190"/>
      <c r="D671" s="183" t="s">
        <v>145</v>
      </c>
      <c r="E671" s="191" t="s">
        <v>5</v>
      </c>
      <c r="F671" s="192" t="s">
        <v>725</v>
      </c>
      <c r="H671" s="193">
        <v>0.40799999999999997</v>
      </c>
      <c r="I671" s="194">
        <v>0</v>
      </c>
      <c r="L671" s="41"/>
      <c r="M671" s="195"/>
      <c r="N671" s="196"/>
      <c r="O671" s="196"/>
      <c r="P671" s="196"/>
      <c r="Q671" s="196"/>
      <c r="R671" s="196"/>
      <c r="S671" s="196"/>
      <c r="T671" s="197"/>
      <c r="AT671" s="191" t="s">
        <v>145</v>
      </c>
      <c r="AU671" s="191" t="s">
        <v>81</v>
      </c>
      <c r="AV671" s="12" t="s">
        <v>81</v>
      </c>
      <c r="AW671" s="12" t="s">
        <v>35</v>
      </c>
      <c r="AX671" s="12" t="s">
        <v>79</v>
      </c>
      <c r="AY671" s="191" t="s">
        <v>136</v>
      </c>
    </row>
    <row r="672" spans="2:65" s="12" customFormat="1" x14ac:dyDescent="0.3">
      <c r="B672" s="190"/>
      <c r="D672" s="183" t="s">
        <v>145</v>
      </c>
      <c r="F672" s="192" t="s">
        <v>726</v>
      </c>
      <c r="H672" s="193">
        <v>0.46899999999999997</v>
      </c>
      <c r="I672" s="194">
        <v>0</v>
      </c>
      <c r="L672" s="41"/>
      <c r="M672" s="195"/>
      <c r="N672" s="196"/>
      <c r="O672" s="196"/>
      <c r="P672" s="196"/>
      <c r="Q672" s="196"/>
      <c r="R672" s="196"/>
      <c r="S672" s="196"/>
      <c r="T672" s="197"/>
      <c r="AT672" s="191" t="s">
        <v>145</v>
      </c>
      <c r="AU672" s="191" t="s">
        <v>81</v>
      </c>
      <c r="AV672" s="12" t="s">
        <v>81</v>
      </c>
      <c r="AW672" s="12" t="s">
        <v>6</v>
      </c>
      <c r="AX672" s="12" t="s">
        <v>79</v>
      </c>
      <c r="AY672" s="191" t="s">
        <v>136</v>
      </c>
    </row>
    <row r="673" spans="2:65" s="1" customFormat="1" ht="16.5" customHeight="1" x14ac:dyDescent="0.3">
      <c r="B673" s="169"/>
      <c r="C673" s="170" t="s">
        <v>727</v>
      </c>
      <c r="D673" s="170" t="s">
        <v>138</v>
      </c>
      <c r="E673" s="171" t="s">
        <v>728</v>
      </c>
      <c r="F673" s="172" t="s">
        <v>729</v>
      </c>
      <c r="G673" s="173" t="s">
        <v>141</v>
      </c>
      <c r="H673" s="313">
        <v>5.2480000000000002</v>
      </c>
      <c r="I673" s="175">
        <v>1437.5</v>
      </c>
      <c r="J673" s="176">
        <f>ROUND(I673*H673,2)</f>
        <v>7544</v>
      </c>
      <c r="K673" s="172" t="s">
        <v>142</v>
      </c>
      <c r="L673" s="41"/>
      <c r="M673" s="177" t="s">
        <v>5</v>
      </c>
      <c r="N673" s="178" t="s">
        <v>42</v>
      </c>
      <c r="O673" s="42"/>
      <c r="P673" s="179">
        <f>O673*H673</f>
        <v>0</v>
      </c>
      <c r="Q673" s="179">
        <v>2.3369999999999998E-2</v>
      </c>
      <c r="R673" s="179">
        <f>Q673*H673</f>
        <v>0.12264575999999999</v>
      </c>
      <c r="S673" s="179">
        <v>0</v>
      </c>
      <c r="T673" s="180">
        <f>S673*H673</f>
        <v>0</v>
      </c>
      <c r="AR673" s="24" t="s">
        <v>204</v>
      </c>
      <c r="AT673" s="24" t="s">
        <v>138</v>
      </c>
      <c r="AU673" s="24" t="s">
        <v>81</v>
      </c>
      <c r="AY673" s="24" t="s">
        <v>136</v>
      </c>
      <c r="BE673" s="181">
        <f>IF(N673="základní",J673,0)</f>
        <v>7544</v>
      </c>
      <c r="BF673" s="181">
        <f>IF(N673="snížená",J673,0)</f>
        <v>0</v>
      </c>
      <c r="BG673" s="181">
        <f>IF(N673="zákl. přenesená",J673,0)</f>
        <v>0</v>
      </c>
      <c r="BH673" s="181">
        <f>IF(N673="sníž. přenesená",J673,0)</f>
        <v>0</v>
      </c>
      <c r="BI673" s="181">
        <f>IF(N673="nulová",J673,0)</f>
        <v>0</v>
      </c>
      <c r="BJ673" s="24" t="s">
        <v>79</v>
      </c>
      <c r="BK673" s="181">
        <f>ROUND(I673*H673,2)</f>
        <v>7544</v>
      </c>
      <c r="BL673" s="24" t="s">
        <v>204</v>
      </c>
      <c r="BM673" s="24" t="s">
        <v>730</v>
      </c>
    </row>
    <row r="674" spans="2:65" s="12" customFormat="1" x14ac:dyDescent="0.3">
      <c r="B674" s="190"/>
      <c r="D674" s="183"/>
      <c r="F674" s="312" t="s">
        <v>1404</v>
      </c>
      <c r="H674" s="315">
        <f>0.501+3.479+3.237</f>
        <v>7.2170000000000005</v>
      </c>
      <c r="I674" s="194">
        <v>0</v>
      </c>
      <c r="L674" s="41"/>
      <c r="M674" s="195"/>
      <c r="N674" s="196"/>
      <c r="O674" s="196"/>
      <c r="P674" s="196"/>
      <c r="Q674" s="196"/>
      <c r="R674" s="196"/>
      <c r="S674" s="196"/>
      <c r="T674" s="197"/>
      <c r="AT674" s="191"/>
      <c r="AU674" s="191"/>
      <c r="AY674" s="191"/>
    </row>
    <row r="675" spans="2:65" s="1" customFormat="1" ht="25.5" customHeight="1" x14ac:dyDescent="0.3">
      <c r="B675" s="169"/>
      <c r="C675" s="170" t="s">
        <v>731</v>
      </c>
      <c r="D675" s="170" t="s">
        <v>138</v>
      </c>
      <c r="E675" s="171" t="s">
        <v>732</v>
      </c>
      <c r="F675" s="172" t="s">
        <v>733</v>
      </c>
      <c r="G675" s="173" t="s">
        <v>179</v>
      </c>
      <c r="H675" s="313">
        <v>62.421999999999997</v>
      </c>
      <c r="I675" s="175">
        <v>379.49999999999994</v>
      </c>
      <c r="J675" s="176">
        <f>ROUND(I675*H675,2)</f>
        <v>23689.15</v>
      </c>
      <c r="K675" s="172" t="s">
        <v>142</v>
      </c>
      <c r="L675" s="41"/>
      <c r="M675" s="177" t="s">
        <v>5</v>
      </c>
      <c r="N675" s="178" t="s">
        <v>42</v>
      </c>
      <c r="O675" s="42"/>
      <c r="P675" s="179">
        <f>O675*H675</f>
        <v>0</v>
      </c>
      <c r="Q675" s="179">
        <v>0</v>
      </c>
      <c r="R675" s="179">
        <f>Q675*H675</f>
        <v>0</v>
      </c>
      <c r="S675" s="179">
        <v>0</v>
      </c>
      <c r="T675" s="180">
        <f>S675*H675</f>
        <v>0</v>
      </c>
      <c r="AR675" s="24" t="s">
        <v>204</v>
      </c>
      <c r="AT675" s="24" t="s">
        <v>138</v>
      </c>
      <c r="AU675" s="24" t="s">
        <v>81</v>
      </c>
      <c r="AY675" s="24" t="s">
        <v>136</v>
      </c>
      <c r="BE675" s="181">
        <f>IF(N675="základní",J675,0)</f>
        <v>23689.15</v>
      </c>
      <c r="BF675" s="181">
        <f>IF(N675="snížená",J675,0)</f>
        <v>0</v>
      </c>
      <c r="BG675" s="181">
        <f>IF(N675="zákl. přenesená",J675,0)</f>
        <v>0</v>
      </c>
      <c r="BH675" s="181">
        <f>IF(N675="sníž. přenesená",J675,0)</f>
        <v>0</v>
      </c>
      <c r="BI675" s="181">
        <f>IF(N675="nulová",J675,0)</f>
        <v>0</v>
      </c>
      <c r="BJ675" s="24" t="s">
        <v>79</v>
      </c>
      <c r="BK675" s="181">
        <f>ROUND(I675*H675,2)</f>
        <v>23689.15</v>
      </c>
      <c r="BL675" s="24" t="s">
        <v>204</v>
      </c>
      <c r="BM675" s="24" t="s">
        <v>734</v>
      </c>
    </row>
    <row r="676" spans="2:65" s="12" customFormat="1" x14ac:dyDescent="0.3">
      <c r="B676" s="190"/>
      <c r="D676" s="183" t="s">
        <v>145</v>
      </c>
      <c r="E676" s="314" t="s">
        <v>1405</v>
      </c>
      <c r="F676" s="312" t="s">
        <v>1407</v>
      </c>
      <c r="H676" s="315">
        <f>4.1*4.5</f>
        <v>18.45</v>
      </c>
      <c r="I676" s="194">
        <v>0</v>
      </c>
      <c r="L676" s="41"/>
      <c r="M676" s="195"/>
      <c r="N676" s="196"/>
      <c r="O676" s="196"/>
      <c r="P676" s="196"/>
      <c r="Q676" s="196"/>
      <c r="R676" s="196"/>
      <c r="S676" s="196"/>
      <c r="T676" s="197"/>
      <c r="AT676" s="191" t="s">
        <v>145</v>
      </c>
      <c r="AU676" s="191" t="s">
        <v>81</v>
      </c>
      <c r="AV676" s="12" t="s">
        <v>81</v>
      </c>
      <c r="AW676" s="12" t="s">
        <v>35</v>
      </c>
      <c r="AX676" s="12" t="s">
        <v>71</v>
      </c>
      <c r="AY676" s="191" t="s">
        <v>136</v>
      </c>
    </row>
    <row r="677" spans="2:65" s="12" customFormat="1" x14ac:dyDescent="0.3">
      <c r="B677" s="190"/>
      <c r="D677" s="183" t="s">
        <v>145</v>
      </c>
      <c r="E677" s="314" t="s">
        <v>1348</v>
      </c>
      <c r="F677" s="312" t="s">
        <v>1406</v>
      </c>
      <c r="H677" s="315">
        <f>3*2.7*1.7</f>
        <v>13.770000000000001</v>
      </c>
      <c r="I677" s="194">
        <v>0</v>
      </c>
      <c r="L677" s="41"/>
      <c r="M677" s="195"/>
      <c r="N677" s="196"/>
      <c r="O677" s="196"/>
      <c r="P677" s="196"/>
      <c r="Q677" s="196"/>
      <c r="R677" s="196"/>
      <c r="S677" s="196"/>
      <c r="T677" s="197"/>
      <c r="AT677" s="191" t="s">
        <v>145</v>
      </c>
      <c r="AU677" s="191" t="s">
        <v>81</v>
      </c>
      <c r="AV677" s="12" t="s">
        <v>81</v>
      </c>
      <c r="AW677" s="12" t="s">
        <v>35</v>
      </c>
      <c r="AX677" s="12" t="s">
        <v>71</v>
      </c>
      <c r="AY677" s="191" t="s">
        <v>136</v>
      </c>
    </row>
    <row r="678" spans="2:65" s="1" customFormat="1" ht="16.5" customHeight="1" x14ac:dyDescent="0.3">
      <c r="B678" s="169"/>
      <c r="C678" s="394" t="s">
        <v>735</v>
      </c>
      <c r="D678" s="206" t="s">
        <v>355</v>
      </c>
      <c r="E678" s="207" t="s">
        <v>736</v>
      </c>
      <c r="F678" s="367" t="s">
        <v>1408</v>
      </c>
      <c r="G678" s="209" t="s">
        <v>249</v>
      </c>
      <c r="H678" s="355">
        <v>199.75</v>
      </c>
      <c r="I678" s="211">
        <v>103.49999999999999</v>
      </c>
      <c r="J678" s="212">
        <f>ROUND(I678*H678,2)</f>
        <v>20674.13</v>
      </c>
      <c r="K678" s="208" t="s">
        <v>142</v>
      </c>
      <c r="L678" s="41"/>
      <c r="M678" s="213" t="s">
        <v>5</v>
      </c>
      <c r="N678" s="214" t="s">
        <v>42</v>
      </c>
      <c r="O678" s="42"/>
      <c r="P678" s="179">
        <f>O678*H678</f>
        <v>0</v>
      </c>
      <c r="Q678" s="179">
        <v>3.15E-3</v>
      </c>
      <c r="R678" s="179">
        <f>Q678*H678</f>
        <v>0.62921249999999995</v>
      </c>
      <c r="S678" s="179">
        <v>0</v>
      </c>
      <c r="T678" s="180">
        <f>S678*H678</f>
        <v>0</v>
      </c>
      <c r="AR678" s="24" t="s">
        <v>283</v>
      </c>
      <c r="AT678" s="24" t="s">
        <v>355</v>
      </c>
      <c r="AU678" s="24" t="s">
        <v>81</v>
      </c>
      <c r="AY678" s="24" t="s">
        <v>136</v>
      </c>
      <c r="BE678" s="181">
        <f>IF(N678="základní",J678,0)</f>
        <v>20674.13</v>
      </c>
      <c r="BF678" s="181">
        <f>IF(N678="snížená",J678,0)</f>
        <v>0</v>
      </c>
      <c r="BG678" s="181">
        <f>IF(N678="zákl. přenesená",J678,0)</f>
        <v>0</v>
      </c>
      <c r="BH678" s="181">
        <f>IF(N678="sníž. přenesená",J678,0)</f>
        <v>0</v>
      </c>
      <c r="BI678" s="181">
        <f>IF(N678="nulová",J678,0)</f>
        <v>0</v>
      </c>
      <c r="BJ678" s="24" t="s">
        <v>79</v>
      </c>
      <c r="BK678" s="181">
        <f>ROUND(I678*H678,2)</f>
        <v>20674.13</v>
      </c>
      <c r="BL678" s="24" t="s">
        <v>204</v>
      </c>
      <c r="BM678" s="24" t="s">
        <v>737</v>
      </c>
    </row>
    <row r="679" spans="2:65" s="12" customFormat="1" x14ac:dyDescent="0.3">
      <c r="B679" s="190"/>
      <c r="D679" s="183" t="s">
        <v>145</v>
      </c>
      <c r="F679" s="312" t="s">
        <v>1542</v>
      </c>
      <c r="H679" s="315">
        <f>32.22*2.5*1.1</f>
        <v>88.605000000000004</v>
      </c>
      <c r="I679" s="194">
        <v>0</v>
      </c>
      <c r="L679" s="41"/>
      <c r="M679" s="195"/>
      <c r="N679" s="196"/>
      <c r="O679" s="196"/>
      <c r="P679" s="196"/>
      <c r="Q679" s="196"/>
      <c r="R679" s="196"/>
      <c r="S679" s="196"/>
      <c r="T679" s="197"/>
      <c r="AT679" s="191" t="s">
        <v>145</v>
      </c>
      <c r="AU679" s="191" t="s">
        <v>81</v>
      </c>
      <c r="AV679" s="12" t="s">
        <v>81</v>
      </c>
      <c r="AW679" s="12" t="s">
        <v>6</v>
      </c>
      <c r="AX679" s="12" t="s">
        <v>79</v>
      </c>
      <c r="AY679" s="191" t="s">
        <v>136</v>
      </c>
    </row>
    <row r="680" spans="2:65" s="1" customFormat="1" ht="25.5" customHeight="1" x14ac:dyDescent="0.3">
      <c r="B680" s="169"/>
      <c r="C680" s="170" t="s">
        <v>738</v>
      </c>
      <c r="D680" s="170" t="s">
        <v>138</v>
      </c>
      <c r="E680" s="171" t="s">
        <v>739</v>
      </c>
      <c r="F680" s="172" t="s">
        <v>740</v>
      </c>
      <c r="G680" s="173" t="s">
        <v>249</v>
      </c>
      <c r="H680" s="320">
        <v>199.75</v>
      </c>
      <c r="I680" s="175">
        <v>28.749999999999996</v>
      </c>
      <c r="J680" s="176">
        <f>ROUND(I680*H680,2)</f>
        <v>5742.81</v>
      </c>
      <c r="K680" s="172" t="s">
        <v>142</v>
      </c>
      <c r="L680" s="41"/>
      <c r="M680" s="177" t="s">
        <v>5</v>
      </c>
      <c r="N680" s="178" t="s">
        <v>42</v>
      </c>
      <c r="O680" s="42"/>
      <c r="P680" s="179">
        <f>O680*H680</f>
        <v>0</v>
      </c>
      <c r="Q680" s="179">
        <v>1.1999999999999999E-3</v>
      </c>
      <c r="R680" s="179">
        <f>Q680*H680</f>
        <v>0.23969999999999997</v>
      </c>
      <c r="S680" s="179">
        <v>0</v>
      </c>
      <c r="T680" s="180">
        <f>S680*H680</f>
        <v>0</v>
      </c>
      <c r="AR680" s="24" t="s">
        <v>204</v>
      </c>
      <c r="AT680" s="24" t="s">
        <v>138</v>
      </c>
      <c r="AU680" s="24" t="s">
        <v>81</v>
      </c>
      <c r="AY680" s="24" t="s">
        <v>136</v>
      </c>
      <c r="BE680" s="181">
        <f>IF(N680="základní",J680,0)</f>
        <v>5742.81</v>
      </c>
      <c r="BF680" s="181">
        <f>IF(N680="snížená",J680,0)</f>
        <v>0</v>
      </c>
      <c r="BG680" s="181">
        <f>IF(N680="zákl. přenesená",J680,0)</f>
        <v>0</v>
      </c>
      <c r="BH680" s="181">
        <f>IF(N680="sníž. přenesená",J680,0)</f>
        <v>0</v>
      </c>
      <c r="BI680" s="181">
        <f>IF(N680="nulová",J680,0)</f>
        <v>0</v>
      </c>
      <c r="BJ680" s="24" t="s">
        <v>79</v>
      </c>
      <c r="BK680" s="181">
        <f>ROUND(I680*H680,2)</f>
        <v>5742.81</v>
      </c>
      <c r="BL680" s="24" t="s">
        <v>204</v>
      </c>
      <c r="BM680" s="24" t="s">
        <v>741</v>
      </c>
    </row>
    <row r="681" spans="2:65" s="1" customFormat="1" x14ac:dyDescent="0.3">
      <c r="B681" s="41"/>
      <c r="D681" s="183" t="s">
        <v>406</v>
      </c>
      <c r="F681" s="373">
        <v>80.55</v>
      </c>
      <c r="H681" s="372">
        <v>80.55</v>
      </c>
      <c r="I681" s="224">
        <v>0</v>
      </c>
      <c r="L681" s="41"/>
      <c r="M681" s="225"/>
      <c r="N681" s="42"/>
      <c r="O681" s="42"/>
      <c r="P681" s="42"/>
      <c r="Q681" s="42"/>
      <c r="R681" s="42"/>
      <c r="S681" s="42"/>
      <c r="T681" s="70"/>
      <c r="AT681" s="24" t="s">
        <v>406</v>
      </c>
      <c r="AU681" s="24" t="s">
        <v>81</v>
      </c>
    </row>
    <row r="682" spans="2:65" s="1" customFormat="1" ht="25.5" customHeight="1" x14ac:dyDescent="0.3">
      <c r="B682" s="169"/>
      <c r="C682" s="170" t="s">
        <v>742</v>
      </c>
      <c r="D682" s="170" t="s">
        <v>138</v>
      </c>
      <c r="E682" s="171" t="s">
        <v>743</v>
      </c>
      <c r="F682" s="172" t="s">
        <v>744</v>
      </c>
      <c r="G682" s="173" t="s">
        <v>179</v>
      </c>
      <c r="H682" s="320">
        <v>62.421999999999997</v>
      </c>
      <c r="I682" s="175">
        <v>529</v>
      </c>
      <c r="J682" s="176">
        <f>ROUND(I682*H682,2)</f>
        <v>33021.24</v>
      </c>
      <c r="K682" s="172" t="s">
        <v>142</v>
      </c>
      <c r="L682" s="41"/>
      <c r="M682" s="177" t="s">
        <v>5</v>
      </c>
      <c r="N682" s="178" t="s">
        <v>42</v>
      </c>
      <c r="O682" s="42"/>
      <c r="P682" s="179">
        <f>O682*H682</f>
        <v>0</v>
      </c>
      <c r="Q682" s="179">
        <v>4.0000000000000003E-5</v>
      </c>
      <c r="R682" s="179">
        <f>Q682*H682</f>
        <v>2.4968799999999999E-3</v>
      </c>
      <c r="S682" s="179">
        <v>0</v>
      </c>
      <c r="T682" s="180">
        <f>S682*H682</f>
        <v>0</v>
      </c>
      <c r="AR682" s="24" t="s">
        <v>204</v>
      </c>
      <c r="AT682" s="24" t="s">
        <v>138</v>
      </c>
      <c r="AU682" s="24" t="s">
        <v>81</v>
      </c>
      <c r="AY682" s="24" t="s">
        <v>136</v>
      </c>
      <c r="BE682" s="181">
        <f>IF(N682="základní",J682,0)</f>
        <v>33021.24</v>
      </c>
      <c r="BF682" s="181">
        <f>IF(N682="snížená",J682,0)</f>
        <v>0</v>
      </c>
      <c r="BG682" s="181">
        <f>IF(N682="zákl. přenesená",J682,0)</f>
        <v>0</v>
      </c>
      <c r="BH682" s="181">
        <f>IF(N682="sníž. přenesená",J682,0)</f>
        <v>0</v>
      </c>
      <c r="BI682" s="181">
        <f>IF(N682="nulová",J682,0)</f>
        <v>0</v>
      </c>
      <c r="BJ682" s="24" t="s">
        <v>79</v>
      </c>
      <c r="BK682" s="181">
        <f>ROUND(I682*H682,2)</f>
        <v>33021.24</v>
      </c>
      <c r="BL682" s="24" t="s">
        <v>204</v>
      </c>
      <c r="BM682" s="24" t="s">
        <v>745</v>
      </c>
    </row>
    <row r="683" spans="2:65" s="12" customFormat="1" x14ac:dyDescent="0.3">
      <c r="B683" s="190"/>
      <c r="D683" s="183" t="s">
        <v>145</v>
      </c>
      <c r="E683" s="314" t="s">
        <v>1405</v>
      </c>
      <c r="F683" s="312" t="s">
        <v>1407</v>
      </c>
      <c r="H683" s="315">
        <f>4.1*4.5</f>
        <v>18.45</v>
      </c>
      <c r="I683" s="194">
        <v>0</v>
      </c>
      <c r="L683" s="41"/>
      <c r="M683" s="195"/>
      <c r="N683" s="196"/>
      <c r="O683" s="196"/>
      <c r="P683" s="196"/>
      <c r="Q683" s="196"/>
      <c r="R683" s="196"/>
      <c r="S683" s="196"/>
      <c r="T683" s="197"/>
      <c r="AT683" s="191" t="s">
        <v>145</v>
      </c>
      <c r="AU683" s="191" t="s">
        <v>81</v>
      </c>
      <c r="AV683" s="12" t="s">
        <v>81</v>
      </c>
      <c r="AW683" s="12" t="s">
        <v>35</v>
      </c>
      <c r="AX683" s="12" t="s">
        <v>71</v>
      </c>
      <c r="AY683" s="191" t="s">
        <v>136</v>
      </c>
    </row>
    <row r="684" spans="2:65" s="12" customFormat="1" x14ac:dyDescent="0.3">
      <c r="B684" s="190"/>
      <c r="D684" s="183" t="s">
        <v>145</v>
      </c>
      <c r="E684" s="314" t="s">
        <v>1348</v>
      </c>
      <c r="F684" s="312" t="s">
        <v>1406</v>
      </c>
      <c r="H684" s="315">
        <f>3*2.7*1.7</f>
        <v>13.770000000000001</v>
      </c>
      <c r="I684" s="194">
        <v>0</v>
      </c>
      <c r="L684" s="41"/>
      <c r="M684" s="195"/>
      <c r="N684" s="196"/>
      <c r="O684" s="196"/>
      <c r="P684" s="196"/>
      <c r="Q684" s="196"/>
      <c r="R684" s="196"/>
      <c r="S684" s="196"/>
      <c r="T684" s="197"/>
      <c r="AT684" s="191" t="s">
        <v>145</v>
      </c>
      <c r="AU684" s="191" t="s">
        <v>81</v>
      </c>
      <c r="AV684" s="12" t="s">
        <v>81</v>
      </c>
      <c r="AW684" s="12" t="s">
        <v>35</v>
      </c>
      <c r="AX684" s="12" t="s">
        <v>71</v>
      </c>
      <c r="AY684" s="191" t="s">
        <v>136</v>
      </c>
    </row>
    <row r="685" spans="2:65" s="1" customFormat="1" ht="16.5" customHeight="1" x14ac:dyDescent="0.3">
      <c r="B685" s="169"/>
      <c r="C685" s="394" t="s">
        <v>746</v>
      </c>
      <c r="D685" s="206" t="s">
        <v>355</v>
      </c>
      <c r="E685" s="207" t="s">
        <v>747</v>
      </c>
      <c r="F685" s="208" t="s">
        <v>748</v>
      </c>
      <c r="G685" s="209" t="s">
        <v>179</v>
      </c>
      <c r="H685" s="355">
        <v>68.664000000000001</v>
      </c>
      <c r="I685" s="211">
        <v>896.99999999999989</v>
      </c>
      <c r="J685" s="212">
        <f>ROUND(I685*H685,2)</f>
        <v>61591.61</v>
      </c>
      <c r="K685" s="208" t="s">
        <v>142</v>
      </c>
      <c r="L685" s="41"/>
      <c r="M685" s="213" t="s">
        <v>5</v>
      </c>
      <c r="N685" s="214" t="s">
        <v>42</v>
      </c>
      <c r="O685" s="42"/>
      <c r="P685" s="179">
        <f>O685*H685</f>
        <v>0</v>
      </c>
      <c r="Q685" s="179">
        <v>1.8700000000000001E-2</v>
      </c>
      <c r="R685" s="179">
        <f>Q685*H685</f>
        <v>1.2840168000000001</v>
      </c>
      <c r="S685" s="179">
        <v>0</v>
      </c>
      <c r="T685" s="180">
        <f>S685*H685</f>
        <v>0</v>
      </c>
      <c r="AR685" s="24" t="s">
        <v>283</v>
      </c>
      <c r="AT685" s="24" t="s">
        <v>355</v>
      </c>
      <c r="AU685" s="24" t="s">
        <v>81</v>
      </c>
      <c r="AY685" s="24" t="s">
        <v>136</v>
      </c>
      <c r="BE685" s="181">
        <f>IF(N685="základní",J685,0)</f>
        <v>61591.61</v>
      </c>
      <c r="BF685" s="181">
        <f>IF(N685="snížená",J685,0)</f>
        <v>0</v>
      </c>
      <c r="BG685" s="181">
        <f>IF(N685="zákl. přenesená",J685,0)</f>
        <v>0</v>
      </c>
      <c r="BH685" s="181">
        <f>IF(N685="sníž. přenesená",J685,0)</f>
        <v>0</v>
      </c>
      <c r="BI685" s="181">
        <f>IF(N685="nulová",J685,0)</f>
        <v>0</v>
      </c>
      <c r="BJ685" s="24" t="s">
        <v>79</v>
      </c>
      <c r="BK685" s="181">
        <f>ROUND(I685*H685,2)</f>
        <v>61591.61</v>
      </c>
      <c r="BL685" s="24" t="s">
        <v>204</v>
      </c>
      <c r="BM685" s="24" t="s">
        <v>749</v>
      </c>
    </row>
    <row r="686" spans="2:65" s="12" customFormat="1" x14ac:dyDescent="0.3">
      <c r="B686" s="190"/>
      <c r="D686" s="183" t="s">
        <v>145</v>
      </c>
      <c r="F686" s="312" t="s">
        <v>1543</v>
      </c>
      <c r="H686" s="315">
        <f>32.22*1.02</f>
        <v>32.864399999999996</v>
      </c>
      <c r="I686" s="194">
        <v>0</v>
      </c>
      <c r="L686" s="41"/>
      <c r="M686" s="195"/>
      <c r="N686" s="196"/>
      <c r="O686" s="196"/>
      <c r="P686" s="196"/>
      <c r="Q686" s="196"/>
      <c r="R686" s="196"/>
      <c r="S686" s="196"/>
      <c r="T686" s="197"/>
      <c r="AT686" s="191" t="s">
        <v>145</v>
      </c>
      <c r="AU686" s="191" t="s">
        <v>81</v>
      </c>
      <c r="AV686" s="12" t="s">
        <v>81</v>
      </c>
      <c r="AW686" s="12" t="s">
        <v>6</v>
      </c>
      <c r="AX686" s="12" t="s">
        <v>79</v>
      </c>
      <c r="AY686" s="191" t="s">
        <v>136</v>
      </c>
    </row>
    <row r="687" spans="2:65" s="1" customFormat="1" ht="16.5" customHeight="1" x14ac:dyDescent="0.3">
      <c r="B687" s="169"/>
      <c r="C687" s="170" t="s">
        <v>750</v>
      </c>
      <c r="D687" s="170" t="s">
        <v>138</v>
      </c>
      <c r="E687" s="171" t="s">
        <v>751</v>
      </c>
      <c r="F687" s="172" t="s">
        <v>752</v>
      </c>
      <c r="G687" s="173" t="s">
        <v>179</v>
      </c>
      <c r="H687" s="320">
        <f>H682</f>
        <v>62.421999999999997</v>
      </c>
      <c r="I687" s="175">
        <v>149.5</v>
      </c>
      <c r="J687" s="176">
        <f>ROUND(I687*H687,2)</f>
        <v>9332.09</v>
      </c>
      <c r="K687" s="172" t="s">
        <v>142</v>
      </c>
      <c r="L687" s="41"/>
      <c r="M687" s="177" t="s">
        <v>5</v>
      </c>
      <c r="N687" s="178" t="s">
        <v>42</v>
      </c>
      <c r="O687" s="42"/>
      <c r="P687" s="179">
        <f>O687*H687</f>
        <v>0</v>
      </c>
      <c r="Q687" s="179">
        <v>1.9000000000000001E-4</v>
      </c>
      <c r="R687" s="179">
        <f>Q687*H687</f>
        <v>1.186018E-2</v>
      </c>
      <c r="S687" s="179">
        <v>0</v>
      </c>
      <c r="T687" s="180">
        <f>S687*H687</f>
        <v>0</v>
      </c>
      <c r="AR687" s="24" t="s">
        <v>204</v>
      </c>
      <c r="AT687" s="24" t="s">
        <v>138</v>
      </c>
      <c r="AU687" s="24" t="s">
        <v>81</v>
      </c>
      <c r="AY687" s="24" t="s">
        <v>136</v>
      </c>
      <c r="BE687" s="181">
        <f>IF(N687="základní",J687,0)</f>
        <v>9332.09</v>
      </c>
      <c r="BF687" s="181">
        <f>IF(N687="snížená",J687,0)</f>
        <v>0</v>
      </c>
      <c r="BG687" s="181">
        <f>IF(N687="zákl. přenesená",J687,0)</f>
        <v>0</v>
      </c>
      <c r="BH687" s="181">
        <f>IF(N687="sníž. přenesená",J687,0)</f>
        <v>0</v>
      </c>
      <c r="BI687" s="181">
        <f>IF(N687="nulová",J687,0)</f>
        <v>0</v>
      </c>
      <c r="BJ687" s="24" t="s">
        <v>79</v>
      </c>
      <c r="BK687" s="181">
        <f>ROUND(I687*H687,2)</f>
        <v>9332.09</v>
      </c>
      <c r="BL687" s="24" t="s">
        <v>204</v>
      </c>
      <c r="BM687" s="24" t="s">
        <v>753</v>
      </c>
    </row>
    <row r="688" spans="2:65" s="1" customFormat="1" ht="16.5" customHeight="1" x14ac:dyDescent="0.3">
      <c r="B688" s="169"/>
      <c r="C688" s="170" t="s">
        <v>754</v>
      </c>
      <c r="D688" s="170" t="s">
        <v>138</v>
      </c>
      <c r="E688" s="171" t="s">
        <v>755</v>
      </c>
      <c r="F688" s="172" t="s">
        <v>756</v>
      </c>
      <c r="G688" s="173" t="s">
        <v>164</v>
      </c>
      <c r="H688" s="174">
        <v>5.2469999999999999</v>
      </c>
      <c r="I688" s="175">
        <v>1437.5</v>
      </c>
      <c r="J688" s="176">
        <f>ROUND(I688*H688,2)</f>
        <v>7542.56</v>
      </c>
      <c r="K688" s="172" t="s">
        <v>142</v>
      </c>
      <c r="L688" s="41"/>
      <c r="M688" s="177" t="s">
        <v>5</v>
      </c>
      <c r="N688" s="178" t="s">
        <v>42</v>
      </c>
      <c r="O688" s="42"/>
      <c r="P688" s="179">
        <f>O688*H688</f>
        <v>0</v>
      </c>
      <c r="Q688" s="179">
        <v>0</v>
      </c>
      <c r="R688" s="179">
        <f>Q688*H688</f>
        <v>0</v>
      </c>
      <c r="S688" s="179">
        <v>0</v>
      </c>
      <c r="T688" s="180">
        <f>S688*H688</f>
        <v>0</v>
      </c>
      <c r="AR688" s="24" t="s">
        <v>204</v>
      </c>
      <c r="AT688" s="24" t="s">
        <v>138</v>
      </c>
      <c r="AU688" s="24" t="s">
        <v>81</v>
      </c>
      <c r="AY688" s="24" t="s">
        <v>136</v>
      </c>
      <c r="BE688" s="181">
        <f>IF(N688="základní",J688,0)</f>
        <v>7542.56</v>
      </c>
      <c r="BF688" s="181">
        <f>IF(N688="snížená",J688,0)</f>
        <v>0</v>
      </c>
      <c r="BG688" s="181">
        <f>IF(N688="zákl. přenesená",J688,0)</f>
        <v>0</v>
      </c>
      <c r="BH688" s="181">
        <f>IF(N688="sníž. přenesená",J688,0)</f>
        <v>0</v>
      </c>
      <c r="BI688" s="181">
        <f>IF(N688="nulová",J688,0)</f>
        <v>0</v>
      </c>
      <c r="BJ688" s="24" t="s">
        <v>79</v>
      </c>
      <c r="BK688" s="181">
        <f>ROUND(I688*H688,2)</f>
        <v>7542.56</v>
      </c>
      <c r="BL688" s="24" t="s">
        <v>204</v>
      </c>
      <c r="BM688" s="24" t="s">
        <v>757</v>
      </c>
    </row>
    <row r="689" spans="2:65" s="10" customFormat="1" ht="29.85" customHeight="1" x14ac:dyDescent="0.3">
      <c r="B689" s="156"/>
      <c r="D689" s="157" t="s">
        <v>70</v>
      </c>
      <c r="E689" s="167" t="s">
        <v>758</v>
      </c>
      <c r="F689" s="167" t="s">
        <v>759</v>
      </c>
      <c r="I689" s="159">
        <v>0</v>
      </c>
      <c r="J689" s="168">
        <f>SUM(J690:J702)</f>
        <v>213010.18</v>
      </c>
      <c r="L689" s="41"/>
      <c r="M689" s="161"/>
      <c r="N689" s="162"/>
      <c r="O689" s="162"/>
      <c r="P689" s="163">
        <f>SUM(P690:P702)</f>
        <v>0</v>
      </c>
      <c r="Q689" s="162"/>
      <c r="R689" s="163">
        <f>SUM(R690:R702)</f>
        <v>2.6903425999999997</v>
      </c>
      <c r="S689" s="162"/>
      <c r="T689" s="164">
        <f>SUM(T690:T702)</f>
        <v>0</v>
      </c>
      <c r="AR689" s="157" t="s">
        <v>81</v>
      </c>
      <c r="AT689" s="165" t="s">
        <v>70</v>
      </c>
      <c r="AU689" s="165" t="s">
        <v>79</v>
      </c>
      <c r="AY689" s="157" t="s">
        <v>136</v>
      </c>
      <c r="BK689" s="166">
        <f>SUM(BK690:BK702)</f>
        <v>213010.18</v>
      </c>
    </row>
    <row r="690" spans="2:65" s="1" customFormat="1" ht="16.5" customHeight="1" x14ac:dyDescent="0.3">
      <c r="B690" s="169"/>
      <c r="C690" s="170" t="s">
        <v>760</v>
      </c>
      <c r="D690" s="170" t="s">
        <v>138</v>
      </c>
      <c r="E690" s="171" t="s">
        <v>761</v>
      </c>
      <c r="F690" s="172" t="s">
        <v>762</v>
      </c>
      <c r="G690" s="173" t="s">
        <v>179</v>
      </c>
      <c r="H690" s="320">
        <f>SUM(H692:H696)</f>
        <v>202.82</v>
      </c>
      <c r="I690" s="175">
        <v>747.49999999999989</v>
      </c>
      <c r="J690" s="176">
        <f>ROUND(I690*H690,2)</f>
        <v>151607.95000000001</v>
      </c>
      <c r="K690" s="172" t="s">
        <v>142</v>
      </c>
      <c r="L690" s="41"/>
      <c r="M690" s="177" t="s">
        <v>5</v>
      </c>
      <c r="N690" s="178" t="s">
        <v>42</v>
      </c>
      <c r="O690" s="42"/>
      <c r="P690" s="179">
        <f>O690*H690</f>
        <v>0</v>
      </c>
      <c r="Q690" s="179">
        <v>1.223E-2</v>
      </c>
      <c r="R690" s="179">
        <f>Q690*H690</f>
        <v>2.4804885999999997</v>
      </c>
      <c r="S690" s="179">
        <v>0</v>
      </c>
      <c r="T690" s="180">
        <f>S690*H690</f>
        <v>0</v>
      </c>
      <c r="AR690" s="24" t="s">
        <v>204</v>
      </c>
      <c r="AT690" s="24" t="s">
        <v>138</v>
      </c>
      <c r="AU690" s="24" t="s">
        <v>81</v>
      </c>
      <c r="AY690" s="24" t="s">
        <v>136</v>
      </c>
      <c r="BE690" s="181">
        <f>IF(N690="základní",J690,0)</f>
        <v>151607.95000000001</v>
      </c>
      <c r="BF690" s="181">
        <f>IF(N690="snížená",J690,0)</f>
        <v>0</v>
      </c>
      <c r="BG690" s="181">
        <f>IF(N690="zákl. přenesená",J690,0)</f>
        <v>0</v>
      </c>
      <c r="BH690" s="181">
        <f>IF(N690="sníž. přenesená",J690,0)</f>
        <v>0</v>
      </c>
      <c r="BI690" s="181">
        <f>IF(N690="nulová",J690,0)</f>
        <v>0</v>
      </c>
      <c r="BJ690" s="24" t="s">
        <v>79</v>
      </c>
      <c r="BK690" s="181">
        <f>ROUND(I690*H690,2)</f>
        <v>151607.95000000001</v>
      </c>
      <c r="BL690" s="24" t="s">
        <v>204</v>
      </c>
      <c r="BM690" s="24" t="s">
        <v>763</v>
      </c>
    </row>
    <row r="691" spans="2:65" s="12" customFormat="1" x14ac:dyDescent="0.3">
      <c r="B691" s="190"/>
      <c r="D691" s="183" t="s">
        <v>145</v>
      </c>
      <c r="E691" s="333"/>
      <c r="F691" s="312" t="s">
        <v>1214</v>
      </c>
      <c r="G691" s="327"/>
      <c r="H691" s="315"/>
      <c r="I691" s="194">
        <v>0</v>
      </c>
      <c r="L691" s="41"/>
      <c r="M691" s="195"/>
      <c r="N691" s="196"/>
      <c r="O691" s="196"/>
      <c r="P691" s="196"/>
      <c r="Q691" s="196"/>
      <c r="R691" s="196"/>
      <c r="S691" s="196"/>
      <c r="T691" s="197"/>
      <c r="AT691" s="191" t="s">
        <v>145</v>
      </c>
      <c r="AU691" s="191" t="s">
        <v>81</v>
      </c>
      <c r="AV691" s="12" t="s">
        <v>81</v>
      </c>
      <c r="AW691" s="12" t="s">
        <v>35</v>
      </c>
      <c r="AX691" s="12" t="s">
        <v>71</v>
      </c>
      <c r="AY691" s="191" t="s">
        <v>136</v>
      </c>
    </row>
    <row r="692" spans="2:65" s="12" customFormat="1" x14ac:dyDescent="0.3">
      <c r="B692" s="190"/>
      <c r="D692" s="183" t="s">
        <v>145</v>
      </c>
      <c r="E692" s="191"/>
      <c r="F692" s="312" t="s">
        <v>1409</v>
      </c>
      <c r="G692" s="327"/>
      <c r="H692" s="315">
        <f>2*4.6*9.1</f>
        <v>83.719999999999985</v>
      </c>
      <c r="I692" s="194">
        <v>0</v>
      </c>
      <c r="L692" s="41"/>
      <c r="M692" s="195"/>
      <c r="N692" s="196"/>
      <c r="O692" s="196"/>
      <c r="P692" s="196"/>
      <c r="Q692" s="196"/>
      <c r="R692" s="196"/>
      <c r="S692" s="196"/>
      <c r="T692" s="197"/>
      <c r="AT692" s="191" t="s">
        <v>145</v>
      </c>
      <c r="AU692" s="191" t="s">
        <v>81</v>
      </c>
      <c r="AV692" s="12" t="s">
        <v>81</v>
      </c>
      <c r="AW692" s="12" t="s">
        <v>35</v>
      </c>
      <c r="AX692" s="12" t="s">
        <v>71</v>
      </c>
      <c r="AY692" s="191" t="s">
        <v>136</v>
      </c>
    </row>
    <row r="693" spans="2:65" s="12" customFormat="1" x14ac:dyDescent="0.3">
      <c r="B693" s="190"/>
      <c r="D693" s="183" t="s">
        <v>145</v>
      </c>
      <c r="E693" s="191" t="s">
        <v>5</v>
      </c>
      <c r="F693" s="312" t="s">
        <v>1205</v>
      </c>
      <c r="G693" s="327"/>
      <c r="H693" s="315"/>
      <c r="I693" s="194">
        <v>0</v>
      </c>
      <c r="L693" s="41"/>
      <c r="M693" s="195"/>
      <c r="N693" s="196"/>
      <c r="O693" s="196"/>
      <c r="P693" s="196"/>
      <c r="Q693" s="196"/>
      <c r="R693" s="196"/>
      <c r="S693" s="196"/>
      <c r="T693" s="197"/>
      <c r="AT693" s="191" t="s">
        <v>145</v>
      </c>
      <c r="AU693" s="191" t="s">
        <v>81</v>
      </c>
      <c r="AV693" s="12" t="s">
        <v>81</v>
      </c>
      <c r="AW693" s="12" t="s">
        <v>35</v>
      </c>
      <c r="AX693" s="12" t="s">
        <v>71</v>
      </c>
      <c r="AY693" s="191" t="s">
        <v>136</v>
      </c>
    </row>
    <row r="694" spans="2:65" s="12" customFormat="1" x14ac:dyDescent="0.3">
      <c r="B694" s="190"/>
      <c r="D694" s="183" t="s">
        <v>145</v>
      </c>
      <c r="E694" s="191" t="s">
        <v>5</v>
      </c>
      <c r="F694" s="312" t="s">
        <v>1410</v>
      </c>
      <c r="G694" s="327"/>
      <c r="H694" s="315">
        <f>117.8-69.3-11.7</f>
        <v>36.799999999999997</v>
      </c>
      <c r="I694" s="194">
        <v>0</v>
      </c>
      <c r="L694" s="41"/>
      <c r="M694" s="195"/>
      <c r="N694" s="196"/>
      <c r="O694" s="196"/>
      <c r="P694" s="196"/>
      <c r="Q694" s="196"/>
      <c r="R694" s="196"/>
      <c r="S694" s="196"/>
      <c r="T694" s="197"/>
      <c r="AT694" s="191" t="s">
        <v>145</v>
      </c>
      <c r="AU694" s="191" t="s">
        <v>81</v>
      </c>
      <c r="AV694" s="12" t="s">
        <v>81</v>
      </c>
      <c r="AW694" s="12" t="s">
        <v>35</v>
      </c>
      <c r="AX694" s="12" t="s">
        <v>71</v>
      </c>
      <c r="AY694" s="191" t="s">
        <v>136</v>
      </c>
    </row>
    <row r="695" spans="2:65" s="13" customFormat="1" x14ac:dyDescent="0.3">
      <c r="B695" s="198"/>
      <c r="D695" s="183" t="s">
        <v>145</v>
      </c>
      <c r="E695" s="199" t="s">
        <v>5</v>
      </c>
      <c r="F695" s="312" t="s">
        <v>1209</v>
      </c>
      <c r="G695" s="327"/>
      <c r="H695" s="315"/>
      <c r="I695" s="202">
        <v>0</v>
      </c>
      <c r="L695" s="41"/>
      <c r="M695" s="203"/>
      <c r="N695" s="204"/>
      <c r="O695" s="204"/>
      <c r="P695" s="204"/>
      <c r="Q695" s="204"/>
      <c r="R695" s="204"/>
      <c r="S695" s="204"/>
      <c r="T695" s="205"/>
      <c r="AT695" s="199" t="s">
        <v>145</v>
      </c>
      <c r="AU695" s="199" t="s">
        <v>81</v>
      </c>
      <c r="AV695" s="13" t="s">
        <v>143</v>
      </c>
      <c r="AW695" s="13" t="s">
        <v>35</v>
      </c>
      <c r="AX695" s="13" t="s">
        <v>79</v>
      </c>
      <c r="AY695" s="199" t="s">
        <v>136</v>
      </c>
    </row>
    <row r="696" spans="2:65" s="13" customFormat="1" x14ac:dyDescent="0.3">
      <c r="B696" s="198"/>
      <c r="D696" s="183"/>
      <c r="E696" s="199"/>
      <c r="F696" s="312" t="s">
        <v>1411</v>
      </c>
      <c r="G696" s="327"/>
      <c r="H696" s="315">
        <f>31+4.1+8+2.5+35.1+1.6</f>
        <v>82.3</v>
      </c>
      <c r="I696" s="202">
        <v>0</v>
      </c>
      <c r="L696" s="41"/>
      <c r="M696" s="203"/>
      <c r="N696" s="358"/>
      <c r="O696" s="358"/>
      <c r="P696" s="358"/>
      <c r="Q696" s="358"/>
      <c r="R696" s="358"/>
      <c r="S696" s="358"/>
      <c r="T696" s="205"/>
      <c r="AT696" s="199"/>
      <c r="AU696" s="199"/>
      <c r="AY696" s="199"/>
    </row>
    <row r="697" spans="2:65" s="1" customFormat="1" ht="16.5" customHeight="1" x14ac:dyDescent="0.3">
      <c r="B697" s="169"/>
      <c r="C697" s="170" t="s">
        <v>764</v>
      </c>
      <c r="D697" s="170" t="s">
        <v>138</v>
      </c>
      <c r="E697" s="171" t="s">
        <v>765</v>
      </c>
      <c r="F697" s="172" t="s">
        <v>766</v>
      </c>
      <c r="G697" s="173" t="s">
        <v>179</v>
      </c>
      <c r="H697" s="320">
        <f>H699</f>
        <v>13.5</v>
      </c>
      <c r="I697" s="175">
        <v>793.49999999999989</v>
      </c>
      <c r="J697" s="176">
        <f>ROUND(I697*H697,2)</f>
        <v>10712.25</v>
      </c>
      <c r="K697" s="172" t="s">
        <v>142</v>
      </c>
      <c r="L697" s="41"/>
      <c r="M697" s="177" t="s">
        <v>5</v>
      </c>
      <c r="N697" s="178" t="s">
        <v>42</v>
      </c>
      <c r="O697" s="42"/>
      <c r="P697" s="179">
        <f>O697*H697</f>
        <v>0</v>
      </c>
      <c r="Q697" s="179">
        <v>1.2540000000000001E-2</v>
      </c>
      <c r="R697" s="179">
        <f>Q697*H697</f>
        <v>0.16929000000000002</v>
      </c>
      <c r="S697" s="179">
        <v>0</v>
      </c>
      <c r="T697" s="180">
        <f>S697*H697</f>
        <v>0</v>
      </c>
      <c r="AR697" s="24" t="s">
        <v>204</v>
      </c>
      <c r="AT697" s="24" t="s">
        <v>138</v>
      </c>
      <c r="AU697" s="24" t="s">
        <v>81</v>
      </c>
      <c r="AY697" s="24" t="s">
        <v>136</v>
      </c>
      <c r="BE697" s="181">
        <f>IF(N697="základní",J697,0)</f>
        <v>10712.25</v>
      </c>
      <c r="BF697" s="181">
        <f>IF(N697="snížená",J697,0)</f>
        <v>0</v>
      </c>
      <c r="BG697" s="181">
        <f>IF(N697="zákl. přenesená",J697,0)</f>
        <v>0</v>
      </c>
      <c r="BH697" s="181">
        <f>IF(N697="sníž. přenesená",J697,0)</f>
        <v>0</v>
      </c>
      <c r="BI697" s="181">
        <f>IF(N697="nulová",J697,0)</f>
        <v>0</v>
      </c>
      <c r="BJ697" s="24" t="s">
        <v>79</v>
      </c>
      <c r="BK697" s="181">
        <f>ROUND(I697*H697,2)</f>
        <v>10712.25</v>
      </c>
      <c r="BL697" s="24" t="s">
        <v>204</v>
      </c>
      <c r="BM697" s="24" t="s">
        <v>767</v>
      </c>
    </row>
    <row r="698" spans="2:65" s="11" customFormat="1" x14ac:dyDescent="0.3">
      <c r="B698" s="182"/>
      <c r="D698" s="183" t="s">
        <v>145</v>
      </c>
      <c r="E698" s="184" t="s">
        <v>5</v>
      </c>
      <c r="F698" s="312" t="s">
        <v>1209</v>
      </c>
      <c r="G698" s="327"/>
      <c r="H698" s="314"/>
      <c r="I698" s="186">
        <v>0</v>
      </c>
      <c r="L698" s="41"/>
      <c r="M698" s="187"/>
      <c r="N698" s="188"/>
      <c r="O698" s="188"/>
      <c r="P698" s="188"/>
      <c r="Q698" s="188"/>
      <c r="R698" s="188"/>
      <c r="S698" s="188"/>
      <c r="T698" s="189"/>
      <c r="AT698" s="184" t="s">
        <v>145</v>
      </c>
      <c r="AU698" s="184" t="s">
        <v>81</v>
      </c>
      <c r="AV698" s="11" t="s">
        <v>79</v>
      </c>
      <c r="AW698" s="11" t="s">
        <v>35</v>
      </c>
      <c r="AX698" s="11" t="s">
        <v>71</v>
      </c>
      <c r="AY698" s="184" t="s">
        <v>136</v>
      </c>
    </row>
    <row r="699" spans="2:65" s="12" customFormat="1" x14ac:dyDescent="0.3">
      <c r="B699" s="190"/>
      <c r="D699" s="183" t="s">
        <v>145</v>
      </c>
      <c r="E699" s="191" t="s">
        <v>5</v>
      </c>
      <c r="F699" s="312" t="s">
        <v>1412</v>
      </c>
      <c r="G699" s="327"/>
      <c r="H699" s="315">
        <f>4.6+4.6+4.3</f>
        <v>13.5</v>
      </c>
      <c r="I699" s="194">
        <v>0</v>
      </c>
      <c r="L699" s="41"/>
      <c r="M699" s="195"/>
      <c r="N699" s="196"/>
      <c r="O699" s="196"/>
      <c r="P699" s="196"/>
      <c r="Q699" s="196"/>
      <c r="R699" s="196"/>
      <c r="S699" s="196"/>
      <c r="T699" s="197"/>
      <c r="AT699" s="191" t="s">
        <v>145</v>
      </c>
      <c r="AU699" s="191" t="s">
        <v>81</v>
      </c>
      <c r="AV699" s="12" t="s">
        <v>81</v>
      </c>
      <c r="AW699" s="12" t="s">
        <v>35</v>
      </c>
      <c r="AX699" s="12" t="s">
        <v>71</v>
      </c>
      <c r="AY699" s="191" t="s">
        <v>136</v>
      </c>
    </row>
    <row r="700" spans="2:65" s="1" customFormat="1" ht="16.5" customHeight="1" x14ac:dyDescent="0.3">
      <c r="B700" s="169"/>
      <c r="C700" s="170" t="s">
        <v>768</v>
      </c>
      <c r="D700" s="170" t="s">
        <v>138</v>
      </c>
      <c r="E700" s="171" t="s">
        <v>769</v>
      </c>
      <c r="F700" s="172" t="s">
        <v>770</v>
      </c>
      <c r="G700" s="173" t="s">
        <v>179</v>
      </c>
      <c r="H700" s="174">
        <f>H690</f>
        <v>202.82</v>
      </c>
      <c r="I700" s="175">
        <v>17.25</v>
      </c>
      <c r="J700" s="176">
        <f>ROUND(I700*H700,2)</f>
        <v>3498.65</v>
      </c>
      <c r="K700" s="172" t="s">
        <v>142</v>
      </c>
      <c r="L700" s="41"/>
      <c r="M700" s="177" t="s">
        <v>5</v>
      </c>
      <c r="N700" s="178" t="s">
        <v>42</v>
      </c>
      <c r="O700" s="42"/>
      <c r="P700" s="179">
        <f>O700*H700</f>
        <v>0</v>
      </c>
      <c r="Q700" s="179">
        <v>1E-4</v>
      </c>
      <c r="R700" s="179">
        <f>Q700*H700</f>
        <v>2.0282000000000001E-2</v>
      </c>
      <c r="S700" s="179">
        <v>0</v>
      </c>
      <c r="T700" s="180">
        <f>S700*H700</f>
        <v>0</v>
      </c>
      <c r="AR700" s="24" t="s">
        <v>204</v>
      </c>
      <c r="AT700" s="24" t="s">
        <v>138</v>
      </c>
      <c r="AU700" s="24" t="s">
        <v>81</v>
      </c>
      <c r="AY700" s="24" t="s">
        <v>136</v>
      </c>
      <c r="BE700" s="181">
        <f>IF(N700="základní",J700,0)</f>
        <v>3498.65</v>
      </c>
      <c r="BF700" s="181">
        <f>IF(N700="snížená",J700,0)</f>
        <v>0</v>
      </c>
      <c r="BG700" s="181">
        <f>IF(N700="zákl. přenesená",J700,0)</f>
        <v>0</v>
      </c>
      <c r="BH700" s="181">
        <f>IF(N700="sníž. přenesená",J700,0)</f>
        <v>0</v>
      </c>
      <c r="BI700" s="181">
        <f>IF(N700="nulová",J700,0)</f>
        <v>0</v>
      </c>
      <c r="BJ700" s="24" t="s">
        <v>79</v>
      </c>
      <c r="BK700" s="181">
        <f>ROUND(I700*H700,2)</f>
        <v>3498.65</v>
      </c>
      <c r="BL700" s="24" t="s">
        <v>204</v>
      </c>
      <c r="BM700" s="24" t="s">
        <v>771</v>
      </c>
    </row>
    <row r="701" spans="2:65" s="1" customFormat="1" ht="16.5" customHeight="1" x14ac:dyDescent="0.3">
      <c r="B701" s="169"/>
      <c r="C701" s="170" t="s">
        <v>772</v>
      </c>
      <c r="D701" s="170" t="s">
        <v>138</v>
      </c>
      <c r="E701" s="171" t="s">
        <v>773</v>
      </c>
      <c r="F701" s="172" t="s">
        <v>774</v>
      </c>
      <c r="G701" s="173" t="s">
        <v>179</v>
      </c>
      <c r="H701" s="320">
        <f>H700</f>
        <v>202.82</v>
      </c>
      <c r="I701" s="175">
        <v>172.5</v>
      </c>
      <c r="J701" s="176">
        <f>ROUND(I701*H701,2)</f>
        <v>34986.449999999997</v>
      </c>
      <c r="K701" s="172" t="s">
        <v>142</v>
      </c>
      <c r="L701" s="41"/>
      <c r="M701" s="177" t="s">
        <v>5</v>
      </c>
      <c r="N701" s="178" t="s">
        <v>42</v>
      </c>
      <c r="O701" s="42"/>
      <c r="P701" s="179">
        <f>O701*H701</f>
        <v>0</v>
      </c>
      <c r="Q701" s="179">
        <v>1E-4</v>
      </c>
      <c r="R701" s="179">
        <f>Q701*H701</f>
        <v>2.0282000000000001E-2</v>
      </c>
      <c r="S701" s="179">
        <v>0</v>
      </c>
      <c r="T701" s="180">
        <f>S701*H701</f>
        <v>0</v>
      </c>
      <c r="AR701" s="24" t="s">
        <v>204</v>
      </c>
      <c r="AT701" s="24" t="s">
        <v>138</v>
      </c>
      <c r="AU701" s="24" t="s">
        <v>81</v>
      </c>
      <c r="AY701" s="24" t="s">
        <v>136</v>
      </c>
      <c r="BE701" s="181">
        <f>IF(N701="základní",J701,0)</f>
        <v>34986.449999999997</v>
      </c>
      <c r="BF701" s="181">
        <f>IF(N701="snížená",J701,0)</f>
        <v>0</v>
      </c>
      <c r="BG701" s="181">
        <f>IF(N701="zákl. přenesená",J701,0)</f>
        <v>0</v>
      </c>
      <c r="BH701" s="181">
        <f>IF(N701="sníž. přenesená",J701,0)</f>
        <v>0</v>
      </c>
      <c r="BI701" s="181">
        <f>IF(N701="nulová",J701,0)</f>
        <v>0</v>
      </c>
      <c r="BJ701" s="24" t="s">
        <v>79</v>
      </c>
      <c r="BK701" s="181">
        <f>ROUND(I701*H701,2)</f>
        <v>34986.449999999997</v>
      </c>
      <c r="BL701" s="24" t="s">
        <v>204</v>
      </c>
      <c r="BM701" s="24" t="s">
        <v>775</v>
      </c>
    </row>
    <row r="702" spans="2:65" s="1" customFormat="1" ht="25.5" customHeight="1" x14ac:dyDescent="0.3">
      <c r="B702" s="169"/>
      <c r="C702" s="170" t="s">
        <v>776</v>
      </c>
      <c r="D702" s="170" t="s">
        <v>138</v>
      </c>
      <c r="E702" s="171" t="s">
        <v>777</v>
      </c>
      <c r="F702" s="172" t="s">
        <v>778</v>
      </c>
      <c r="G702" s="173" t="s">
        <v>554</v>
      </c>
      <c r="H702" s="226">
        <v>2358.4299999999998</v>
      </c>
      <c r="I702" s="175">
        <v>5.1749999999999998</v>
      </c>
      <c r="J702" s="176">
        <f>ROUND(I702*H702,2)</f>
        <v>12204.88</v>
      </c>
      <c r="K702" s="172" t="s">
        <v>142</v>
      </c>
      <c r="L702" s="41"/>
      <c r="M702" s="177" t="s">
        <v>5</v>
      </c>
      <c r="N702" s="178" t="s">
        <v>42</v>
      </c>
      <c r="O702" s="42"/>
      <c r="P702" s="179">
        <f>O702*H702</f>
        <v>0</v>
      </c>
      <c r="Q702" s="179">
        <v>0</v>
      </c>
      <c r="R702" s="179">
        <f>Q702*H702</f>
        <v>0</v>
      </c>
      <c r="S702" s="179">
        <v>0</v>
      </c>
      <c r="T702" s="180">
        <f>S702*H702</f>
        <v>0</v>
      </c>
      <c r="AR702" s="24" t="s">
        <v>204</v>
      </c>
      <c r="AT702" s="24" t="s">
        <v>138</v>
      </c>
      <c r="AU702" s="24" t="s">
        <v>81</v>
      </c>
      <c r="AY702" s="24" t="s">
        <v>136</v>
      </c>
      <c r="BE702" s="181">
        <f>IF(N702="základní",J702,0)</f>
        <v>12204.88</v>
      </c>
      <c r="BF702" s="181">
        <f>IF(N702="snížená",J702,0)</f>
        <v>0</v>
      </c>
      <c r="BG702" s="181">
        <f>IF(N702="zákl. přenesená",J702,0)</f>
        <v>0</v>
      </c>
      <c r="BH702" s="181">
        <f>IF(N702="sníž. přenesená",J702,0)</f>
        <v>0</v>
      </c>
      <c r="BI702" s="181">
        <f>IF(N702="nulová",J702,0)</f>
        <v>0</v>
      </c>
      <c r="BJ702" s="24" t="s">
        <v>79</v>
      </c>
      <c r="BK702" s="181">
        <f>ROUND(I702*H702,2)</f>
        <v>12204.88</v>
      </c>
      <c r="BL702" s="24" t="s">
        <v>204</v>
      </c>
      <c r="BM702" s="24" t="s">
        <v>779</v>
      </c>
    </row>
    <row r="703" spans="2:65" s="10" customFormat="1" ht="29.85" customHeight="1" x14ac:dyDescent="0.3">
      <c r="B703" s="156"/>
      <c r="D703" s="157" t="s">
        <v>70</v>
      </c>
      <c r="E703" s="167" t="s">
        <v>780</v>
      </c>
      <c r="F703" s="167" t="s">
        <v>781</v>
      </c>
      <c r="I703" s="159">
        <v>0</v>
      </c>
      <c r="J703" s="168">
        <f>SUM(J704:J728)</f>
        <v>295104.43</v>
      </c>
      <c r="L703" s="41"/>
      <c r="M703" s="161"/>
      <c r="N703" s="162"/>
      <c r="O703" s="162"/>
      <c r="P703" s="163">
        <f>SUM(P704:P728)</f>
        <v>0</v>
      </c>
      <c r="Q703" s="162"/>
      <c r="R703" s="163">
        <f>SUM(R704:R728)</f>
        <v>0.89485000000000003</v>
      </c>
      <c r="S703" s="162"/>
      <c r="T703" s="164">
        <f>SUM(T704:T728)</f>
        <v>0</v>
      </c>
      <c r="AR703" s="157" t="s">
        <v>81</v>
      </c>
      <c r="AT703" s="165" t="s">
        <v>70</v>
      </c>
      <c r="AU703" s="165" t="s">
        <v>79</v>
      </c>
      <c r="AY703" s="157" t="s">
        <v>136</v>
      </c>
      <c r="BK703" s="166">
        <f>SUM(BK704:BK728)</f>
        <v>239035.03</v>
      </c>
    </row>
    <row r="704" spans="2:65" s="1" customFormat="1" ht="25.5" customHeight="1" x14ac:dyDescent="0.3">
      <c r="B704" s="169"/>
      <c r="C704" s="170" t="s">
        <v>782</v>
      </c>
      <c r="D704" s="170" t="s">
        <v>138</v>
      </c>
      <c r="E704" s="171" t="s">
        <v>783</v>
      </c>
      <c r="F704" s="172" t="s">
        <v>1568</v>
      </c>
      <c r="G704" s="173" t="s">
        <v>179</v>
      </c>
      <c r="H704" s="313">
        <f>H705</f>
        <v>112.19999999999999</v>
      </c>
      <c r="I704" s="175">
        <v>1724.9999999999998</v>
      </c>
      <c r="J704" s="176">
        <f>ROUND(I704*H704,2)</f>
        <v>193545</v>
      </c>
      <c r="K704" s="172" t="s">
        <v>142</v>
      </c>
      <c r="L704" s="41"/>
      <c r="M704" s="177" t="s">
        <v>5</v>
      </c>
      <c r="N704" s="178" t="s">
        <v>42</v>
      </c>
      <c r="O704" s="42"/>
      <c r="P704" s="179">
        <f>O704*H704</f>
        <v>0</v>
      </c>
      <c r="Q704" s="179">
        <v>6.8399999999999997E-3</v>
      </c>
      <c r="R704" s="179">
        <f>Q704*H704</f>
        <v>0.76744799999999991</v>
      </c>
      <c r="S704" s="179">
        <v>0</v>
      </c>
      <c r="T704" s="180">
        <f>S704*H704</f>
        <v>0</v>
      </c>
      <c r="AR704" s="24" t="s">
        <v>204</v>
      </c>
      <c r="AT704" s="24" t="s">
        <v>138</v>
      </c>
      <c r="AU704" s="24" t="s">
        <v>81</v>
      </c>
      <c r="AY704" s="24" t="s">
        <v>136</v>
      </c>
      <c r="BE704" s="181">
        <f>IF(N704="základní",J704,0)</f>
        <v>193545</v>
      </c>
      <c r="BF704" s="181">
        <f>IF(N704="snížená",J704,0)</f>
        <v>0</v>
      </c>
      <c r="BG704" s="181">
        <f>IF(N704="zákl. přenesená",J704,0)</f>
        <v>0</v>
      </c>
      <c r="BH704" s="181">
        <f>IF(N704="sníž. přenesená",J704,0)</f>
        <v>0</v>
      </c>
      <c r="BI704" s="181">
        <f>IF(N704="nulová",J704,0)</f>
        <v>0</v>
      </c>
      <c r="BJ704" s="24" t="s">
        <v>79</v>
      </c>
      <c r="BK704" s="181">
        <f>ROUND(I704*H704,2)</f>
        <v>193545</v>
      </c>
      <c r="BL704" s="24" t="s">
        <v>204</v>
      </c>
      <c r="BM704" s="24" t="s">
        <v>784</v>
      </c>
    </row>
    <row r="705" spans="2:65" s="12" customFormat="1" x14ac:dyDescent="0.3">
      <c r="B705" s="190"/>
      <c r="D705" s="183" t="s">
        <v>145</v>
      </c>
      <c r="E705" s="191" t="s">
        <v>5</v>
      </c>
      <c r="F705" s="312" t="s">
        <v>1397</v>
      </c>
      <c r="H705" s="315">
        <f>2*5.5*10.2</f>
        <v>112.19999999999999</v>
      </c>
      <c r="I705" s="194">
        <v>0</v>
      </c>
      <c r="L705" s="41"/>
      <c r="M705" s="195"/>
      <c r="N705" s="196"/>
      <c r="O705" s="196"/>
      <c r="P705" s="196"/>
      <c r="Q705" s="196"/>
      <c r="R705" s="196"/>
      <c r="S705" s="196"/>
      <c r="T705" s="197"/>
      <c r="AT705" s="191" t="s">
        <v>145</v>
      </c>
      <c r="AU705" s="191" t="s">
        <v>81</v>
      </c>
      <c r="AV705" s="12" t="s">
        <v>81</v>
      </c>
      <c r="AW705" s="12" t="s">
        <v>35</v>
      </c>
      <c r="AX705" s="12" t="s">
        <v>79</v>
      </c>
      <c r="AY705" s="191" t="s">
        <v>136</v>
      </c>
    </row>
    <row r="706" spans="2:65" s="1" customFormat="1" ht="25.5" customHeight="1" x14ac:dyDescent="0.3">
      <c r="B706" s="169"/>
      <c r="C706" s="170" t="s">
        <v>785</v>
      </c>
      <c r="D706" s="170" t="s">
        <v>138</v>
      </c>
      <c r="E706" s="171" t="s">
        <v>786</v>
      </c>
      <c r="F706" s="172" t="s">
        <v>787</v>
      </c>
      <c r="G706" s="173" t="s">
        <v>249</v>
      </c>
      <c r="H706" s="319">
        <v>8.1999999999999993</v>
      </c>
      <c r="I706" s="175">
        <v>822.24999999999989</v>
      </c>
      <c r="J706" s="176">
        <f>ROUND(I706*H706,2)</f>
        <v>6742.45</v>
      </c>
      <c r="K706" s="172" t="s">
        <v>142</v>
      </c>
      <c r="L706" s="41"/>
      <c r="M706" s="177" t="s">
        <v>5</v>
      </c>
      <c r="N706" s="178" t="s">
        <v>42</v>
      </c>
      <c r="O706" s="42"/>
      <c r="P706" s="179">
        <f>O706*H706</f>
        <v>0</v>
      </c>
      <c r="Q706" s="179">
        <v>5.8399999999999997E-3</v>
      </c>
      <c r="R706" s="179">
        <f>Q706*H706</f>
        <v>4.7887999999999993E-2</v>
      </c>
      <c r="S706" s="179">
        <v>0</v>
      </c>
      <c r="T706" s="180">
        <f>S706*H706</f>
        <v>0</v>
      </c>
      <c r="AR706" s="24" t="s">
        <v>204</v>
      </c>
      <c r="AT706" s="24" t="s">
        <v>138</v>
      </c>
      <c r="AU706" s="24" t="s">
        <v>81</v>
      </c>
      <c r="AY706" s="24" t="s">
        <v>136</v>
      </c>
      <c r="BE706" s="181">
        <f>IF(N706="základní",J706,0)</f>
        <v>6742.45</v>
      </c>
      <c r="BF706" s="181">
        <f>IF(N706="snížená",J706,0)</f>
        <v>0</v>
      </c>
      <c r="BG706" s="181">
        <f>IF(N706="zákl. přenesená",J706,0)</f>
        <v>0</v>
      </c>
      <c r="BH706" s="181">
        <f>IF(N706="sníž. přenesená",J706,0)</f>
        <v>0</v>
      </c>
      <c r="BI706" s="181">
        <f>IF(N706="nulová",J706,0)</f>
        <v>0</v>
      </c>
      <c r="BJ706" s="24" t="s">
        <v>79</v>
      </c>
      <c r="BK706" s="181">
        <f>ROUND(I706*H706,2)</f>
        <v>6742.45</v>
      </c>
      <c r="BL706" s="24" t="s">
        <v>204</v>
      </c>
      <c r="BM706" s="24" t="s">
        <v>788</v>
      </c>
    </row>
    <row r="707" spans="2:65" s="12" customFormat="1" x14ac:dyDescent="0.3">
      <c r="B707" s="190"/>
      <c r="D707" s="183" t="s">
        <v>145</v>
      </c>
      <c r="E707" s="191" t="s">
        <v>5</v>
      </c>
      <c r="F707" s="316" t="s">
        <v>789</v>
      </c>
      <c r="H707" s="318">
        <v>8.1999999999999993</v>
      </c>
      <c r="I707" s="194">
        <v>0</v>
      </c>
      <c r="L707" s="41"/>
      <c r="M707" s="195"/>
      <c r="N707" s="196"/>
      <c r="O707" s="196"/>
      <c r="P707" s="196"/>
      <c r="Q707" s="196"/>
      <c r="R707" s="196"/>
      <c r="S707" s="196"/>
      <c r="T707" s="197"/>
      <c r="AT707" s="191" t="s">
        <v>145</v>
      </c>
      <c r="AU707" s="191" t="s">
        <v>81</v>
      </c>
      <c r="AV707" s="12" t="s">
        <v>81</v>
      </c>
      <c r="AW707" s="12" t="s">
        <v>35</v>
      </c>
      <c r="AX707" s="12" t="s">
        <v>79</v>
      </c>
      <c r="AY707" s="191" t="s">
        <v>136</v>
      </c>
    </row>
    <row r="708" spans="2:65" s="1" customFormat="1" ht="25.5" customHeight="1" x14ac:dyDescent="0.3">
      <c r="B708" s="169"/>
      <c r="C708" s="170" t="s">
        <v>790</v>
      </c>
      <c r="D708" s="170" t="s">
        <v>138</v>
      </c>
      <c r="E708" s="171" t="s">
        <v>791</v>
      </c>
      <c r="F708" s="172" t="s">
        <v>792</v>
      </c>
      <c r="G708" s="173" t="s">
        <v>249</v>
      </c>
      <c r="H708" s="313">
        <f>H710+H712+H714+H716</f>
        <v>10.3</v>
      </c>
      <c r="I708" s="175">
        <v>511.74999999999994</v>
      </c>
      <c r="J708" s="176">
        <f>ROUND(I708*H708,2)</f>
        <v>5271.03</v>
      </c>
      <c r="K708" s="172" t="s">
        <v>142</v>
      </c>
      <c r="L708" s="41"/>
      <c r="M708" s="177" t="s">
        <v>5</v>
      </c>
      <c r="N708" s="178" t="s">
        <v>42</v>
      </c>
      <c r="O708" s="42"/>
      <c r="P708" s="179">
        <f>O708*H708</f>
        <v>0</v>
      </c>
      <c r="Q708" s="179">
        <v>2.2200000000000002E-3</v>
      </c>
      <c r="R708" s="179">
        <f>Q708*H708</f>
        <v>2.2866000000000004E-2</v>
      </c>
      <c r="S708" s="179">
        <v>0</v>
      </c>
      <c r="T708" s="180">
        <f>S708*H708</f>
        <v>0</v>
      </c>
      <c r="AR708" s="24" t="s">
        <v>204</v>
      </c>
      <c r="AT708" s="24" t="s">
        <v>138</v>
      </c>
      <c r="AU708" s="24" t="s">
        <v>81</v>
      </c>
      <c r="AY708" s="24" t="s">
        <v>136</v>
      </c>
      <c r="BE708" s="181">
        <f>IF(N708="základní",J708,0)</f>
        <v>5271.03</v>
      </c>
      <c r="BF708" s="181">
        <f>IF(N708="snížená",J708,0)</f>
        <v>0</v>
      </c>
      <c r="BG708" s="181">
        <f>IF(N708="zákl. přenesená",J708,0)</f>
        <v>0</v>
      </c>
      <c r="BH708" s="181">
        <f>IF(N708="sníž. přenesená",J708,0)</f>
        <v>0</v>
      </c>
      <c r="BI708" s="181">
        <f>IF(N708="nulová",J708,0)</f>
        <v>0</v>
      </c>
      <c r="BJ708" s="24" t="s">
        <v>79</v>
      </c>
      <c r="BK708" s="181">
        <f>ROUND(I708*H708,2)</f>
        <v>5271.03</v>
      </c>
      <c r="BL708" s="24" t="s">
        <v>204</v>
      </c>
      <c r="BM708" s="24" t="s">
        <v>793</v>
      </c>
    </row>
    <row r="709" spans="2:65" s="11" customFormat="1" x14ac:dyDescent="0.3">
      <c r="B709" s="182"/>
      <c r="D709" s="183" t="s">
        <v>145</v>
      </c>
      <c r="E709" s="314" t="s">
        <v>5</v>
      </c>
      <c r="F709" s="312" t="s">
        <v>1288</v>
      </c>
      <c r="H709" s="314"/>
      <c r="I709" s="186">
        <v>0</v>
      </c>
      <c r="L709" s="41"/>
      <c r="M709" s="187"/>
      <c r="N709" s="188"/>
      <c r="O709" s="188"/>
      <c r="P709" s="188"/>
      <c r="Q709" s="188"/>
      <c r="R709" s="188"/>
      <c r="S709" s="188"/>
      <c r="T709" s="189"/>
      <c r="AT709" s="184" t="s">
        <v>145</v>
      </c>
      <c r="AU709" s="184" t="s">
        <v>81</v>
      </c>
      <c r="AV709" s="11" t="s">
        <v>79</v>
      </c>
      <c r="AW709" s="11" t="s">
        <v>35</v>
      </c>
      <c r="AX709" s="11" t="s">
        <v>71</v>
      </c>
      <c r="AY709" s="184" t="s">
        <v>136</v>
      </c>
    </row>
    <row r="710" spans="2:65" s="12" customFormat="1" x14ac:dyDescent="0.3">
      <c r="B710" s="190"/>
      <c r="D710" s="183" t="s">
        <v>145</v>
      </c>
      <c r="E710" s="314" t="s">
        <v>5</v>
      </c>
      <c r="F710" s="312" t="s">
        <v>1307</v>
      </c>
      <c r="H710" s="315">
        <f>1.25+1.5</f>
        <v>2.75</v>
      </c>
      <c r="I710" s="194">
        <v>0</v>
      </c>
      <c r="L710" s="41"/>
      <c r="M710" s="195"/>
      <c r="N710" s="196"/>
      <c r="O710" s="196"/>
      <c r="P710" s="196"/>
      <c r="Q710" s="196"/>
      <c r="R710" s="196"/>
      <c r="S710" s="196"/>
      <c r="T710" s="197"/>
      <c r="AT710" s="191" t="s">
        <v>145</v>
      </c>
      <c r="AU710" s="191" t="s">
        <v>81</v>
      </c>
      <c r="AV710" s="12" t="s">
        <v>81</v>
      </c>
      <c r="AW710" s="12" t="s">
        <v>35</v>
      </c>
      <c r="AX710" s="12" t="s">
        <v>71</v>
      </c>
      <c r="AY710" s="191" t="s">
        <v>136</v>
      </c>
    </row>
    <row r="711" spans="2:65" s="12" customFormat="1" x14ac:dyDescent="0.3">
      <c r="B711" s="190"/>
      <c r="D711" s="183" t="s">
        <v>145</v>
      </c>
      <c r="E711" s="314" t="s">
        <v>5</v>
      </c>
      <c r="F711" s="312" t="s">
        <v>1287</v>
      </c>
      <c r="H711" s="315"/>
      <c r="I711" s="194">
        <v>0</v>
      </c>
      <c r="L711" s="41"/>
      <c r="M711" s="195"/>
      <c r="N711" s="196"/>
      <c r="O711" s="196"/>
      <c r="P711" s="196"/>
      <c r="Q711" s="196"/>
      <c r="R711" s="196"/>
      <c r="S711" s="196"/>
      <c r="T711" s="197"/>
      <c r="AT711" s="191" t="s">
        <v>145</v>
      </c>
      <c r="AU711" s="191" t="s">
        <v>81</v>
      </c>
      <c r="AV711" s="12" t="s">
        <v>81</v>
      </c>
      <c r="AW711" s="12" t="s">
        <v>35</v>
      </c>
      <c r="AX711" s="12" t="s">
        <v>71</v>
      </c>
      <c r="AY711" s="191" t="s">
        <v>136</v>
      </c>
    </row>
    <row r="712" spans="2:65" s="12" customFormat="1" x14ac:dyDescent="0.3">
      <c r="B712" s="190"/>
      <c r="D712" s="183" t="s">
        <v>145</v>
      </c>
      <c r="E712" s="314" t="s">
        <v>5</v>
      </c>
      <c r="F712" s="312" t="s">
        <v>1413</v>
      </c>
      <c r="H712" s="315">
        <f>1.8+1</f>
        <v>2.8</v>
      </c>
      <c r="I712" s="194">
        <v>0</v>
      </c>
      <c r="L712" s="41"/>
      <c r="M712" s="195"/>
      <c r="N712" s="196"/>
      <c r="O712" s="196"/>
      <c r="P712" s="196"/>
      <c r="Q712" s="196"/>
      <c r="R712" s="196"/>
      <c r="S712" s="196"/>
      <c r="T712" s="197"/>
      <c r="AT712" s="191" t="s">
        <v>145</v>
      </c>
      <c r="AU712" s="191" t="s">
        <v>81</v>
      </c>
      <c r="AV712" s="12" t="s">
        <v>81</v>
      </c>
      <c r="AW712" s="12" t="s">
        <v>35</v>
      </c>
      <c r="AX712" s="12" t="s">
        <v>71</v>
      </c>
      <c r="AY712" s="191" t="s">
        <v>136</v>
      </c>
    </row>
    <row r="713" spans="2:65" s="12" customFormat="1" x14ac:dyDescent="0.3">
      <c r="B713" s="190"/>
      <c r="D713" s="183" t="s">
        <v>145</v>
      </c>
      <c r="E713" s="314" t="s">
        <v>5</v>
      </c>
      <c r="F713" s="312" t="s">
        <v>1286</v>
      </c>
      <c r="H713" s="315"/>
      <c r="I713" s="194">
        <v>0</v>
      </c>
      <c r="L713" s="41"/>
      <c r="M713" s="195"/>
      <c r="N713" s="196"/>
      <c r="O713" s="196"/>
      <c r="P713" s="196"/>
      <c r="Q713" s="196"/>
      <c r="R713" s="196"/>
      <c r="S713" s="196"/>
      <c r="T713" s="197"/>
      <c r="AT713" s="191" t="s">
        <v>145</v>
      </c>
      <c r="AU713" s="191" t="s">
        <v>81</v>
      </c>
      <c r="AV713" s="12" t="s">
        <v>81</v>
      </c>
      <c r="AW713" s="12" t="s">
        <v>35</v>
      </c>
      <c r="AX713" s="12" t="s">
        <v>71</v>
      </c>
      <c r="AY713" s="191" t="s">
        <v>136</v>
      </c>
    </row>
    <row r="714" spans="2:65" s="12" customFormat="1" x14ac:dyDescent="0.3">
      <c r="B714" s="190"/>
      <c r="D714" s="183" t="s">
        <v>145</v>
      </c>
      <c r="E714" s="314" t="s">
        <v>5</v>
      </c>
      <c r="F714" s="312" t="s">
        <v>1309</v>
      </c>
      <c r="H714" s="315">
        <f>0.625*5</f>
        <v>3.125</v>
      </c>
      <c r="I714" s="194">
        <v>0</v>
      </c>
      <c r="L714" s="41"/>
      <c r="M714" s="195"/>
      <c r="N714" s="196"/>
      <c r="O714" s="196"/>
      <c r="P714" s="196"/>
      <c r="Q714" s="196"/>
      <c r="R714" s="196"/>
      <c r="S714" s="196"/>
      <c r="T714" s="197"/>
      <c r="AT714" s="191" t="s">
        <v>145</v>
      </c>
      <c r="AU714" s="191" t="s">
        <v>81</v>
      </c>
      <c r="AV714" s="12" t="s">
        <v>81</v>
      </c>
      <c r="AW714" s="12" t="s">
        <v>35</v>
      </c>
      <c r="AX714" s="12" t="s">
        <v>71</v>
      </c>
      <c r="AY714" s="191" t="s">
        <v>136</v>
      </c>
    </row>
    <row r="715" spans="2:65" s="12" customFormat="1" x14ac:dyDescent="0.3">
      <c r="B715" s="190"/>
      <c r="D715" s="183" t="s">
        <v>145</v>
      </c>
      <c r="E715" s="314" t="s">
        <v>5</v>
      </c>
      <c r="F715" s="312" t="s">
        <v>1290</v>
      </c>
      <c r="H715" s="315"/>
      <c r="I715" s="194">
        <v>0</v>
      </c>
      <c r="L715" s="41"/>
      <c r="M715" s="195"/>
      <c r="N715" s="196"/>
      <c r="O715" s="196"/>
      <c r="P715" s="196"/>
      <c r="Q715" s="196"/>
      <c r="R715" s="196"/>
      <c r="S715" s="196"/>
      <c r="T715" s="197"/>
      <c r="AT715" s="191" t="s">
        <v>145</v>
      </c>
      <c r="AU715" s="191" t="s">
        <v>81</v>
      </c>
      <c r="AV715" s="12" t="s">
        <v>81</v>
      </c>
      <c r="AW715" s="12" t="s">
        <v>35</v>
      </c>
      <c r="AX715" s="12" t="s">
        <v>71</v>
      </c>
      <c r="AY715" s="191" t="s">
        <v>136</v>
      </c>
    </row>
    <row r="716" spans="2:65" s="12" customFormat="1" x14ac:dyDescent="0.3">
      <c r="B716" s="190"/>
      <c r="D716" s="183" t="s">
        <v>145</v>
      </c>
      <c r="E716" s="314" t="s">
        <v>5</v>
      </c>
      <c r="F716" s="312" t="s">
        <v>1414</v>
      </c>
      <c r="H716" s="315">
        <f>0.625+1</f>
        <v>1.625</v>
      </c>
      <c r="I716" s="194">
        <v>0</v>
      </c>
      <c r="L716" s="41"/>
      <c r="M716" s="195"/>
      <c r="N716" s="196"/>
      <c r="O716" s="196"/>
      <c r="P716" s="196"/>
      <c r="Q716" s="196"/>
      <c r="R716" s="196"/>
      <c r="S716" s="196"/>
      <c r="T716" s="197"/>
      <c r="AT716" s="191" t="s">
        <v>145</v>
      </c>
      <c r="AU716" s="191" t="s">
        <v>81</v>
      </c>
      <c r="AV716" s="12" t="s">
        <v>81</v>
      </c>
      <c r="AW716" s="12" t="s">
        <v>35</v>
      </c>
      <c r="AX716" s="12" t="s">
        <v>71</v>
      </c>
      <c r="AY716" s="191" t="s">
        <v>136</v>
      </c>
    </row>
    <row r="717" spans="2:65" s="1" customFormat="1" ht="16.5" customHeight="1" x14ac:dyDescent="0.3">
      <c r="B717" s="169"/>
      <c r="C717" s="170" t="s">
        <v>794</v>
      </c>
      <c r="D717" s="170" t="s">
        <v>138</v>
      </c>
      <c r="E717" s="171" t="s">
        <v>795</v>
      </c>
      <c r="F717" s="172" t="s">
        <v>1569</v>
      </c>
      <c r="G717" s="173" t="s">
        <v>249</v>
      </c>
      <c r="H717" s="313">
        <f>H718</f>
        <v>29.2</v>
      </c>
      <c r="I717" s="175">
        <v>802.69999999999993</v>
      </c>
      <c r="J717" s="176">
        <f>ROUND(I717*H717,2)</f>
        <v>23438.84</v>
      </c>
      <c r="K717" s="172" t="s">
        <v>142</v>
      </c>
      <c r="L717" s="41"/>
      <c r="M717" s="177" t="s">
        <v>5</v>
      </c>
      <c r="N717" s="178" t="s">
        <v>42</v>
      </c>
      <c r="O717" s="42"/>
      <c r="P717" s="179">
        <f>O717*H717</f>
        <v>0</v>
      </c>
      <c r="Q717" s="179">
        <v>1.9400000000000001E-3</v>
      </c>
      <c r="R717" s="179">
        <f>Q717*H717</f>
        <v>5.6648000000000004E-2</v>
      </c>
      <c r="S717" s="179">
        <v>0</v>
      </c>
      <c r="T717" s="180">
        <f>S717*H717</f>
        <v>0</v>
      </c>
      <c r="AR717" s="24" t="s">
        <v>204</v>
      </c>
      <c r="AT717" s="24" t="s">
        <v>138</v>
      </c>
      <c r="AU717" s="24" t="s">
        <v>81</v>
      </c>
      <c r="AY717" s="24" t="s">
        <v>136</v>
      </c>
      <c r="BE717" s="181">
        <f>IF(N717="základní",J717,0)</f>
        <v>23438.84</v>
      </c>
      <c r="BF717" s="181">
        <f>IF(N717="snížená",J717,0)</f>
        <v>0</v>
      </c>
      <c r="BG717" s="181">
        <f>IF(N717="zákl. přenesená",J717,0)</f>
        <v>0</v>
      </c>
      <c r="BH717" s="181">
        <f>IF(N717="sníž. přenesená",J717,0)</f>
        <v>0</v>
      </c>
      <c r="BI717" s="181">
        <f>IF(N717="nulová",J717,0)</f>
        <v>0</v>
      </c>
      <c r="BJ717" s="24" t="s">
        <v>79</v>
      </c>
      <c r="BK717" s="181">
        <f>ROUND(I717*H717,2)</f>
        <v>23438.84</v>
      </c>
      <c r="BL717" s="24" t="s">
        <v>204</v>
      </c>
      <c r="BM717" s="24" t="s">
        <v>796</v>
      </c>
    </row>
    <row r="718" spans="2:65" s="12" customFormat="1" x14ac:dyDescent="0.3">
      <c r="B718" s="190"/>
      <c r="D718" s="183" t="s">
        <v>145</v>
      </c>
      <c r="E718" s="191" t="s">
        <v>5</v>
      </c>
      <c r="F718" s="312" t="s">
        <v>1415</v>
      </c>
      <c r="H718" s="315">
        <f>2*(5+9.6)</f>
        <v>29.2</v>
      </c>
      <c r="I718" s="194">
        <v>0</v>
      </c>
      <c r="J718" s="176">
        <f t="shared" ref="J718:J727" si="15">ROUND(I718*H718,2)</f>
        <v>0</v>
      </c>
      <c r="L718" s="41"/>
      <c r="M718" s="195"/>
      <c r="N718" s="196"/>
      <c r="O718" s="196"/>
      <c r="P718" s="196"/>
      <c r="Q718" s="196"/>
      <c r="R718" s="196"/>
      <c r="S718" s="196"/>
      <c r="T718" s="197"/>
      <c r="AT718" s="191" t="s">
        <v>145</v>
      </c>
      <c r="AU718" s="191" t="s">
        <v>81</v>
      </c>
      <c r="AV718" s="12" t="s">
        <v>81</v>
      </c>
      <c r="AW718" s="12" t="s">
        <v>35</v>
      </c>
      <c r="AX718" s="12" t="s">
        <v>79</v>
      </c>
      <c r="AY718" s="191" t="s">
        <v>136</v>
      </c>
    </row>
    <row r="719" spans="2:65" s="308" customFormat="1" ht="16.5" customHeight="1" x14ac:dyDescent="0.3">
      <c r="B719" s="169"/>
      <c r="C719" s="170"/>
      <c r="D719" s="170"/>
      <c r="E719" s="171"/>
      <c r="F719" s="172" t="s">
        <v>1570</v>
      </c>
      <c r="G719" s="173" t="s">
        <v>249</v>
      </c>
      <c r="H719" s="313">
        <f>H720</f>
        <v>29.2</v>
      </c>
      <c r="I719" s="175">
        <v>552</v>
      </c>
      <c r="J719" s="176">
        <f t="shared" si="15"/>
        <v>16118.4</v>
      </c>
      <c r="K719" s="172"/>
      <c r="L719" s="41"/>
      <c r="M719" s="177"/>
      <c r="N719" s="178"/>
      <c r="O719" s="309"/>
      <c r="P719" s="179"/>
      <c r="Q719" s="179"/>
      <c r="R719" s="179"/>
      <c r="S719" s="179"/>
      <c r="T719" s="180"/>
      <c r="AR719" s="24"/>
      <c r="AT719" s="24"/>
      <c r="AU719" s="24"/>
      <c r="AY719" s="24"/>
      <c r="BE719" s="181"/>
      <c r="BF719" s="181"/>
      <c r="BG719" s="181"/>
      <c r="BH719" s="181"/>
      <c r="BI719" s="181"/>
      <c r="BJ719" s="24"/>
      <c r="BK719" s="181"/>
      <c r="BL719" s="24"/>
      <c r="BM719" s="24"/>
    </row>
    <row r="720" spans="2:65" s="12" customFormat="1" x14ac:dyDescent="0.3">
      <c r="B720" s="190"/>
      <c r="D720" s="183"/>
      <c r="E720" s="191"/>
      <c r="F720" s="352" t="s">
        <v>1415</v>
      </c>
      <c r="H720" s="315">
        <f>2*(5+9.6)</f>
        <v>29.2</v>
      </c>
      <c r="I720" s="194">
        <v>0</v>
      </c>
      <c r="J720" s="176">
        <f t="shared" si="15"/>
        <v>0</v>
      </c>
      <c r="L720" s="41"/>
      <c r="M720" s="195"/>
      <c r="N720" s="328"/>
      <c r="O720" s="328"/>
      <c r="P720" s="328"/>
      <c r="Q720" s="328"/>
      <c r="R720" s="328"/>
      <c r="S720" s="328"/>
      <c r="T720" s="197"/>
      <c r="AT720" s="191"/>
      <c r="AU720" s="191"/>
      <c r="AY720" s="191"/>
    </row>
    <row r="721" spans="2:65" s="308" customFormat="1" ht="16.5" customHeight="1" x14ac:dyDescent="0.3">
      <c r="B721" s="169"/>
      <c r="C721" s="170"/>
      <c r="D721" s="170"/>
      <c r="E721" s="171"/>
      <c r="F721" s="172" t="s">
        <v>1572</v>
      </c>
      <c r="G721" s="173" t="s">
        <v>249</v>
      </c>
      <c r="H721" s="313">
        <f>H722</f>
        <v>20.399999999999999</v>
      </c>
      <c r="I721" s="175">
        <v>747.49999999999989</v>
      </c>
      <c r="J721" s="176">
        <f t="shared" si="15"/>
        <v>15249</v>
      </c>
      <c r="K721" s="172"/>
      <c r="L721" s="41"/>
      <c r="M721" s="177"/>
      <c r="N721" s="178"/>
      <c r="O721" s="309"/>
      <c r="P721" s="179"/>
      <c r="Q721" s="179"/>
      <c r="R721" s="179"/>
      <c r="S721" s="179"/>
      <c r="T721" s="180"/>
      <c r="AR721" s="24"/>
      <c r="AT721" s="24"/>
      <c r="AU721" s="24"/>
      <c r="AY721" s="24"/>
      <c r="BE721" s="181"/>
      <c r="BF721" s="181"/>
      <c r="BG721" s="181"/>
      <c r="BH721" s="181"/>
      <c r="BI721" s="181"/>
      <c r="BJ721" s="24"/>
      <c r="BK721" s="181"/>
      <c r="BL721" s="24"/>
      <c r="BM721" s="24"/>
    </row>
    <row r="722" spans="2:65" s="12" customFormat="1" x14ac:dyDescent="0.3">
      <c r="B722" s="190"/>
      <c r="D722" s="183"/>
      <c r="E722" s="191"/>
      <c r="F722" s="352" t="s">
        <v>1496</v>
      </c>
      <c r="H722" s="315">
        <f>5.2*2+10</f>
        <v>20.399999999999999</v>
      </c>
      <c r="I722" s="194">
        <v>0</v>
      </c>
      <c r="J722" s="176">
        <f t="shared" si="15"/>
        <v>0</v>
      </c>
      <c r="L722" s="41"/>
      <c r="M722" s="195"/>
      <c r="N722" s="328"/>
      <c r="O722" s="328"/>
      <c r="P722" s="328"/>
      <c r="Q722" s="328"/>
      <c r="R722" s="328"/>
      <c r="S722" s="328"/>
      <c r="T722" s="197"/>
      <c r="AT722" s="191"/>
      <c r="AU722" s="191"/>
      <c r="AY722" s="191"/>
    </row>
    <row r="723" spans="2:65" s="308" customFormat="1" ht="16.5" customHeight="1" x14ac:dyDescent="0.3">
      <c r="B723" s="169"/>
      <c r="C723" s="170"/>
      <c r="D723" s="170"/>
      <c r="E723" s="171"/>
      <c r="F723" s="172" t="s">
        <v>1573</v>
      </c>
      <c r="G723" s="173" t="s">
        <v>249</v>
      </c>
      <c r="H723" s="313">
        <f>H724</f>
        <v>5.2</v>
      </c>
      <c r="I723" s="175">
        <v>747.49999999999989</v>
      </c>
      <c r="J723" s="176">
        <f t="shared" si="15"/>
        <v>3887</v>
      </c>
      <c r="K723" s="172"/>
      <c r="L723" s="41"/>
      <c r="M723" s="177"/>
      <c r="N723" s="178"/>
      <c r="O723" s="309"/>
      <c r="P723" s="179"/>
      <c r="Q723" s="179"/>
      <c r="R723" s="179"/>
      <c r="S723" s="179"/>
      <c r="T723" s="180"/>
      <c r="AR723" s="24"/>
      <c r="AT723" s="24"/>
      <c r="AU723" s="24"/>
      <c r="AY723" s="24"/>
      <c r="BE723" s="181"/>
      <c r="BF723" s="181"/>
      <c r="BG723" s="181"/>
      <c r="BH723" s="181"/>
      <c r="BI723" s="181"/>
      <c r="BJ723" s="24"/>
      <c r="BK723" s="181"/>
      <c r="BL723" s="24"/>
      <c r="BM723" s="24"/>
    </row>
    <row r="724" spans="2:65" s="12" customFormat="1" x14ac:dyDescent="0.3">
      <c r="B724" s="190"/>
      <c r="D724" s="183"/>
      <c r="E724" s="191"/>
      <c r="F724" s="352">
        <v>5.2</v>
      </c>
      <c r="H724" s="315">
        <v>5.2</v>
      </c>
      <c r="I724" s="194">
        <v>0</v>
      </c>
      <c r="J724" s="176">
        <f t="shared" si="15"/>
        <v>0</v>
      </c>
      <c r="L724" s="41"/>
      <c r="M724" s="195"/>
      <c r="N724" s="328"/>
      <c r="O724" s="328"/>
      <c r="P724" s="328"/>
      <c r="Q724" s="328"/>
      <c r="R724" s="328"/>
      <c r="S724" s="328"/>
      <c r="T724" s="197"/>
      <c r="AT724" s="191"/>
      <c r="AU724" s="191"/>
      <c r="AY724" s="191"/>
    </row>
    <row r="725" spans="2:65" s="308" customFormat="1" ht="16.5" customHeight="1" x14ac:dyDescent="0.3">
      <c r="B725" s="169"/>
      <c r="C725" s="170"/>
      <c r="D725" s="170"/>
      <c r="E725" s="171"/>
      <c r="F725" s="172" t="s">
        <v>1571</v>
      </c>
      <c r="G725" s="173" t="s">
        <v>1497</v>
      </c>
      <c r="H725" s="313">
        <v>1</v>
      </c>
      <c r="I725" s="175">
        <v>5979.9999999999991</v>
      </c>
      <c r="J725" s="176">
        <f t="shared" si="15"/>
        <v>5980</v>
      </c>
      <c r="K725" s="172"/>
      <c r="L725" s="41"/>
      <c r="M725" s="177"/>
      <c r="N725" s="178"/>
      <c r="O725" s="309"/>
      <c r="P725" s="179"/>
      <c r="Q725" s="179"/>
      <c r="R725" s="179"/>
      <c r="S725" s="179"/>
      <c r="T725" s="180"/>
      <c r="AR725" s="24"/>
      <c r="AT725" s="24"/>
      <c r="AU725" s="24"/>
      <c r="AY725" s="24"/>
      <c r="BE725" s="181"/>
      <c r="BF725" s="181"/>
      <c r="BG725" s="181"/>
      <c r="BH725" s="181"/>
      <c r="BI725" s="181"/>
      <c r="BJ725" s="24"/>
      <c r="BK725" s="181"/>
      <c r="BL725" s="24"/>
      <c r="BM725" s="24"/>
    </row>
    <row r="726" spans="2:65" s="308" customFormat="1" ht="16.5" customHeight="1" x14ac:dyDescent="0.3">
      <c r="B726" s="169"/>
      <c r="C726" s="170"/>
      <c r="D726" s="170"/>
      <c r="E726" s="171"/>
      <c r="F726" s="172" t="s">
        <v>1574</v>
      </c>
      <c r="G726" s="173" t="s">
        <v>249</v>
      </c>
      <c r="H726" s="313">
        <v>6</v>
      </c>
      <c r="I726" s="175">
        <v>747.49999999999989</v>
      </c>
      <c r="J726" s="176">
        <f t="shared" si="15"/>
        <v>4485</v>
      </c>
      <c r="K726" s="172"/>
      <c r="L726" s="41"/>
      <c r="M726" s="177"/>
      <c r="N726" s="178"/>
      <c r="O726" s="309"/>
      <c r="P726" s="179"/>
      <c r="Q726" s="179"/>
      <c r="R726" s="179"/>
      <c r="S726" s="179"/>
      <c r="T726" s="180"/>
      <c r="AR726" s="24"/>
      <c r="AT726" s="24"/>
      <c r="AU726" s="24"/>
      <c r="AY726" s="24"/>
      <c r="BE726" s="181"/>
      <c r="BF726" s="181"/>
      <c r="BG726" s="181"/>
      <c r="BH726" s="181"/>
      <c r="BI726" s="181"/>
      <c r="BJ726" s="24"/>
      <c r="BK726" s="181"/>
      <c r="BL726" s="24"/>
      <c r="BM726" s="24"/>
    </row>
    <row r="727" spans="2:65" s="310" customFormat="1" ht="16.5" customHeight="1" x14ac:dyDescent="0.3">
      <c r="B727" s="169"/>
      <c r="C727" s="393"/>
      <c r="D727" s="170"/>
      <c r="E727" s="171"/>
      <c r="F727" s="172" t="s">
        <v>1555</v>
      </c>
      <c r="G727" s="173" t="s">
        <v>222</v>
      </c>
      <c r="H727" s="313">
        <v>3</v>
      </c>
      <c r="I727" s="175">
        <v>3449.9999999999995</v>
      </c>
      <c r="J727" s="176">
        <f t="shared" si="15"/>
        <v>10350</v>
      </c>
      <c r="K727" s="172"/>
      <c r="L727" s="41"/>
      <c r="M727" s="177"/>
      <c r="N727" s="343"/>
      <c r="O727" s="344"/>
      <c r="P727" s="345"/>
      <c r="Q727" s="345"/>
      <c r="R727" s="345"/>
      <c r="S727" s="345"/>
      <c r="T727" s="180"/>
      <c r="AR727" s="24"/>
      <c r="AT727" s="24"/>
      <c r="AU727" s="24"/>
      <c r="AY727" s="24"/>
      <c r="BE727" s="181"/>
      <c r="BF727" s="181"/>
      <c r="BG727" s="181"/>
      <c r="BH727" s="181"/>
      <c r="BI727" s="181"/>
      <c r="BJ727" s="24"/>
      <c r="BK727" s="181"/>
      <c r="BL727" s="24"/>
      <c r="BM727" s="24"/>
    </row>
    <row r="728" spans="2:65" s="1" customFormat="1" ht="16.5" customHeight="1" x14ac:dyDescent="0.3">
      <c r="B728" s="169"/>
      <c r="C728" s="170" t="s">
        <v>797</v>
      </c>
      <c r="D728" s="170" t="s">
        <v>138</v>
      </c>
      <c r="E728" s="171" t="s">
        <v>798</v>
      </c>
      <c r="F728" s="172" t="s">
        <v>799</v>
      </c>
      <c r="G728" s="173" t="s">
        <v>554</v>
      </c>
      <c r="H728" s="226">
        <v>2493.84</v>
      </c>
      <c r="I728" s="175">
        <v>4.0249999999999995</v>
      </c>
      <c r="J728" s="176">
        <f>ROUND(I728*H728,2)</f>
        <v>10037.709999999999</v>
      </c>
      <c r="K728" s="172" t="s">
        <v>142</v>
      </c>
      <c r="L728" s="41"/>
      <c r="M728" s="177" t="s">
        <v>5</v>
      </c>
      <c r="N728" s="178" t="s">
        <v>42</v>
      </c>
      <c r="O728" s="42"/>
      <c r="P728" s="179">
        <f>O728*H728</f>
        <v>0</v>
      </c>
      <c r="Q728" s="179">
        <v>0</v>
      </c>
      <c r="R728" s="179">
        <f>Q728*H728</f>
        <v>0</v>
      </c>
      <c r="S728" s="179">
        <v>0</v>
      </c>
      <c r="T728" s="180">
        <f>S728*H728</f>
        <v>0</v>
      </c>
      <c r="AR728" s="24" t="s">
        <v>204</v>
      </c>
      <c r="AT728" s="24" t="s">
        <v>138</v>
      </c>
      <c r="AU728" s="24" t="s">
        <v>81</v>
      </c>
      <c r="AY728" s="24" t="s">
        <v>136</v>
      </c>
      <c r="BE728" s="181">
        <f>IF(N728="základní",J728,0)</f>
        <v>10037.709999999999</v>
      </c>
      <c r="BF728" s="181">
        <f>IF(N728="snížená",J728,0)</f>
        <v>0</v>
      </c>
      <c r="BG728" s="181">
        <f>IF(N728="zákl. přenesená",J728,0)</f>
        <v>0</v>
      </c>
      <c r="BH728" s="181">
        <f>IF(N728="sníž. přenesená",J728,0)</f>
        <v>0</v>
      </c>
      <c r="BI728" s="181">
        <f>IF(N728="nulová",J728,0)</f>
        <v>0</v>
      </c>
      <c r="BJ728" s="24" t="s">
        <v>79</v>
      </c>
      <c r="BK728" s="181">
        <f>ROUND(I728*H728,2)</f>
        <v>10037.709999999999</v>
      </c>
      <c r="BL728" s="24" t="s">
        <v>204</v>
      </c>
      <c r="BM728" s="24" t="s">
        <v>800</v>
      </c>
    </row>
    <row r="729" spans="2:65" s="10" customFormat="1" ht="29.85" customHeight="1" x14ac:dyDescent="0.3">
      <c r="B729" s="156"/>
      <c r="D729" s="157" t="s">
        <v>70</v>
      </c>
      <c r="E729" s="167" t="s">
        <v>801</v>
      </c>
      <c r="F729" s="167" t="s">
        <v>802</v>
      </c>
      <c r="I729" s="159">
        <v>0</v>
      </c>
      <c r="J729" s="168">
        <f>SUM(J730:J734)</f>
        <v>15343.300000000001</v>
      </c>
      <c r="L729" s="41"/>
      <c r="M729" s="161"/>
      <c r="N729" s="162"/>
      <c r="O729" s="162"/>
      <c r="P729" s="163">
        <f>SUM(P730:P734)</f>
        <v>0</v>
      </c>
      <c r="Q729" s="162"/>
      <c r="R729" s="163">
        <f>SUM(R730:R734)</f>
        <v>1.6830000000000001E-2</v>
      </c>
      <c r="S729" s="162"/>
      <c r="T729" s="164">
        <f>SUM(T730:T734)</f>
        <v>0</v>
      </c>
      <c r="AR729" s="157" t="s">
        <v>81</v>
      </c>
      <c r="AT729" s="165" t="s">
        <v>70</v>
      </c>
      <c r="AU729" s="165" t="s">
        <v>79</v>
      </c>
      <c r="AY729" s="157" t="s">
        <v>136</v>
      </c>
      <c r="BK729" s="166">
        <f>SUM(BK730:BK734)</f>
        <v>15343.300000000001</v>
      </c>
    </row>
    <row r="730" spans="2:65" s="1" customFormat="1" ht="25.5" customHeight="1" x14ac:dyDescent="0.3">
      <c r="B730" s="169"/>
      <c r="C730" s="170" t="s">
        <v>803</v>
      </c>
      <c r="D730" s="170" t="s">
        <v>138</v>
      </c>
      <c r="E730" s="171" t="s">
        <v>804</v>
      </c>
      <c r="F730" s="172" t="s">
        <v>805</v>
      </c>
      <c r="G730" s="173" t="s">
        <v>179</v>
      </c>
      <c r="H730" s="313">
        <f>H731</f>
        <v>112.19999999999999</v>
      </c>
      <c r="I730" s="175">
        <v>36.799999999999997</v>
      </c>
      <c r="J730" s="176">
        <f>ROUND(I730*H730,2)</f>
        <v>4128.96</v>
      </c>
      <c r="K730" s="172" t="s">
        <v>142</v>
      </c>
      <c r="L730" s="41"/>
      <c r="M730" s="177" t="s">
        <v>5</v>
      </c>
      <c r="N730" s="178" t="s">
        <v>42</v>
      </c>
      <c r="O730" s="42"/>
      <c r="P730" s="179">
        <f>O730*H730</f>
        <v>0</v>
      </c>
      <c r="Q730" s="179">
        <v>0</v>
      </c>
      <c r="R730" s="179">
        <f>Q730*H730</f>
        <v>0</v>
      </c>
      <c r="S730" s="179">
        <v>0</v>
      </c>
      <c r="T730" s="180">
        <f>S730*H730</f>
        <v>0</v>
      </c>
      <c r="AR730" s="24" t="s">
        <v>204</v>
      </c>
      <c r="AT730" s="24" t="s">
        <v>138</v>
      </c>
      <c r="AU730" s="24" t="s">
        <v>81</v>
      </c>
      <c r="AY730" s="24" t="s">
        <v>136</v>
      </c>
      <c r="BE730" s="181">
        <f>IF(N730="základní",J730,0)</f>
        <v>4128.96</v>
      </c>
      <c r="BF730" s="181">
        <f>IF(N730="snížená",J730,0)</f>
        <v>0</v>
      </c>
      <c r="BG730" s="181">
        <f>IF(N730="zákl. přenesená",J730,0)</f>
        <v>0</v>
      </c>
      <c r="BH730" s="181">
        <f>IF(N730="sníž. přenesená",J730,0)</f>
        <v>0</v>
      </c>
      <c r="BI730" s="181">
        <f>IF(N730="nulová",J730,0)</f>
        <v>0</v>
      </c>
      <c r="BJ730" s="24" t="s">
        <v>79</v>
      </c>
      <c r="BK730" s="181">
        <f>ROUND(I730*H730,2)</f>
        <v>4128.96</v>
      </c>
      <c r="BL730" s="24" t="s">
        <v>204</v>
      </c>
      <c r="BM730" s="24" t="s">
        <v>806</v>
      </c>
    </row>
    <row r="731" spans="2:65" s="12" customFormat="1" x14ac:dyDescent="0.3">
      <c r="B731" s="190"/>
      <c r="D731" s="183" t="s">
        <v>145</v>
      </c>
      <c r="E731" s="191" t="s">
        <v>5</v>
      </c>
      <c r="F731" s="312" t="s">
        <v>1397</v>
      </c>
      <c r="H731" s="315">
        <f>2*5.5*10.2</f>
        <v>112.19999999999999</v>
      </c>
      <c r="I731" s="194">
        <v>0</v>
      </c>
      <c r="L731" s="41"/>
      <c r="M731" s="195"/>
      <c r="N731" s="196"/>
      <c r="O731" s="196"/>
      <c r="P731" s="196"/>
      <c r="Q731" s="196"/>
      <c r="R731" s="196"/>
      <c r="S731" s="196"/>
      <c r="T731" s="197"/>
      <c r="AT731" s="191" t="s">
        <v>145</v>
      </c>
      <c r="AU731" s="191" t="s">
        <v>81</v>
      </c>
      <c r="AV731" s="12" t="s">
        <v>81</v>
      </c>
      <c r="AW731" s="12" t="s">
        <v>35</v>
      </c>
      <c r="AX731" s="12" t="s">
        <v>79</v>
      </c>
      <c r="AY731" s="191" t="s">
        <v>136</v>
      </c>
    </row>
    <row r="732" spans="2:65" s="1" customFormat="1" ht="25.5" customHeight="1" x14ac:dyDescent="0.3">
      <c r="B732" s="169"/>
      <c r="C732" s="206" t="s">
        <v>807</v>
      </c>
      <c r="D732" s="206" t="s">
        <v>355</v>
      </c>
      <c r="E732" s="207" t="s">
        <v>808</v>
      </c>
      <c r="F732" s="208" t="s">
        <v>809</v>
      </c>
      <c r="G732" s="209" t="s">
        <v>179</v>
      </c>
      <c r="H732" s="355">
        <f>112.2*1.25</f>
        <v>140.25</v>
      </c>
      <c r="I732" s="211">
        <v>74.75</v>
      </c>
      <c r="J732" s="212">
        <f>ROUND(I732*H732,2)</f>
        <v>10483.69</v>
      </c>
      <c r="K732" s="208" t="s">
        <v>142</v>
      </c>
      <c r="L732" s="41"/>
      <c r="M732" s="213" t="s">
        <v>5</v>
      </c>
      <c r="N732" s="214" t="s">
        <v>42</v>
      </c>
      <c r="O732" s="42"/>
      <c r="P732" s="179">
        <f>O732*H732</f>
        <v>0</v>
      </c>
      <c r="Q732" s="179">
        <v>1.2E-4</v>
      </c>
      <c r="R732" s="179">
        <f>Q732*H732</f>
        <v>1.6830000000000001E-2</v>
      </c>
      <c r="S732" s="179">
        <v>0</v>
      </c>
      <c r="T732" s="180">
        <f>S732*H732</f>
        <v>0</v>
      </c>
      <c r="AR732" s="24" t="s">
        <v>283</v>
      </c>
      <c r="AT732" s="24" t="s">
        <v>355</v>
      </c>
      <c r="AU732" s="24" t="s">
        <v>81</v>
      </c>
      <c r="AY732" s="24" t="s">
        <v>136</v>
      </c>
      <c r="BE732" s="181">
        <f>IF(N732="základní",J732,0)</f>
        <v>10483.69</v>
      </c>
      <c r="BF732" s="181">
        <f>IF(N732="snížená",J732,0)</f>
        <v>0</v>
      </c>
      <c r="BG732" s="181">
        <f>IF(N732="zákl. přenesená",J732,0)</f>
        <v>0</v>
      </c>
      <c r="BH732" s="181">
        <f>IF(N732="sníž. přenesená",J732,0)</f>
        <v>0</v>
      </c>
      <c r="BI732" s="181">
        <f>IF(N732="nulová",J732,0)</f>
        <v>0</v>
      </c>
      <c r="BJ732" s="24" t="s">
        <v>79</v>
      </c>
      <c r="BK732" s="181">
        <f>ROUND(I732*H732,2)</f>
        <v>10483.69</v>
      </c>
      <c r="BL732" s="24" t="s">
        <v>204</v>
      </c>
      <c r="BM732" s="24" t="s">
        <v>810</v>
      </c>
    </row>
    <row r="733" spans="2:65" s="12" customFormat="1" x14ac:dyDescent="0.3">
      <c r="B733" s="190"/>
      <c r="D733" s="183" t="s">
        <v>145</v>
      </c>
      <c r="F733" s="312" t="s">
        <v>1416</v>
      </c>
      <c r="H733" s="315">
        <f>112.2*1.25</f>
        <v>140.25</v>
      </c>
      <c r="I733" s="194">
        <v>0</v>
      </c>
      <c r="L733" s="41"/>
      <c r="M733" s="195"/>
      <c r="N733" s="196"/>
      <c r="O733" s="196"/>
      <c r="P733" s="196"/>
      <c r="Q733" s="196"/>
      <c r="R733" s="196"/>
      <c r="S733" s="196"/>
      <c r="T733" s="197"/>
      <c r="AT733" s="191" t="s">
        <v>145</v>
      </c>
      <c r="AU733" s="191" t="s">
        <v>81</v>
      </c>
      <c r="AV733" s="12" t="s">
        <v>81</v>
      </c>
      <c r="AW733" s="12" t="s">
        <v>6</v>
      </c>
      <c r="AX733" s="12" t="s">
        <v>79</v>
      </c>
      <c r="AY733" s="191" t="s">
        <v>136</v>
      </c>
    </row>
    <row r="734" spans="2:65" s="1" customFormat="1" ht="16.5" customHeight="1" x14ac:dyDescent="0.3">
      <c r="B734" s="169"/>
      <c r="C734" s="170" t="s">
        <v>811</v>
      </c>
      <c r="D734" s="170" t="s">
        <v>138</v>
      </c>
      <c r="E734" s="171" t="s">
        <v>812</v>
      </c>
      <c r="F734" s="172" t="s">
        <v>813</v>
      </c>
      <c r="G734" s="173" t="s">
        <v>554</v>
      </c>
      <c r="H734" s="226">
        <v>127.07</v>
      </c>
      <c r="I734" s="175">
        <v>5.75</v>
      </c>
      <c r="J734" s="176">
        <f>ROUND(I734*H734,2)</f>
        <v>730.65</v>
      </c>
      <c r="K734" s="172" t="s">
        <v>142</v>
      </c>
      <c r="L734" s="41"/>
      <c r="M734" s="177" t="s">
        <v>5</v>
      </c>
      <c r="N734" s="178" t="s">
        <v>42</v>
      </c>
      <c r="O734" s="42"/>
      <c r="P734" s="179">
        <f>O734*H734</f>
        <v>0</v>
      </c>
      <c r="Q734" s="179">
        <v>0</v>
      </c>
      <c r="R734" s="179">
        <f>Q734*H734</f>
        <v>0</v>
      </c>
      <c r="S734" s="179">
        <v>0</v>
      </c>
      <c r="T734" s="180">
        <f>S734*H734</f>
        <v>0</v>
      </c>
      <c r="AR734" s="24" t="s">
        <v>204</v>
      </c>
      <c r="AT734" s="24" t="s">
        <v>138</v>
      </c>
      <c r="AU734" s="24" t="s">
        <v>81</v>
      </c>
      <c r="AY734" s="24" t="s">
        <v>136</v>
      </c>
      <c r="BE734" s="181">
        <f>IF(N734="základní",J734,0)</f>
        <v>730.65</v>
      </c>
      <c r="BF734" s="181">
        <f>IF(N734="snížená",J734,0)</f>
        <v>0</v>
      </c>
      <c r="BG734" s="181">
        <f>IF(N734="zákl. přenesená",J734,0)</f>
        <v>0</v>
      </c>
      <c r="BH734" s="181">
        <f>IF(N734="sníž. přenesená",J734,0)</f>
        <v>0</v>
      </c>
      <c r="BI734" s="181">
        <f>IF(N734="nulová",J734,0)</f>
        <v>0</v>
      </c>
      <c r="BJ734" s="24" t="s">
        <v>79</v>
      </c>
      <c r="BK734" s="181">
        <f>ROUND(I734*H734,2)</f>
        <v>730.65</v>
      </c>
      <c r="BL734" s="24" t="s">
        <v>204</v>
      </c>
      <c r="BM734" s="24" t="s">
        <v>814</v>
      </c>
    </row>
    <row r="735" spans="2:65" s="10" customFormat="1" ht="29.85" customHeight="1" x14ac:dyDescent="0.3">
      <c r="B735" s="156"/>
      <c r="D735" s="157" t="s">
        <v>70</v>
      </c>
      <c r="E735" s="167" t="s">
        <v>815</v>
      </c>
      <c r="F735" s="167" t="s">
        <v>816</v>
      </c>
      <c r="I735" s="159">
        <v>0</v>
      </c>
      <c r="J735" s="168">
        <f>SUM(J736:J760)</f>
        <v>107175.86900000001</v>
      </c>
      <c r="L735" s="41"/>
      <c r="M735" s="161"/>
      <c r="N735" s="162"/>
      <c r="O735" s="162"/>
      <c r="P735" s="163">
        <f>SUM(P736:P760)</f>
        <v>0</v>
      </c>
      <c r="Q735" s="162"/>
      <c r="R735" s="163">
        <f>SUM(R736:R760)</f>
        <v>3.0900000000000004E-2</v>
      </c>
      <c r="S735" s="162"/>
      <c r="T735" s="164">
        <f>SUM(T736:T760)</f>
        <v>0</v>
      </c>
      <c r="AR735" s="157" t="s">
        <v>81</v>
      </c>
      <c r="AT735" s="165" t="s">
        <v>70</v>
      </c>
      <c r="AU735" s="165" t="s">
        <v>79</v>
      </c>
      <c r="AY735" s="157" t="s">
        <v>136</v>
      </c>
      <c r="BK735" s="166">
        <f>SUM(BK736:BK760)</f>
        <v>70038.850000000006</v>
      </c>
    </row>
    <row r="736" spans="2:65" s="1" customFormat="1" ht="25.5" customHeight="1" x14ac:dyDescent="0.3">
      <c r="B736" s="169"/>
      <c r="C736" s="170" t="s">
        <v>817</v>
      </c>
      <c r="D736" s="170" t="s">
        <v>138</v>
      </c>
      <c r="E736" s="171" t="s">
        <v>818</v>
      </c>
      <c r="F736" s="172" t="s">
        <v>819</v>
      </c>
      <c r="G736" s="173" t="s">
        <v>222</v>
      </c>
      <c r="H736" s="313">
        <f>SUM(H737:H738)</f>
        <v>17</v>
      </c>
      <c r="I736" s="175">
        <v>575</v>
      </c>
      <c r="J736" s="176">
        <f>ROUND(I736*H736,2)</f>
        <v>9775</v>
      </c>
      <c r="K736" s="172" t="s">
        <v>142</v>
      </c>
      <c r="L736" s="41"/>
      <c r="M736" s="177" t="s">
        <v>5</v>
      </c>
      <c r="N736" s="178" t="s">
        <v>42</v>
      </c>
      <c r="O736" s="42"/>
      <c r="P736" s="179">
        <f>O736*H736</f>
        <v>0</v>
      </c>
      <c r="Q736" s="179">
        <v>0</v>
      </c>
      <c r="R736" s="179">
        <f>Q736*H736</f>
        <v>0</v>
      </c>
      <c r="S736" s="179">
        <v>0</v>
      </c>
      <c r="T736" s="180">
        <f>S736*H736</f>
        <v>0</v>
      </c>
      <c r="AR736" s="24" t="s">
        <v>204</v>
      </c>
      <c r="AT736" s="24" t="s">
        <v>138</v>
      </c>
      <c r="AU736" s="24" t="s">
        <v>81</v>
      </c>
      <c r="AY736" s="24" t="s">
        <v>136</v>
      </c>
      <c r="BE736" s="181">
        <f>IF(N736="základní",J736,0)</f>
        <v>9775</v>
      </c>
      <c r="BF736" s="181">
        <f>IF(N736="snížená",J736,0)</f>
        <v>0</v>
      </c>
      <c r="BG736" s="181">
        <f>IF(N736="zákl. přenesená",J736,0)</f>
        <v>0</v>
      </c>
      <c r="BH736" s="181">
        <f>IF(N736="sníž. přenesená",J736,0)</f>
        <v>0</v>
      </c>
      <c r="BI736" s="181">
        <f>IF(N736="nulová",J736,0)</f>
        <v>0</v>
      </c>
      <c r="BJ736" s="24" t="s">
        <v>79</v>
      </c>
      <c r="BK736" s="181">
        <f>ROUND(I736*H736,2)</f>
        <v>9775</v>
      </c>
      <c r="BL736" s="24" t="s">
        <v>204</v>
      </c>
      <c r="BM736" s="24" t="s">
        <v>820</v>
      </c>
    </row>
    <row r="737" spans="1:65" s="12" customFormat="1" x14ac:dyDescent="0.3">
      <c r="B737" s="190"/>
      <c r="D737" s="183"/>
      <c r="E737" s="314" t="s">
        <v>1205</v>
      </c>
      <c r="F737" s="312">
        <v>9</v>
      </c>
      <c r="H737" s="315">
        <v>9</v>
      </c>
      <c r="I737" s="194">
        <v>0</v>
      </c>
      <c r="L737" s="41"/>
      <c r="M737" s="195"/>
      <c r="N737" s="196"/>
      <c r="O737" s="196"/>
      <c r="P737" s="196"/>
      <c r="Q737" s="196"/>
      <c r="R737" s="196"/>
      <c r="S737" s="196"/>
      <c r="T737" s="197"/>
      <c r="AT737" s="191"/>
      <c r="AU737" s="191"/>
      <c r="AY737" s="191"/>
    </row>
    <row r="738" spans="1:65" s="12" customFormat="1" x14ac:dyDescent="0.3">
      <c r="B738" s="190"/>
      <c r="D738" s="183"/>
      <c r="E738" s="314" t="s">
        <v>1209</v>
      </c>
      <c r="F738" s="312">
        <v>8</v>
      </c>
      <c r="H738" s="315">
        <v>8</v>
      </c>
      <c r="I738" s="194">
        <v>0</v>
      </c>
      <c r="L738" s="41"/>
      <c r="M738" s="195"/>
      <c r="N738" s="196"/>
      <c r="O738" s="196"/>
      <c r="P738" s="196"/>
      <c r="Q738" s="196"/>
      <c r="R738" s="196"/>
      <c r="S738" s="196"/>
      <c r="T738" s="197"/>
      <c r="AT738" s="191"/>
      <c r="AU738" s="191"/>
      <c r="AY738" s="191"/>
    </row>
    <row r="739" spans="1:65" s="1" customFormat="1" ht="16.5" customHeight="1" x14ac:dyDescent="0.3">
      <c r="A739" s="1" t="s">
        <v>1417</v>
      </c>
      <c r="B739" s="169"/>
      <c r="C739" s="206" t="s">
        <v>821</v>
      </c>
      <c r="D739" s="206" t="s">
        <v>355</v>
      </c>
      <c r="E739" s="207" t="s">
        <v>822</v>
      </c>
      <c r="F739" s="208" t="s">
        <v>823</v>
      </c>
      <c r="G739" s="209" t="s">
        <v>222</v>
      </c>
      <c r="H739" s="210"/>
      <c r="I739" s="211">
        <v>2875</v>
      </c>
      <c r="J739" s="212">
        <f>ROUND(I739*H739,2)</f>
        <v>0</v>
      </c>
      <c r="K739" s="208" t="s">
        <v>5</v>
      </c>
      <c r="L739" s="41"/>
      <c r="M739" s="213" t="s">
        <v>5</v>
      </c>
      <c r="N739" s="214" t="s">
        <v>42</v>
      </c>
      <c r="O739" s="42"/>
      <c r="P739" s="179">
        <f>O739*H739</f>
        <v>0</v>
      </c>
      <c r="Q739" s="179">
        <v>0</v>
      </c>
      <c r="R739" s="179">
        <f>Q739*H739</f>
        <v>0</v>
      </c>
      <c r="S739" s="179">
        <v>0</v>
      </c>
      <c r="T739" s="180">
        <f>S739*H739</f>
        <v>0</v>
      </c>
      <c r="AR739" s="24" t="s">
        <v>283</v>
      </c>
      <c r="AT739" s="24" t="s">
        <v>355</v>
      </c>
      <c r="AU739" s="24" t="s">
        <v>81</v>
      </c>
      <c r="AY739" s="24" t="s">
        <v>136</v>
      </c>
      <c r="BE739" s="181">
        <f>IF(N739="základní",J739,0)</f>
        <v>0</v>
      </c>
      <c r="BF739" s="181">
        <f>IF(N739="snížená",J739,0)</f>
        <v>0</v>
      </c>
      <c r="BG739" s="181">
        <f>IF(N739="zákl. přenesená",J739,0)</f>
        <v>0</v>
      </c>
      <c r="BH739" s="181">
        <f>IF(N739="sníž. přenesená",J739,0)</f>
        <v>0</v>
      </c>
      <c r="BI739" s="181">
        <f>IF(N739="nulová",J739,0)</f>
        <v>0</v>
      </c>
      <c r="BJ739" s="24" t="s">
        <v>79</v>
      </c>
      <c r="BK739" s="181">
        <f>ROUND(I739*H739,2)</f>
        <v>0</v>
      </c>
      <c r="BL739" s="24" t="s">
        <v>204</v>
      </c>
      <c r="BM739" s="24" t="s">
        <v>824</v>
      </c>
    </row>
    <row r="740" spans="1:65" s="1" customFormat="1" ht="16.5" customHeight="1" x14ac:dyDescent="0.3">
      <c r="B740" s="169"/>
      <c r="C740" s="206" t="s">
        <v>825</v>
      </c>
      <c r="D740" s="206" t="s">
        <v>355</v>
      </c>
      <c r="E740" s="207" t="s">
        <v>826</v>
      </c>
      <c r="F740" s="208" t="s">
        <v>827</v>
      </c>
      <c r="G740" s="209" t="s">
        <v>222</v>
      </c>
      <c r="H740" s="355">
        <f>H736</f>
        <v>17</v>
      </c>
      <c r="I740" s="211">
        <v>2875</v>
      </c>
      <c r="J740" s="212">
        <f>ROUND(I740*H740,2)</f>
        <v>48875</v>
      </c>
      <c r="K740" s="208" t="s">
        <v>5</v>
      </c>
      <c r="L740" s="41"/>
      <c r="M740" s="213" t="s">
        <v>5</v>
      </c>
      <c r="N740" s="214" t="s">
        <v>42</v>
      </c>
      <c r="O740" s="42"/>
      <c r="P740" s="179">
        <f>O740*H740</f>
        <v>0</v>
      </c>
      <c r="Q740" s="179">
        <v>0</v>
      </c>
      <c r="R740" s="179">
        <f>Q740*H740</f>
        <v>0</v>
      </c>
      <c r="S740" s="179">
        <v>0</v>
      </c>
      <c r="T740" s="180">
        <f>S740*H740</f>
        <v>0</v>
      </c>
      <c r="AR740" s="24" t="s">
        <v>283</v>
      </c>
      <c r="AT740" s="24" t="s">
        <v>355</v>
      </c>
      <c r="AU740" s="24" t="s">
        <v>81</v>
      </c>
      <c r="AY740" s="24" t="s">
        <v>136</v>
      </c>
      <c r="BE740" s="181">
        <f>IF(N740="základní",J740,0)</f>
        <v>48875</v>
      </c>
      <c r="BF740" s="181">
        <f>IF(N740="snížená",J740,0)</f>
        <v>0</v>
      </c>
      <c r="BG740" s="181">
        <f>IF(N740="zákl. přenesená",J740,0)</f>
        <v>0</v>
      </c>
      <c r="BH740" s="181">
        <f>IF(N740="sníž. přenesená",J740,0)</f>
        <v>0</v>
      </c>
      <c r="BI740" s="181">
        <f>IF(N740="nulová",J740,0)</f>
        <v>0</v>
      </c>
      <c r="BJ740" s="24" t="s">
        <v>79</v>
      </c>
      <c r="BK740" s="181">
        <f>ROUND(I740*H740,2)</f>
        <v>48875</v>
      </c>
      <c r="BL740" s="24" t="s">
        <v>204</v>
      </c>
      <c r="BM740" s="24" t="s">
        <v>828</v>
      </c>
    </row>
    <row r="741" spans="1:65" s="1" customFormat="1" ht="16.5" customHeight="1" x14ac:dyDescent="0.3">
      <c r="B741" s="169"/>
      <c r="C741" s="170" t="s">
        <v>829</v>
      </c>
      <c r="D741" s="170" t="s">
        <v>138</v>
      </c>
      <c r="E741" s="171" t="s">
        <v>830</v>
      </c>
      <c r="F741" s="172" t="s">
        <v>831</v>
      </c>
      <c r="G741" s="173" t="s">
        <v>222</v>
      </c>
      <c r="H741" s="320">
        <v>11</v>
      </c>
      <c r="I741" s="175">
        <v>0</v>
      </c>
      <c r="J741" s="176">
        <f>ROUND(I741*H741,2)</f>
        <v>0</v>
      </c>
      <c r="K741" s="172" t="s">
        <v>5</v>
      </c>
      <c r="L741" s="41"/>
      <c r="M741" s="177" t="s">
        <v>5</v>
      </c>
      <c r="N741" s="178" t="s">
        <v>42</v>
      </c>
      <c r="O741" s="42"/>
      <c r="P741" s="179">
        <f>O741*H741</f>
        <v>0</v>
      </c>
      <c r="Q741" s="179">
        <v>0</v>
      </c>
      <c r="R741" s="179">
        <f>Q741*H741</f>
        <v>0</v>
      </c>
      <c r="S741" s="179">
        <v>0</v>
      </c>
      <c r="T741" s="180">
        <f>S741*H741</f>
        <v>0</v>
      </c>
      <c r="AR741" s="24" t="s">
        <v>204</v>
      </c>
      <c r="AT741" s="24" t="s">
        <v>138</v>
      </c>
      <c r="AU741" s="24" t="s">
        <v>81</v>
      </c>
      <c r="AY741" s="24" t="s">
        <v>136</v>
      </c>
      <c r="BE741" s="181">
        <f>IF(N741="základní",J741,0)</f>
        <v>0</v>
      </c>
      <c r="BF741" s="181">
        <f>IF(N741="snížená",J741,0)</f>
        <v>0</v>
      </c>
      <c r="BG741" s="181">
        <f>IF(N741="zákl. přenesená",J741,0)</f>
        <v>0</v>
      </c>
      <c r="BH741" s="181">
        <f>IF(N741="sníž. přenesená",J741,0)</f>
        <v>0</v>
      </c>
      <c r="BI741" s="181">
        <f>IF(N741="nulová",J741,0)</f>
        <v>0</v>
      </c>
      <c r="BJ741" s="24" t="s">
        <v>79</v>
      </c>
      <c r="BK741" s="181">
        <f>ROUND(I741*H741,2)</f>
        <v>0</v>
      </c>
      <c r="BL741" s="24" t="s">
        <v>204</v>
      </c>
      <c r="BM741" s="24" t="s">
        <v>832</v>
      </c>
    </row>
    <row r="742" spans="1:65" s="1" customFormat="1" ht="16.5" customHeight="1" x14ac:dyDescent="0.3">
      <c r="B742" s="169"/>
      <c r="C742" s="206" t="s">
        <v>833</v>
      </c>
      <c r="D742" s="206" t="s">
        <v>355</v>
      </c>
      <c r="E742" s="207" t="s">
        <v>834</v>
      </c>
      <c r="F742" s="367" t="s">
        <v>1418</v>
      </c>
      <c r="G742" s="209" t="s">
        <v>249</v>
      </c>
      <c r="H742" s="210">
        <f>SUM(H744:H750)</f>
        <v>10.3</v>
      </c>
      <c r="I742" s="211">
        <v>667</v>
      </c>
      <c r="J742" s="212">
        <f>ROUND(I742*H742,2)</f>
        <v>6870.1</v>
      </c>
      <c r="K742" s="208" t="s">
        <v>142</v>
      </c>
      <c r="L742" s="41"/>
      <c r="M742" s="213" t="s">
        <v>5</v>
      </c>
      <c r="N742" s="214" t="s">
        <v>42</v>
      </c>
      <c r="O742" s="42"/>
      <c r="P742" s="179">
        <f>O742*H742</f>
        <v>0</v>
      </c>
      <c r="Q742" s="179">
        <v>3.0000000000000001E-3</v>
      </c>
      <c r="R742" s="179">
        <f>Q742*H742</f>
        <v>3.0900000000000004E-2</v>
      </c>
      <c r="S742" s="179">
        <v>0</v>
      </c>
      <c r="T742" s="180">
        <f>S742*H742</f>
        <v>0</v>
      </c>
      <c r="AR742" s="24" t="s">
        <v>283</v>
      </c>
      <c r="AT742" s="24" t="s">
        <v>355</v>
      </c>
      <c r="AU742" s="24" t="s">
        <v>81</v>
      </c>
      <c r="AY742" s="24" t="s">
        <v>136</v>
      </c>
      <c r="BE742" s="181">
        <f>IF(N742="základní",J742,0)</f>
        <v>6870.1</v>
      </c>
      <c r="BF742" s="181">
        <f>IF(N742="snížená",J742,0)</f>
        <v>0</v>
      </c>
      <c r="BG742" s="181">
        <f>IF(N742="zákl. přenesená",J742,0)</f>
        <v>0</v>
      </c>
      <c r="BH742" s="181">
        <f>IF(N742="sníž. přenesená",J742,0)</f>
        <v>0</v>
      </c>
      <c r="BI742" s="181">
        <f>IF(N742="nulová",J742,0)</f>
        <v>0</v>
      </c>
      <c r="BJ742" s="24" t="s">
        <v>79</v>
      </c>
      <c r="BK742" s="181">
        <f>ROUND(I742*H742,2)</f>
        <v>6870.1</v>
      </c>
      <c r="BL742" s="24" t="s">
        <v>204</v>
      </c>
      <c r="BM742" s="24" t="s">
        <v>835</v>
      </c>
    </row>
    <row r="743" spans="1:65" s="11" customFormat="1" x14ac:dyDescent="0.3">
      <c r="B743" s="182"/>
      <c r="D743" s="183" t="s">
        <v>145</v>
      </c>
      <c r="E743" s="184" t="s">
        <v>5</v>
      </c>
      <c r="F743" s="312" t="s">
        <v>1288</v>
      </c>
      <c r="G743" s="327"/>
      <c r="H743" s="314"/>
      <c r="I743" s="356">
        <v>0</v>
      </c>
      <c r="L743" s="41"/>
      <c r="M743" s="187"/>
      <c r="N743" s="188"/>
      <c r="O743" s="188"/>
      <c r="P743" s="188"/>
      <c r="Q743" s="188"/>
      <c r="R743" s="188"/>
      <c r="S743" s="188"/>
      <c r="T743" s="189"/>
      <c r="AT743" s="184" t="s">
        <v>145</v>
      </c>
      <c r="AU743" s="184" t="s">
        <v>81</v>
      </c>
      <c r="AV743" s="11" t="s">
        <v>79</v>
      </c>
      <c r="AW743" s="11" t="s">
        <v>35</v>
      </c>
      <c r="AX743" s="11" t="s">
        <v>71</v>
      </c>
      <c r="AY743" s="184" t="s">
        <v>136</v>
      </c>
    </row>
    <row r="744" spans="1:65" s="12" customFormat="1" x14ac:dyDescent="0.3">
      <c r="B744" s="190"/>
      <c r="D744" s="183" t="s">
        <v>145</v>
      </c>
      <c r="E744" s="191" t="s">
        <v>5</v>
      </c>
      <c r="F744" s="312" t="s">
        <v>1307</v>
      </c>
      <c r="G744" s="327"/>
      <c r="H744" s="315">
        <f>1.25+1.5</f>
        <v>2.75</v>
      </c>
      <c r="I744" s="356">
        <v>0</v>
      </c>
      <c r="L744" s="41"/>
      <c r="M744" s="195"/>
      <c r="N744" s="196"/>
      <c r="O744" s="196"/>
      <c r="P744" s="196"/>
      <c r="Q744" s="196"/>
      <c r="R744" s="196"/>
      <c r="S744" s="196"/>
      <c r="T744" s="197"/>
      <c r="AT744" s="191" t="s">
        <v>145</v>
      </c>
      <c r="AU744" s="191" t="s">
        <v>81</v>
      </c>
      <c r="AV744" s="12" t="s">
        <v>81</v>
      </c>
      <c r="AW744" s="12" t="s">
        <v>35</v>
      </c>
      <c r="AX744" s="12" t="s">
        <v>71</v>
      </c>
      <c r="AY744" s="191" t="s">
        <v>136</v>
      </c>
    </row>
    <row r="745" spans="1:65" s="12" customFormat="1" x14ac:dyDescent="0.3">
      <c r="B745" s="190"/>
      <c r="D745" s="183" t="s">
        <v>145</v>
      </c>
      <c r="E745" s="191" t="s">
        <v>5</v>
      </c>
      <c r="F745" s="312" t="s">
        <v>1287</v>
      </c>
      <c r="G745" s="327"/>
      <c r="H745" s="315"/>
      <c r="I745" s="356">
        <v>0</v>
      </c>
      <c r="L745" s="41"/>
      <c r="M745" s="195"/>
      <c r="N745" s="196"/>
      <c r="O745" s="196"/>
      <c r="P745" s="196"/>
      <c r="Q745" s="196"/>
      <c r="R745" s="196"/>
      <c r="S745" s="196"/>
      <c r="T745" s="197"/>
      <c r="AT745" s="191" t="s">
        <v>145</v>
      </c>
      <c r="AU745" s="191" t="s">
        <v>81</v>
      </c>
      <c r="AV745" s="12" t="s">
        <v>81</v>
      </c>
      <c r="AW745" s="12" t="s">
        <v>35</v>
      </c>
      <c r="AX745" s="12" t="s">
        <v>71</v>
      </c>
      <c r="AY745" s="191" t="s">
        <v>136</v>
      </c>
    </row>
    <row r="746" spans="1:65" s="12" customFormat="1" x14ac:dyDescent="0.3">
      <c r="B746" s="190"/>
      <c r="D746" s="183" t="s">
        <v>145</v>
      </c>
      <c r="E746" s="191" t="s">
        <v>5</v>
      </c>
      <c r="F746" s="312" t="s">
        <v>1413</v>
      </c>
      <c r="G746" s="327"/>
      <c r="H746" s="315">
        <f>1.8+1</f>
        <v>2.8</v>
      </c>
      <c r="I746" s="356">
        <v>0</v>
      </c>
      <c r="L746" s="41"/>
      <c r="M746" s="195"/>
      <c r="N746" s="196"/>
      <c r="O746" s="196"/>
      <c r="P746" s="196"/>
      <c r="Q746" s="196"/>
      <c r="R746" s="196"/>
      <c r="S746" s="196"/>
      <c r="T746" s="197"/>
      <c r="AT746" s="191" t="s">
        <v>145</v>
      </c>
      <c r="AU746" s="191" t="s">
        <v>81</v>
      </c>
      <c r="AV746" s="12" t="s">
        <v>81</v>
      </c>
      <c r="AW746" s="12" t="s">
        <v>35</v>
      </c>
      <c r="AX746" s="12" t="s">
        <v>71</v>
      </c>
      <c r="AY746" s="191" t="s">
        <v>136</v>
      </c>
    </row>
    <row r="747" spans="1:65" s="12" customFormat="1" x14ac:dyDescent="0.3">
      <c r="B747" s="190"/>
      <c r="D747" s="183" t="s">
        <v>145</v>
      </c>
      <c r="E747" s="191" t="s">
        <v>5</v>
      </c>
      <c r="F747" s="312" t="s">
        <v>1286</v>
      </c>
      <c r="G747" s="327"/>
      <c r="H747" s="315"/>
      <c r="I747" s="356">
        <v>0</v>
      </c>
      <c r="L747" s="41"/>
      <c r="M747" s="195"/>
      <c r="N747" s="196"/>
      <c r="O747" s="196"/>
      <c r="P747" s="196"/>
      <c r="Q747" s="196"/>
      <c r="R747" s="196"/>
      <c r="S747" s="196"/>
      <c r="T747" s="197"/>
      <c r="AT747" s="191" t="s">
        <v>145</v>
      </c>
      <c r="AU747" s="191" t="s">
        <v>81</v>
      </c>
      <c r="AV747" s="12" t="s">
        <v>81</v>
      </c>
      <c r="AW747" s="12" t="s">
        <v>35</v>
      </c>
      <c r="AX747" s="12" t="s">
        <v>71</v>
      </c>
      <c r="AY747" s="191" t="s">
        <v>136</v>
      </c>
    </row>
    <row r="748" spans="1:65" s="12" customFormat="1" x14ac:dyDescent="0.3">
      <c r="B748" s="190"/>
      <c r="D748" s="183" t="s">
        <v>145</v>
      </c>
      <c r="E748" s="191" t="s">
        <v>5</v>
      </c>
      <c r="F748" s="312" t="s">
        <v>1309</v>
      </c>
      <c r="G748" s="327"/>
      <c r="H748" s="315">
        <f>0.625*5</f>
        <v>3.125</v>
      </c>
      <c r="I748" s="356">
        <v>0</v>
      </c>
      <c r="L748" s="41"/>
      <c r="M748" s="195"/>
      <c r="N748" s="196"/>
      <c r="O748" s="196"/>
      <c r="P748" s="196"/>
      <c r="Q748" s="196"/>
      <c r="R748" s="196"/>
      <c r="S748" s="196"/>
      <c r="T748" s="197"/>
      <c r="AT748" s="191" t="s">
        <v>145</v>
      </c>
      <c r="AU748" s="191" t="s">
        <v>81</v>
      </c>
      <c r="AV748" s="12" t="s">
        <v>81</v>
      </c>
      <c r="AW748" s="12" t="s">
        <v>35</v>
      </c>
      <c r="AX748" s="12" t="s">
        <v>71</v>
      </c>
      <c r="AY748" s="191" t="s">
        <v>136</v>
      </c>
    </row>
    <row r="749" spans="1:65" s="12" customFormat="1" x14ac:dyDescent="0.3">
      <c r="B749" s="190"/>
      <c r="D749" s="183" t="s">
        <v>145</v>
      </c>
      <c r="E749" s="191" t="s">
        <v>5</v>
      </c>
      <c r="F749" s="312" t="s">
        <v>1290</v>
      </c>
      <c r="G749" s="327"/>
      <c r="H749" s="315"/>
      <c r="I749" s="356">
        <v>0</v>
      </c>
      <c r="L749" s="41"/>
      <c r="M749" s="195"/>
      <c r="N749" s="196"/>
      <c r="O749" s="196"/>
      <c r="P749" s="196"/>
      <c r="Q749" s="196"/>
      <c r="R749" s="196"/>
      <c r="S749" s="196"/>
      <c r="T749" s="197"/>
      <c r="AT749" s="191" t="s">
        <v>145</v>
      </c>
      <c r="AU749" s="191" t="s">
        <v>81</v>
      </c>
      <c r="AV749" s="12" t="s">
        <v>81</v>
      </c>
      <c r="AW749" s="12" t="s">
        <v>35</v>
      </c>
      <c r="AX749" s="12" t="s">
        <v>71</v>
      </c>
      <c r="AY749" s="191" t="s">
        <v>136</v>
      </c>
    </row>
    <row r="750" spans="1:65" s="12" customFormat="1" x14ac:dyDescent="0.3">
      <c r="B750" s="190"/>
      <c r="D750" s="183" t="s">
        <v>145</v>
      </c>
      <c r="E750" s="191" t="s">
        <v>5</v>
      </c>
      <c r="F750" s="312" t="s">
        <v>1414</v>
      </c>
      <c r="G750" s="327"/>
      <c r="H750" s="315">
        <f>0.625+1</f>
        <v>1.625</v>
      </c>
      <c r="I750" s="356">
        <v>0</v>
      </c>
      <c r="L750" s="41"/>
      <c r="M750" s="195"/>
      <c r="N750" s="196"/>
      <c r="O750" s="196"/>
      <c r="P750" s="196"/>
      <c r="Q750" s="196"/>
      <c r="R750" s="196"/>
      <c r="S750" s="196"/>
      <c r="T750" s="197"/>
      <c r="AT750" s="191" t="s">
        <v>145</v>
      </c>
      <c r="AU750" s="191" t="s">
        <v>81</v>
      </c>
      <c r="AV750" s="12" t="s">
        <v>81</v>
      </c>
      <c r="AW750" s="12" t="s">
        <v>35</v>
      </c>
      <c r="AX750" s="12" t="s">
        <v>71</v>
      </c>
      <c r="AY750" s="191" t="s">
        <v>136</v>
      </c>
    </row>
    <row r="751" spans="1:65" s="12" customFormat="1" x14ac:dyDescent="0.3">
      <c r="B751" s="190"/>
      <c r="D751" s="183" t="s">
        <v>145</v>
      </c>
      <c r="E751" s="191" t="s">
        <v>5</v>
      </c>
      <c r="F751" s="192"/>
      <c r="H751" s="193"/>
      <c r="I751" s="194">
        <v>0</v>
      </c>
      <c r="L751" s="41"/>
      <c r="M751" s="195"/>
      <c r="N751" s="196"/>
      <c r="O751" s="196"/>
      <c r="P751" s="196"/>
      <c r="Q751" s="196"/>
      <c r="R751" s="196"/>
      <c r="S751" s="196"/>
      <c r="T751" s="197"/>
      <c r="AT751" s="191" t="s">
        <v>145</v>
      </c>
      <c r="AU751" s="191" t="s">
        <v>81</v>
      </c>
      <c r="AV751" s="12" t="s">
        <v>81</v>
      </c>
      <c r="AW751" s="12" t="s">
        <v>35</v>
      </c>
      <c r="AX751" s="12" t="s">
        <v>71</v>
      </c>
      <c r="AY751" s="191" t="s">
        <v>136</v>
      </c>
    </row>
    <row r="752" spans="1:65" s="12" customFormat="1" x14ac:dyDescent="0.3">
      <c r="B752" s="190"/>
      <c r="D752" s="183"/>
      <c r="E752" s="191"/>
      <c r="F752" s="192"/>
      <c r="H752" s="193"/>
      <c r="I752" s="194">
        <v>0</v>
      </c>
      <c r="L752" s="41"/>
      <c r="M752" s="195"/>
      <c r="N752" s="328"/>
      <c r="O752" s="328"/>
      <c r="P752" s="328"/>
      <c r="Q752" s="328"/>
      <c r="R752" s="328"/>
      <c r="S752" s="328"/>
      <c r="T752" s="197"/>
      <c r="AT752" s="191"/>
      <c r="AU752" s="191"/>
      <c r="AY752" s="191"/>
    </row>
    <row r="753" spans="2:65" s="12" customFormat="1" x14ac:dyDescent="0.3">
      <c r="B753" s="190"/>
      <c r="D753" s="183"/>
      <c r="E753" s="191"/>
      <c r="F753" s="312"/>
      <c r="G753" s="327"/>
      <c r="H753" s="315"/>
      <c r="I753" s="194">
        <v>0</v>
      </c>
      <c r="L753" s="41"/>
      <c r="M753" s="195"/>
      <c r="N753" s="328"/>
      <c r="O753" s="328"/>
      <c r="P753" s="328"/>
      <c r="Q753" s="328"/>
      <c r="R753" s="328"/>
      <c r="S753" s="328"/>
      <c r="T753" s="197"/>
      <c r="AT753" s="191"/>
      <c r="AU753" s="191"/>
      <c r="AY753" s="191"/>
    </row>
    <row r="754" spans="2:65" s="308" customFormat="1" ht="16.5" customHeight="1" x14ac:dyDescent="0.3">
      <c r="B754" s="169"/>
      <c r="C754" s="170"/>
      <c r="D754" s="170" t="s">
        <v>145</v>
      </c>
      <c r="E754" s="171" t="s">
        <v>5</v>
      </c>
      <c r="F754" s="408" t="s">
        <v>1431</v>
      </c>
      <c r="G754" s="376" t="s">
        <v>179</v>
      </c>
      <c r="H754" s="377">
        <f>H755</f>
        <v>7.38</v>
      </c>
      <c r="I754" s="175">
        <v>2875</v>
      </c>
      <c r="J754" s="176">
        <f>H754*I754</f>
        <v>21217.5</v>
      </c>
      <c r="K754" s="172"/>
      <c r="L754" s="41"/>
      <c r="M754" s="177"/>
      <c r="N754" s="178"/>
      <c r="O754" s="309"/>
      <c r="P754" s="179"/>
      <c r="Q754" s="179"/>
      <c r="R754" s="179"/>
      <c r="S754" s="179"/>
      <c r="T754" s="180"/>
      <c r="AR754" s="24"/>
      <c r="AT754" s="24" t="s">
        <v>145</v>
      </c>
      <c r="AU754" s="24" t="s">
        <v>81</v>
      </c>
      <c r="AV754" s="308" t="s">
        <v>81</v>
      </c>
      <c r="AW754" s="308" t="s">
        <v>35</v>
      </c>
      <c r="AX754" s="308" t="s">
        <v>71</v>
      </c>
      <c r="AY754" s="24" t="s">
        <v>136</v>
      </c>
      <c r="BE754" s="181"/>
      <c r="BF754" s="181"/>
      <c r="BG754" s="181"/>
      <c r="BH754" s="181"/>
      <c r="BI754" s="181"/>
      <c r="BJ754" s="24"/>
      <c r="BK754" s="181"/>
      <c r="BL754" s="24"/>
      <c r="BM754" s="24"/>
    </row>
    <row r="755" spans="2:65" s="13" customFormat="1" x14ac:dyDescent="0.3">
      <c r="B755" s="198"/>
      <c r="D755" s="183" t="s">
        <v>145</v>
      </c>
      <c r="E755" s="199" t="s">
        <v>5</v>
      </c>
      <c r="F755" s="312" t="s">
        <v>1432</v>
      </c>
      <c r="H755" s="201">
        <f>4.1*1.8</f>
        <v>7.38</v>
      </c>
      <c r="I755" s="202">
        <v>0</v>
      </c>
      <c r="J755" s="176">
        <f t="shared" ref="J755" si="16">H755*I755</f>
        <v>0</v>
      </c>
      <c r="L755" s="41"/>
      <c r="M755" s="203"/>
      <c r="N755" s="204"/>
      <c r="O755" s="204"/>
      <c r="P755" s="204"/>
      <c r="Q755" s="204"/>
      <c r="R755" s="204"/>
      <c r="S755" s="204"/>
      <c r="T755" s="205"/>
      <c r="AT755" s="199" t="s">
        <v>145</v>
      </c>
      <c r="AU755" s="199" t="s">
        <v>81</v>
      </c>
      <c r="AV755" s="13" t="s">
        <v>143</v>
      </c>
      <c r="AW755" s="13" t="s">
        <v>35</v>
      </c>
      <c r="AX755" s="13" t="s">
        <v>79</v>
      </c>
      <c r="AY755" s="199" t="s">
        <v>136</v>
      </c>
    </row>
    <row r="756" spans="2:65" s="308" customFormat="1" ht="16.5" customHeight="1" x14ac:dyDescent="0.3">
      <c r="B756" s="169"/>
      <c r="C756" s="170"/>
      <c r="D756" s="170"/>
      <c r="E756" s="171" t="s">
        <v>1434</v>
      </c>
      <c r="F756" s="408" t="s">
        <v>1576</v>
      </c>
      <c r="G756" s="376" t="s">
        <v>179</v>
      </c>
      <c r="H756" s="377">
        <f>H757</f>
        <v>12.459999999999999</v>
      </c>
      <c r="I756" s="175">
        <v>287.5</v>
      </c>
      <c r="J756" s="176">
        <f t="shared" ref="J756:J758" si="17">H756*I756</f>
        <v>3582.2499999999995</v>
      </c>
      <c r="K756" s="172"/>
      <c r="L756" s="41"/>
      <c r="M756" s="177"/>
      <c r="N756" s="178"/>
      <c r="O756" s="309"/>
      <c r="P756" s="179"/>
      <c r="Q756" s="179"/>
      <c r="R756" s="179"/>
      <c r="S756" s="179"/>
      <c r="T756" s="180"/>
      <c r="AR756" s="24"/>
      <c r="AT756" s="24"/>
      <c r="AU756" s="24"/>
      <c r="AY756" s="24"/>
      <c r="BE756" s="181"/>
      <c r="BF756" s="181"/>
      <c r="BG756" s="181"/>
      <c r="BH756" s="181"/>
      <c r="BI756" s="181"/>
      <c r="BJ756" s="24"/>
      <c r="BK756" s="181"/>
      <c r="BL756" s="24"/>
      <c r="BM756" s="24"/>
    </row>
    <row r="757" spans="2:65" s="13" customFormat="1" x14ac:dyDescent="0.3">
      <c r="B757" s="198"/>
      <c r="D757" s="183"/>
      <c r="E757" s="199"/>
      <c r="F757" s="312" t="s">
        <v>1435</v>
      </c>
      <c r="H757" s="201">
        <f>2.8*4.45</f>
        <v>12.459999999999999</v>
      </c>
      <c r="I757" s="202">
        <v>0</v>
      </c>
      <c r="J757" s="176">
        <f t="shared" si="17"/>
        <v>0</v>
      </c>
      <c r="L757" s="41"/>
      <c r="M757" s="203"/>
      <c r="N757" s="358"/>
      <c r="O757" s="358"/>
      <c r="P757" s="358"/>
      <c r="Q757" s="358"/>
      <c r="R757" s="358"/>
      <c r="S757" s="358"/>
      <c r="T757" s="205"/>
      <c r="AT757" s="199"/>
      <c r="AU757" s="199"/>
      <c r="AY757" s="199"/>
    </row>
    <row r="758" spans="2:65" s="308" customFormat="1" ht="16.5" customHeight="1" x14ac:dyDescent="0.3">
      <c r="B758" s="169"/>
      <c r="C758" s="170"/>
      <c r="D758" s="170"/>
      <c r="E758" s="171"/>
      <c r="F758" s="408" t="s">
        <v>1575</v>
      </c>
      <c r="G758" s="376" t="s">
        <v>179</v>
      </c>
      <c r="H758" s="377">
        <f>H759</f>
        <v>13.083</v>
      </c>
      <c r="I758" s="175">
        <v>942.99999999999989</v>
      </c>
      <c r="J758" s="176">
        <f t="shared" si="17"/>
        <v>12337.268999999998</v>
      </c>
      <c r="K758" s="172"/>
      <c r="L758" s="41"/>
      <c r="M758" s="177"/>
      <c r="N758" s="178"/>
      <c r="O758" s="309"/>
      <c r="P758" s="179"/>
      <c r="Q758" s="179"/>
      <c r="R758" s="179"/>
      <c r="S758" s="179"/>
      <c r="T758" s="180"/>
      <c r="AR758" s="24"/>
      <c r="AT758" s="24"/>
      <c r="AU758" s="24"/>
      <c r="AY758" s="24"/>
      <c r="BE758" s="181"/>
      <c r="BF758" s="181"/>
      <c r="BG758" s="181"/>
      <c r="BH758" s="181"/>
      <c r="BI758" s="181"/>
      <c r="BJ758" s="24"/>
      <c r="BK758" s="181"/>
      <c r="BL758" s="24"/>
      <c r="BM758" s="24"/>
    </row>
    <row r="759" spans="2:65" s="13" customFormat="1" x14ac:dyDescent="0.3">
      <c r="B759" s="198"/>
      <c r="D759" s="183"/>
      <c r="E759" s="199"/>
      <c r="F759" s="312" t="s">
        <v>1436</v>
      </c>
      <c r="H759" s="201">
        <f>2.8*4.45*1.05</f>
        <v>13.083</v>
      </c>
      <c r="I759" s="202">
        <v>0</v>
      </c>
      <c r="L759" s="41"/>
      <c r="M759" s="203"/>
      <c r="N759" s="358"/>
      <c r="O759" s="358"/>
      <c r="P759" s="358"/>
      <c r="Q759" s="358"/>
      <c r="R759" s="358"/>
      <c r="S759" s="358"/>
      <c r="T759" s="205"/>
      <c r="AT759" s="199"/>
      <c r="AU759" s="199"/>
      <c r="AY759" s="199"/>
    </row>
    <row r="760" spans="2:65" s="1" customFormat="1" ht="16.5" customHeight="1" x14ac:dyDescent="0.3">
      <c r="B760" s="169"/>
      <c r="C760" s="170" t="s">
        <v>836</v>
      </c>
      <c r="D760" s="170" t="s">
        <v>138</v>
      </c>
      <c r="E760" s="171" t="s">
        <v>837</v>
      </c>
      <c r="F760" s="172" t="s">
        <v>838</v>
      </c>
      <c r="G760" s="173" t="s">
        <v>554</v>
      </c>
      <c r="H760" s="226">
        <v>1122.67</v>
      </c>
      <c r="I760" s="175">
        <v>4.0249999999999995</v>
      </c>
      <c r="J760" s="176">
        <f>ROUND(I760*H760,2)</f>
        <v>4518.75</v>
      </c>
      <c r="K760" s="172" t="s">
        <v>142</v>
      </c>
      <c r="L760" s="41"/>
      <c r="M760" s="177" t="s">
        <v>5</v>
      </c>
      <c r="N760" s="178" t="s">
        <v>42</v>
      </c>
      <c r="O760" s="42"/>
      <c r="P760" s="179">
        <f>O760*H760</f>
        <v>0</v>
      </c>
      <c r="Q760" s="179">
        <v>0</v>
      </c>
      <c r="R760" s="179">
        <f>Q760*H760</f>
        <v>0</v>
      </c>
      <c r="S760" s="179">
        <v>0</v>
      </c>
      <c r="T760" s="180">
        <f>S760*H760</f>
        <v>0</v>
      </c>
      <c r="AR760" s="24" t="s">
        <v>204</v>
      </c>
      <c r="AT760" s="24" t="s">
        <v>138</v>
      </c>
      <c r="AU760" s="24" t="s">
        <v>81</v>
      </c>
      <c r="AY760" s="24" t="s">
        <v>136</v>
      </c>
      <c r="BE760" s="181">
        <f>IF(N760="základní",J760,0)</f>
        <v>4518.75</v>
      </c>
      <c r="BF760" s="181">
        <f>IF(N760="snížená",J760,0)</f>
        <v>0</v>
      </c>
      <c r="BG760" s="181">
        <f>IF(N760="zákl. přenesená",J760,0)</f>
        <v>0</v>
      </c>
      <c r="BH760" s="181">
        <f>IF(N760="sníž. přenesená",J760,0)</f>
        <v>0</v>
      </c>
      <c r="BI760" s="181">
        <f>IF(N760="nulová",J760,0)</f>
        <v>0</v>
      </c>
      <c r="BJ760" s="24" t="s">
        <v>79</v>
      </c>
      <c r="BK760" s="181">
        <f>ROUND(I760*H760,2)</f>
        <v>4518.75</v>
      </c>
      <c r="BL760" s="24" t="s">
        <v>204</v>
      </c>
      <c r="BM760" s="24" t="s">
        <v>839</v>
      </c>
    </row>
    <row r="761" spans="2:65" s="10" customFormat="1" ht="29.85" customHeight="1" x14ac:dyDescent="0.3">
      <c r="B761" s="156"/>
      <c r="D761" s="157" t="s">
        <v>70</v>
      </c>
      <c r="E761" s="167" t="s">
        <v>840</v>
      </c>
      <c r="F761" s="167" t="s">
        <v>841</v>
      </c>
      <c r="I761" s="159">
        <v>0</v>
      </c>
      <c r="J761" s="168">
        <f>SUM(J762:J794)</f>
        <v>1799630.84</v>
      </c>
      <c r="L761" s="41"/>
      <c r="M761" s="161"/>
      <c r="N761" s="162"/>
      <c r="O761" s="162"/>
      <c r="P761" s="163">
        <f>SUM(P762:P794)</f>
        <v>0</v>
      </c>
      <c r="Q761" s="162"/>
      <c r="R761" s="163">
        <f>SUM(R762:R794)</f>
        <v>0.57517000000000007</v>
      </c>
      <c r="S761" s="162"/>
      <c r="T761" s="164">
        <f>SUM(T762:T794)</f>
        <v>0</v>
      </c>
      <c r="AR761" s="157" t="s">
        <v>81</v>
      </c>
      <c r="AT761" s="165" t="s">
        <v>70</v>
      </c>
      <c r="AU761" s="165" t="s">
        <v>79</v>
      </c>
      <c r="AY761" s="157" t="s">
        <v>136</v>
      </c>
      <c r="BK761" s="166">
        <f>SUM(BK762:BK794)</f>
        <v>1488146</v>
      </c>
    </row>
    <row r="762" spans="2:65" s="1" customFormat="1" ht="16.5" customHeight="1" x14ac:dyDescent="0.3">
      <c r="B762" s="169"/>
      <c r="C762" s="170" t="s">
        <v>842</v>
      </c>
      <c r="D762" s="170" t="s">
        <v>138</v>
      </c>
      <c r="E762" s="171" t="s">
        <v>843</v>
      </c>
      <c r="F762" s="172" t="s">
        <v>1421</v>
      </c>
      <c r="G762" s="173" t="s">
        <v>1577</v>
      </c>
      <c r="H762" s="320">
        <v>1</v>
      </c>
      <c r="I762" s="175">
        <v>206999.99999999997</v>
      </c>
      <c r="J762" s="176">
        <f>ROUND(I762*H762,2)</f>
        <v>207000</v>
      </c>
      <c r="K762" s="172" t="s">
        <v>5</v>
      </c>
      <c r="L762" s="41"/>
      <c r="M762" s="177" t="s">
        <v>5</v>
      </c>
      <c r="N762" s="178" t="s">
        <v>42</v>
      </c>
      <c r="O762" s="42"/>
      <c r="P762" s="179">
        <f>O762*H762</f>
        <v>0</v>
      </c>
      <c r="Q762" s="179">
        <v>0</v>
      </c>
      <c r="R762" s="179">
        <f>Q762*H762</f>
        <v>0</v>
      </c>
      <c r="S762" s="179">
        <v>0</v>
      </c>
      <c r="T762" s="180">
        <f>S762*H762</f>
        <v>0</v>
      </c>
      <c r="AR762" s="24" t="s">
        <v>204</v>
      </c>
      <c r="AT762" s="24" t="s">
        <v>138</v>
      </c>
      <c r="AU762" s="24" t="s">
        <v>81</v>
      </c>
      <c r="AY762" s="24" t="s">
        <v>136</v>
      </c>
      <c r="BE762" s="181">
        <f>IF(N762="základní",J762,0)</f>
        <v>207000</v>
      </c>
      <c r="BF762" s="181">
        <f>IF(N762="snížená",J762,0)</f>
        <v>0</v>
      </c>
      <c r="BG762" s="181">
        <f>IF(N762="zákl. přenesená",J762,0)</f>
        <v>0</v>
      </c>
      <c r="BH762" s="181">
        <f>IF(N762="sníž. přenesená",J762,0)</f>
        <v>0</v>
      </c>
      <c r="BI762" s="181">
        <f>IF(N762="nulová",J762,0)</f>
        <v>0</v>
      </c>
      <c r="BJ762" s="24" t="s">
        <v>79</v>
      </c>
      <c r="BK762" s="181">
        <f>ROUND(I762*H762,2)</f>
        <v>207000</v>
      </c>
      <c r="BL762" s="24" t="s">
        <v>204</v>
      </c>
      <c r="BM762" s="24" t="s">
        <v>845</v>
      </c>
    </row>
    <row r="763" spans="2:65" s="11" customFormat="1" x14ac:dyDescent="0.3">
      <c r="B763" s="182"/>
      <c r="D763" s="183"/>
      <c r="E763" s="374" t="s">
        <v>1378</v>
      </c>
      <c r="F763" s="312" t="s">
        <v>1419</v>
      </c>
      <c r="H763" s="332">
        <v>4.07</v>
      </c>
      <c r="I763" s="186">
        <v>0</v>
      </c>
      <c r="L763" s="41"/>
      <c r="M763" s="187"/>
      <c r="N763" s="188"/>
      <c r="O763" s="188"/>
      <c r="P763" s="188"/>
      <c r="Q763" s="188"/>
      <c r="R763" s="188"/>
      <c r="S763" s="188"/>
      <c r="T763" s="189"/>
      <c r="AT763" s="184"/>
      <c r="AU763" s="184"/>
      <c r="AY763" s="184"/>
    </row>
    <row r="764" spans="2:65" s="1" customFormat="1" ht="16.5" customHeight="1" x14ac:dyDescent="0.3">
      <c r="B764" s="169"/>
      <c r="C764" s="170" t="s">
        <v>846</v>
      </c>
      <c r="D764" s="170" t="s">
        <v>138</v>
      </c>
      <c r="E764" s="171" t="s">
        <v>847</v>
      </c>
      <c r="F764" s="172" t="s">
        <v>848</v>
      </c>
      <c r="G764" s="173" t="s">
        <v>249</v>
      </c>
      <c r="H764" s="313">
        <f>SUM(H766:H768)</f>
        <v>42.34</v>
      </c>
      <c r="I764" s="175">
        <v>6899.9999999999991</v>
      </c>
      <c r="J764" s="176">
        <f>ROUND(I764*H764,2)</f>
        <v>292146</v>
      </c>
      <c r="K764" s="172" t="s">
        <v>5</v>
      </c>
      <c r="L764" s="41"/>
      <c r="M764" s="177" t="s">
        <v>5</v>
      </c>
      <c r="N764" s="178" t="s">
        <v>42</v>
      </c>
      <c r="O764" s="42"/>
      <c r="P764" s="179">
        <f>O764*H764</f>
        <v>0</v>
      </c>
      <c r="Q764" s="179">
        <v>0</v>
      </c>
      <c r="R764" s="179">
        <f>Q764*H764</f>
        <v>0</v>
      </c>
      <c r="S764" s="179">
        <v>0</v>
      </c>
      <c r="T764" s="180">
        <f>S764*H764</f>
        <v>0</v>
      </c>
      <c r="AR764" s="24" t="s">
        <v>204</v>
      </c>
      <c r="AT764" s="24" t="s">
        <v>138</v>
      </c>
      <c r="AU764" s="24" t="s">
        <v>81</v>
      </c>
      <c r="AY764" s="24" t="s">
        <v>136</v>
      </c>
      <c r="BE764" s="181">
        <f>IF(N764="základní",J764,0)</f>
        <v>292146</v>
      </c>
      <c r="BF764" s="181">
        <f>IF(N764="snížená",J764,0)</f>
        <v>0</v>
      </c>
      <c r="BG764" s="181">
        <f>IF(N764="zákl. přenesená",J764,0)</f>
        <v>0</v>
      </c>
      <c r="BH764" s="181">
        <f>IF(N764="sníž. přenesená",J764,0)</f>
        <v>0</v>
      </c>
      <c r="BI764" s="181">
        <f>IF(N764="nulová",J764,0)</f>
        <v>0</v>
      </c>
      <c r="BJ764" s="24" t="s">
        <v>79</v>
      </c>
      <c r="BK764" s="181">
        <f>ROUND(I764*H764,2)</f>
        <v>292146</v>
      </c>
      <c r="BL764" s="24" t="s">
        <v>204</v>
      </c>
      <c r="BM764" s="24" t="s">
        <v>849</v>
      </c>
    </row>
    <row r="765" spans="2:65" s="11" customFormat="1" x14ac:dyDescent="0.3">
      <c r="B765" s="182"/>
      <c r="D765" s="183" t="s">
        <v>145</v>
      </c>
      <c r="E765" s="184" t="s">
        <v>5</v>
      </c>
      <c r="F765" s="312" t="s">
        <v>267</v>
      </c>
      <c r="H765" s="314" t="s">
        <v>5</v>
      </c>
      <c r="I765" s="186">
        <v>0</v>
      </c>
      <c r="J765" s="176"/>
      <c r="L765" s="41"/>
      <c r="M765" s="187"/>
      <c r="N765" s="188"/>
      <c r="O765" s="188"/>
      <c r="P765" s="188"/>
      <c r="Q765" s="188"/>
      <c r="R765" s="188"/>
      <c r="S765" s="188"/>
      <c r="T765" s="189"/>
      <c r="AT765" s="184" t="s">
        <v>145</v>
      </c>
      <c r="AU765" s="184" t="s">
        <v>81</v>
      </c>
      <c r="AV765" s="11" t="s">
        <v>79</v>
      </c>
      <c r="AW765" s="11" t="s">
        <v>35</v>
      </c>
      <c r="AX765" s="11" t="s">
        <v>71</v>
      </c>
      <c r="AY765" s="184" t="s">
        <v>136</v>
      </c>
    </row>
    <row r="766" spans="2:65" s="12" customFormat="1" x14ac:dyDescent="0.3">
      <c r="B766" s="190"/>
      <c r="D766" s="183" t="s">
        <v>145</v>
      </c>
      <c r="E766" s="191" t="s">
        <v>5</v>
      </c>
      <c r="F766" s="312" t="s">
        <v>1420</v>
      </c>
      <c r="H766" s="315">
        <f>3*(2.7+1.55*2)</f>
        <v>17.400000000000002</v>
      </c>
      <c r="I766" s="194">
        <v>0</v>
      </c>
      <c r="J766" s="176"/>
      <c r="L766" s="41"/>
      <c r="M766" s="195"/>
      <c r="N766" s="196"/>
      <c r="O766" s="196"/>
      <c r="P766" s="196"/>
      <c r="Q766" s="196"/>
      <c r="R766" s="196"/>
      <c r="S766" s="196"/>
      <c r="T766" s="197"/>
      <c r="AT766" s="191" t="s">
        <v>145</v>
      </c>
      <c r="AU766" s="191" t="s">
        <v>81</v>
      </c>
      <c r="AV766" s="12" t="s">
        <v>81</v>
      </c>
      <c r="AW766" s="12" t="s">
        <v>35</v>
      </c>
      <c r="AX766" s="12" t="s">
        <v>71</v>
      </c>
      <c r="AY766" s="191" t="s">
        <v>136</v>
      </c>
    </row>
    <row r="767" spans="2:65" s="11" customFormat="1" x14ac:dyDescent="0.3">
      <c r="B767" s="182"/>
      <c r="D767" s="183" t="s">
        <v>145</v>
      </c>
      <c r="E767" s="184" t="s">
        <v>5</v>
      </c>
      <c r="F767" s="312" t="s">
        <v>268</v>
      </c>
      <c r="H767" s="314" t="s">
        <v>5</v>
      </c>
      <c r="I767" s="186">
        <v>0</v>
      </c>
      <c r="J767" s="176"/>
      <c r="L767" s="41"/>
      <c r="M767" s="187"/>
      <c r="N767" s="188"/>
      <c r="O767" s="188"/>
      <c r="P767" s="188"/>
      <c r="Q767" s="188"/>
      <c r="R767" s="188"/>
      <c r="S767" s="188"/>
      <c r="T767" s="189"/>
      <c r="AT767" s="184" t="s">
        <v>145</v>
      </c>
      <c r="AU767" s="184" t="s">
        <v>81</v>
      </c>
      <c r="AV767" s="11" t="s">
        <v>79</v>
      </c>
      <c r="AW767" s="11" t="s">
        <v>35</v>
      </c>
      <c r="AX767" s="11" t="s">
        <v>71</v>
      </c>
      <c r="AY767" s="184" t="s">
        <v>136</v>
      </c>
    </row>
    <row r="768" spans="2:65" s="12" customFormat="1" x14ac:dyDescent="0.3">
      <c r="B768" s="190"/>
      <c r="D768" s="183" t="s">
        <v>145</v>
      </c>
      <c r="E768" s="191" t="s">
        <v>5</v>
      </c>
      <c r="F768" s="312" t="s">
        <v>1419</v>
      </c>
      <c r="H768" s="315">
        <f>1.3+8.78+(3+0.63+3.8)*2</f>
        <v>24.939999999999998</v>
      </c>
      <c r="I768" s="194">
        <v>0</v>
      </c>
      <c r="J768" s="176">
        <f t="shared" ref="J768:J770" si="18">ROUND(I768*H768,2)</f>
        <v>0</v>
      </c>
      <c r="L768" s="41"/>
      <c r="M768" s="195"/>
      <c r="N768" s="196"/>
      <c r="O768" s="196"/>
      <c r="P768" s="196"/>
      <c r="Q768" s="196"/>
      <c r="R768" s="196"/>
      <c r="S768" s="196"/>
      <c r="T768" s="197"/>
      <c r="AT768" s="191" t="s">
        <v>145</v>
      </c>
      <c r="AU768" s="191" t="s">
        <v>81</v>
      </c>
      <c r="AV768" s="12" t="s">
        <v>81</v>
      </c>
      <c r="AW768" s="12" t="s">
        <v>35</v>
      </c>
      <c r="AX768" s="12" t="s">
        <v>71</v>
      </c>
      <c r="AY768" s="191" t="s">
        <v>136</v>
      </c>
    </row>
    <row r="769" spans="2:65" s="308" customFormat="1" ht="16.5" customHeight="1" x14ac:dyDescent="0.3">
      <c r="B769" s="169"/>
      <c r="C769" s="170"/>
      <c r="D769" s="170"/>
      <c r="E769" s="171"/>
      <c r="F769" s="172" t="s">
        <v>1422</v>
      </c>
      <c r="G769" s="173" t="s">
        <v>164</v>
      </c>
      <c r="H769" s="320">
        <f>H770</f>
        <v>0.15523199999999998</v>
      </c>
      <c r="I769" s="175">
        <v>74750</v>
      </c>
      <c r="J769" s="176">
        <f t="shared" si="18"/>
        <v>11603.59</v>
      </c>
      <c r="K769" s="172"/>
      <c r="L769" s="41"/>
      <c r="M769" s="177"/>
      <c r="N769" s="178"/>
      <c r="O769" s="309"/>
      <c r="P769" s="179"/>
      <c r="Q769" s="179"/>
      <c r="R769" s="179"/>
      <c r="S769" s="179"/>
      <c r="T769" s="180"/>
      <c r="AR769" s="24"/>
      <c r="AT769" s="24"/>
      <c r="AU769" s="24"/>
      <c r="AY769" s="24"/>
      <c r="BE769" s="181"/>
      <c r="BF769" s="181"/>
      <c r="BG769" s="181"/>
      <c r="BH769" s="181"/>
      <c r="BI769" s="181"/>
      <c r="BJ769" s="24"/>
      <c r="BK769" s="181"/>
      <c r="BL769" s="24"/>
      <c r="BM769" s="24"/>
    </row>
    <row r="770" spans="2:65" s="11" customFormat="1" ht="13.5" customHeight="1" x14ac:dyDescent="0.3">
      <c r="B770" s="182"/>
      <c r="D770" s="183"/>
      <c r="E770" s="184"/>
      <c r="F770" s="329" t="s">
        <v>1423</v>
      </c>
      <c r="H770" s="201">
        <f>(3.9+3.03)*0.0224</f>
        <v>0.15523199999999998</v>
      </c>
      <c r="I770" s="186">
        <v>0</v>
      </c>
      <c r="J770" s="176">
        <f t="shared" si="18"/>
        <v>0</v>
      </c>
      <c r="L770" s="41"/>
      <c r="M770" s="187"/>
      <c r="N770" s="188"/>
      <c r="O770" s="188"/>
      <c r="P770" s="188"/>
      <c r="Q770" s="188"/>
      <c r="R770" s="188"/>
      <c r="S770" s="188"/>
      <c r="T770" s="189"/>
      <c r="AT770" s="184"/>
      <c r="AU770" s="184"/>
      <c r="AY770" s="184"/>
    </row>
    <row r="771" spans="2:65" s="1" customFormat="1" ht="16.5" customHeight="1" x14ac:dyDescent="0.3">
      <c r="B771" s="169"/>
      <c r="C771" s="170" t="s">
        <v>850</v>
      </c>
      <c r="D771" s="170" t="s">
        <v>138</v>
      </c>
      <c r="E771" s="171" t="s">
        <v>851</v>
      </c>
      <c r="F771" s="172" t="s">
        <v>1579</v>
      </c>
      <c r="G771" s="173" t="s">
        <v>1424</v>
      </c>
      <c r="H771" s="313">
        <v>1</v>
      </c>
      <c r="I771" s="175">
        <v>988999.99999999988</v>
      </c>
      <c r="J771" s="176">
        <f>ROUND(I771*H771,2)</f>
        <v>989000</v>
      </c>
      <c r="K771" s="172" t="s">
        <v>142</v>
      </c>
      <c r="L771" s="41"/>
      <c r="M771" s="177" t="s">
        <v>5</v>
      </c>
      <c r="N771" s="178" t="s">
        <v>42</v>
      </c>
      <c r="O771" s="42"/>
      <c r="P771" s="179">
        <f>O771*H771</f>
        <v>0</v>
      </c>
      <c r="Q771" s="179">
        <v>2.7E-4</v>
      </c>
      <c r="R771" s="179">
        <f>Q771*H771</f>
        <v>2.7E-4</v>
      </c>
      <c r="S771" s="179">
        <v>0</v>
      </c>
      <c r="T771" s="180">
        <f>S771*H771</f>
        <v>0</v>
      </c>
      <c r="AR771" s="24" t="s">
        <v>204</v>
      </c>
      <c r="AT771" s="24" t="s">
        <v>138</v>
      </c>
      <c r="AU771" s="24" t="s">
        <v>81</v>
      </c>
      <c r="AY771" s="24" t="s">
        <v>136</v>
      </c>
      <c r="BE771" s="181">
        <f>IF(N771="základní",J771,0)</f>
        <v>989000</v>
      </c>
      <c r="BF771" s="181">
        <f>IF(N771="snížená",J771,0)</f>
        <v>0</v>
      </c>
      <c r="BG771" s="181">
        <f>IF(N771="zákl. přenesená",J771,0)</f>
        <v>0</v>
      </c>
      <c r="BH771" s="181">
        <f>IF(N771="sníž. přenesená",J771,0)</f>
        <v>0</v>
      </c>
      <c r="BI771" s="181">
        <f>IF(N771="nulová",J771,0)</f>
        <v>0</v>
      </c>
      <c r="BJ771" s="24" t="s">
        <v>79</v>
      </c>
      <c r="BK771" s="181">
        <f>ROUND(I771*H771,2)</f>
        <v>989000</v>
      </c>
      <c r="BL771" s="24" t="s">
        <v>204</v>
      </c>
      <c r="BM771" s="24" t="s">
        <v>852</v>
      </c>
    </row>
    <row r="772" spans="2:65" s="11" customFormat="1" x14ac:dyDescent="0.3">
      <c r="B772" s="182"/>
      <c r="D772" s="183" t="s">
        <v>145</v>
      </c>
      <c r="E772" s="184" t="s">
        <v>5</v>
      </c>
      <c r="F772" s="312" t="s">
        <v>1288</v>
      </c>
      <c r="H772" s="314"/>
      <c r="I772" s="186">
        <v>0</v>
      </c>
      <c r="L772" s="41"/>
      <c r="M772" s="187"/>
      <c r="N772" s="188"/>
      <c r="O772" s="188"/>
      <c r="P772" s="188"/>
      <c r="Q772" s="188"/>
      <c r="R772" s="188"/>
      <c r="S772" s="188"/>
      <c r="T772" s="189"/>
      <c r="AT772" s="184" t="s">
        <v>145</v>
      </c>
      <c r="AU772" s="184" t="s">
        <v>81</v>
      </c>
      <c r="AV772" s="11" t="s">
        <v>79</v>
      </c>
      <c r="AW772" s="11" t="s">
        <v>35</v>
      </c>
      <c r="AX772" s="11" t="s">
        <v>71</v>
      </c>
      <c r="AY772" s="184" t="s">
        <v>136</v>
      </c>
    </row>
    <row r="773" spans="2:65" s="12" customFormat="1" x14ac:dyDescent="0.3">
      <c r="B773" s="190"/>
      <c r="D773" s="183" t="s">
        <v>145</v>
      </c>
      <c r="E773" s="191" t="s">
        <v>5</v>
      </c>
      <c r="F773" s="312" t="s">
        <v>1316</v>
      </c>
      <c r="H773" s="315">
        <f>1.25*1.25+2.7*2.44+1.5*1.5+6.7*2.44</f>
        <v>26.7485</v>
      </c>
      <c r="I773" s="194">
        <v>0</v>
      </c>
      <c r="L773" s="41"/>
      <c r="M773" s="195"/>
      <c r="N773" s="196"/>
      <c r="O773" s="196"/>
      <c r="P773" s="196"/>
      <c r="Q773" s="196"/>
      <c r="R773" s="196"/>
      <c r="S773" s="196"/>
      <c r="T773" s="197"/>
      <c r="AT773" s="191" t="s">
        <v>145</v>
      </c>
      <c r="AU773" s="191" t="s">
        <v>81</v>
      </c>
      <c r="AV773" s="12" t="s">
        <v>81</v>
      </c>
      <c r="AW773" s="12" t="s">
        <v>35</v>
      </c>
      <c r="AX773" s="12" t="s">
        <v>71</v>
      </c>
      <c r="AY773" s="191" t="s">
        <v>136</v>
      </c>
    </row>
    <row r="774" spans="2:65" s="12" customFormat="1" x14ac:dyDescent="0.3">
      <c r="B774" s="190"/>
      <c r="D774" s="183" t="s">
        <v>145</v>
      </c>
      <c r="E774" s="191" t="s">
        <v>5</v>
      </c>
      <c r="F774" s="312" t="s">
        <v>1287</v>
      </c>
      <c r="H774" s="315"/>
      <c r="I774" s="194">
        <v>0</v>
      </c>
      <c r="L774" s="41"/>
      <c r="M774" s="195"/>
      <c r="N774" s="196"/>
      <c r="O774" s="196"/>
      <c r="P774" s="196"/>
      <c r="Q774" s="196"/>
      <c r="R774" s="196"/>
      <c r="S774" s="196"/>
      <c r="T774" s="197"/>
      <c r="AT774" s="191" t="s">
        <v>145</v>
      </c>
      <c r="AU774" s="191" t="s">
        <v>81</v>
      </c>
      <c r="AV774" s="12" t="s">
        <v>81</v>
      </c>
      <c r="AW774" s="12" t="s">
        <v>35</v>
      </c>
      <c r="AX774" s="12" t="s">
        <v>71</v>
      </c>
      <c r="AY774" s="191" t="s">
        <v>136</v>
      </c>
    </row>
    <row r="775" spans="2:65" s="12" customFormat="1" x14ac:dyDescent="0.3">
      <c r="B775" s="190"/>
      <c r="D775" s="183" t="s">
        <v>145</v>
      </c>
      <c r="E775" s="191" t="s">
        <v>5</v>
      </c>
      <c r="F775" s="312" t="s">
        <v>1425</v>
      </c>
      <c r="H775" s="315">
        <f>1.8*1.8+1*1+1.8*2.44+3.25*2.44</f>
        <v>16.562000000000001</v>
      </c>
      <c r="I775" s="194">
        <v>0</v>
      </c>
      <c r="L775" s="41"/>
      <c r="M775" s="195"/>
      <c r="N775" s="196"/>
      <c r="O775" s="196"/>
      <c r="P775" s="196"/>
      <c r="Q775" s="196"/>
      <c r="R775" s="196"/>
      <c r="S775" s="196"/>
      <c r="T775" s="197"/>
      <c r="AT775" s="191" t="s">
        <v>145</v>
      </c>
      <c r="AU775" s="191" t="s">
        <v>81</v>
      </c>
      <c r="AV775" s="12" t="s">
        <v>81</v>
      </c>
      <c r="AW775" s="12" t="s">
        <v>35</v>
      </c>
      <c r="AX775" s="12" t="s">
        <v>71</v>
      </c>
      <c r="AY775" s="191" t="s">
        <v>136</v>
      </c>
    </row>
    <row r="776" spans="2:65" s="12" customFormat="1" x14ac:dyDescent="0.3">
      <c r="B776" s="190"/>
      <c r="D776" s="183" t="s">
        <v>145</v>
      </c>
      <c r="E776" s="191" t="s">
        <v>5</v>
      </c>
      <c r="F776" s="312" t="s">
        <v>1286</v>
      </c>
      <c r="H776" s="315"/>
      <c r="I776" s="194">
        <v>0</v>
      </c>
      <c r="L776" s="41"/>
      <c r="M776" s="195"/>
      <c r="N776" s="196"/>
      <c r="O776" s="196"/>
      <c r="P776" s="196"/>
      <c r="Q776" s="196"/>
      <c r="R776" s="196"/>
      <c r="S776" s="196"/>
      <c r="T776" s="197"/>
      <c r="AT776" s="191" t="s">
        <v>145</v>
      </c>
      <c r="AU776" s="191" t="s">
        <v>81</v>
      </c>
      <c r="AV776" s="12" t="s">
        <v>81</v>
      </c>
      <c r="AW776" s="12" t="s">
        <v>35</v>
      </c>
      <c r="AX776" s="12" t="s">
        <v>71</v>
      </c>
      <c r="AY776" s="191" t="s">
        <v>136</v>
      </c>
    </row>
    <row r="777" spans="2:65" s="12" customFormat="1" x14ac:dyDescent="0.3">
      <c r="B777" s="190"/>
      <c r="D777" s="183" t="s">
        <v>145</v>
      </c>
      <c r="E777" s="191" t="s">
        <v>5</v>
      </c>
      <c r="F777" s="312" t="s">
        <v>1426</v>
      </c>
      <c r="H777" s="315">
        <f>0.625*0.625*5</f>
        <v>1.953125</v>
      </c>
      <c r="I777" s="194">
        <v>0</v>
      </c>
      <c r="L777" s="41"/>
      <c r="M777" s="195"/>
      <c r="N777" s="196"/>
      <c r="O777" s="196"/>
      <c r="P777" s="196"/>
      <c r="Q777" s="196"/>
      <c r="R777" s="196"/>
      <c r="S777" s="196"/>
      <c r="T777" s="197"/>
      <c r="AT777" s="191" t="s">
        <v>145</v>
      </c>
      <c r="AU777" s="191" t="s">
        <v>81</v>
      </c>
      <c r="AV777" s="12" t="s">
        <v>81</v>
      </c>
      <c r="AW777" s="12" t="s">
        <v>35</v>
      </c>
      <c r="AX777" s="12" t="s">
        <v>71</v>
      </c>
      <c r="AY777" s="191" t="s">
        <v>136</v>
      </c>
    </row>
    <row r="778" spans="2:65" s="12" customFormat="1" x14ac:dyDescent="0.3">
      <c r="B778" s="190"/>
      <c r="D778" s="183" t="s">
        <v>145</v>
      </c>
      <c r="E778" s="191" t="s">
        <v>5</v>
      </c>
      <c r="F778" s="312" t="s">
        <v>1290</v>
      </c>
      <c r="H778" s="315"/>
      <c r="I778" s="194">
        <v>0</v>
      </c>
      <c r="L778" s="41"/>
      <c r="M778" s="195"/>
      <c r="N778" s="196"/>
      <c r="O778" s="196"/>
      <c r="P778" s="196"/>
      <c r="Q778" s="196"/>
      <c r="R778" s="196"/>
      <c r="S778" s="196"/>
      <c r="T778" s="197"/>
      <c r="AT778" s="191" t="s">
        <v>145</v>
      </c>
      <c r="AU778" s="191" t="s">
        <v>81</v>
      </c>
      <c r="AV778" s="12" t="s">
        <v>81</v>
      </c>
      <c r="AW778" s="12" t="s">
        <v>35</v>
      </c>
      <c r="AX778" s="12" t="s">
        <v>71</v>
      </c>
      <c r="AY778" s="191" t="s">
        <v>136</v>
      </c>
    </row>
    <row r="779" spans="2:65" s="12" customFormat="1" x14ac:dyDescent="0.3">
      <c r="B779" s="190"/>
      <c r="D779" s="183" t="s">
        <v>145</v>
      </c>
      <c r="E779" s="191" t="s">
        <v>5</v>
      </c>
      <c r="F779" s="312" t="s">
        <v>1427</v>
      </c>
      <c r="H779" s="315">
        <f>1*1+0.625*0.62518*2.44+3.85*2.44</f>
        <v>11.3473995</v>
      </c>
      <c r="I779" s="194">
        <v>0</v>
      </c>
      <c r="L779" s="41"/>
      <c r="M779" s="195"/>
      <c r="N779" s="196"/>
      <c r="O779" s="196"/>
      <c r="P779" s="196"/>
      <c r="Q779" s="196"/>
      <c r="R779" s="196"/>
      <c r="S779" s="196"/>
      <c r="T779" s="197"/>
      <c r="AT779" s="191" t="s">
        <v>145</v>
      </c>
      <c r="AU779" s="191" t="s">
        <v>81</v>
      </c>
      <c r="AV779" s="12" t="s">
        <v>81</v>
      </c>
      <c r="AW779" s="12" t="s">
        <v>35</v>
      </c>
      <c r="AX779" s="12" t="s">
        <v>71</v>
      </c>
      <c r="AY779" s="191" t="s">
        <v>136</v>
      </c>
    </row>
    <row r="780" spans="2:65" s="12" customFormat="1" x14ac:dyDescent="0.3">
      <c r="B780" s="190"/>
      <c r="D780" s="183" t="s">
        <v>145</v>
      </c>
      <c r="E780" s="191" t="s">
        <v>5</v>
      </c>
      <c r="F780" s="312" t="s">
        <v>1428</v>
      </c>
      <c r="H780" s="315">
        <f>1.8*2.1+1*1</f>
        <v>4.78</v>
      </c>
      <c r="I780" s="194">
        <v>0</v>
      </c>
      <c r="L780" s="41"/>
      <c r="M780" s="195"/>
      <c r="N780" s="196"/>
      <c r="O780" s="196"/>
      <c r="P780" s="196"/>
      <c r="Q780" s="196"/>
      <c r="R780" s="196"/>
      <c r="S780" s="196"/>
      <c r="T780" s="197"/>
      <c r="AT780" s="191" t="s">
        <v>145</v>
      </c>
      <c r="AU780" s="191" t="s">
        <v>81</v>
      </c>
      <c r="AV780" s="12" t="s">
        <v>81</v>
      </c>
      <c r="AW780" s="12" t="s">
        <v>35</v>
      </c>
      <c r="AX780" s="12" t="s">
        <v>71</v>
      </c>
      <c r="AY780" s="191" t="s">
        <v>136</v>
      </c>
    </row>
    <row r="781" spans="2:65" s="1" customFormat="1" ht="16.5" customHeight="1" x14ac:dyDescent="0.3">
      <c r="B781" s="169"/>
      <c r="C781" s="206" t="s">
        <v>853</v>
      </c>
      <c r="D781" s="206" t="s">
        <v>355</v>
      </c>
      <c r="E781" s="207" t="s">
        <v>854</v>
      </c>
      <c r="F781" s="208" t="s">
        <v>855</v>
      </c>
      <c r="G781" s="370" t="s">
        <v>179</v>
      </c>
      <c r="H781" s="355">
        <f>H771</f>
        <v>1</v>
      </c>
      <c r="I781" s="211">
        <v>0</v>
      </c>
      <c r="J781" s="212">
        <f>ROUND(I781*H781,2)</f>
        <v>0</v>
      </c>
      <c r="K781" s="208" t="s">
        <v>142</v>
      </c>
      <c r="L781" s="41"/>
      <c r="M781" s="213" t="s">
        <v>5</v>
      </c>
      <c r="N781" s="214" t="s">
        <v>42</v>
      </c>
      <c r="O781" s="42"/>
      <c r="P781" s="179">
        <f>O781*H781</f>
        <v>0</v>
      </c>
      <c r="Q781" s="179">
        <v>2.4899999999999999E-2</v>
      </c>
      <c r="R781" s="179">
        <f>Q781*H781</f>
        <v>2.4899999999999999E-2</v>
      </c>
      <c r="S781" s="179">
        <v>0</v>
      </c>
      <c r="T781" s="180">
        <f>S781*H781</f>
        <v>0</v>
      </c>
      <c r="AR781" s="24" t="s">
        <v>283</v>
      </c>
      <c r="AT781" s="24" t="s">
        <v>355</v>
      </c>
      <c r="AU781" s="24" t="s">
        <v>81</v>
      </c>
      <c r="AY781" s="24" t="s">
        <v>136</v>
      </c>
      <c r="BE781" s="181">
        <f>IF(N781="základní",J781,0)</f>
        <v>0</v>
      </c>
      <c r="BF781" s="181">
        <f>IF(N781="snížená",J781,0)</f>
        <v>0</v>
      </c>
      <c r="BG781" s="181">
        <f>IF(N781="zákl. přenesená",J781,0)</f>
        <v>0</v>
      </c>
      <c r="BH781" s="181">
        <f>IF(N781="sníž. přenesená",J781,0)</f>
        <v>0</v>
      </c>
      <c r="BI781" s="181">
        <f>IF(N781="nulová",J781,0)</f>
        <v>0</v>
      </c>
      <c r="BJ781" s="24" t="s">
        <v>79</v>
      </c>
      <c r="BK781" s="181">
        <f>ROUND(I781*H781,2)</f>
        <v>0</v>
      </c>
      <c r="BL781" s="24" t="s">
        <v>204</v>
      </c>
      <c r="BM781" s="24" t="s">
        <v>856</v>
      </c>
    </row>
    <row r="782" spans="2:65" s="1" customFormat="1" ht="16.5" customHeight="1" x14ac:dyDescent="0.3">
      <c r="B782" s="169"/>
      <c r="C782" s="170" t="s">
        <v>857</v>
      </c>
      <c r="D782" s="170" t="s">
        <v>138</v>
      </c>
      <c r="E782" s="171" t="s">
        <v>858</v>
      </c>
      <c r="F782" s="172" t="s">
        <v>1429</v>
      </c>
      <c r="G782" s="173" t="s">
        <v>222</v>
      </c>
      <c r="H782" s="313">
        <v>5</v>
      </c>
      <c r="I782" s="175">
        <v>0</v>
      </c>
      <c r="J782" s="176">
        <f>ROUND(I782*H782,2)</f>
        <v>0</v>
      </c>
      <c r="K782" s="172" t="s">
        <v>142</v>
      </c>
      <c r="L782" s="41"/>
      <c r="M782" s="177" t="s">
        <v>5</v>
      </c>
      <c r="N782" s="178" t="s">
        <v>42</v>
      </c>
      <c r="O782" s="42"/>
      <c r="P782" s="179">
        <f>O782*H782</f>
        <v>0</v>
      </c>
      <c r="Q782" s="179">
        <v>0</v>
      </c>
      <c r="R782" s="179">
        <f>Q782*H782</f>
        <v>0</v>
      </c>
      <c r="S782" s="179">
        <v>0</v>
      </c>
      <c r="T782" s="180">
        <f>S782*H782</f>
        <v>0</v>
      </c>
      <c r="AR782" s="24" t="s">
        <v>204</v>
      </c>
      <c r="AT782" s="24" t="s">
        <v>138</v>
      </c>
      <c r="AU782" s="24" t="s">
        <v>81</v>
      </c>
      <c r="AY782" s="24" t="s">
        <v>136</v>
      </c>
      <c r="BE782" s="181">
        <f>IF(N782="základní",J782,0)</f>
        <v>0</v>
      </c>
      <c r="BF782" s="181">
        <f>IF(N782="snížená",J782,0)</f>
        <v>0</v>
      </c>
      <c r="BG782" s="181">
        <f>IF(N782="zákl. přenesená",J782,0)</f>
        <v>0</v>
      </c>
      <c r="BH782" s="181">
        <f>IF(N782="sníž. přenesená",J782,0)</f>
        <v>0</v>
      </c>
      <c r="BI782" s="181">
        <f>IF(N782="nulová",J782,0)</f>
        <v>0</v>
      </c>
      <c r="BJ782" s="24" t="s">
        <v>79</v>
      </c>
      <c r="BK782" s="181">
        <f>ROUND(I782*H782,2)</f>
        <v>0</v>
      </c>
      <c r="BL782" s="24" t="s">
        <v>204</v>
      </c>
      <c r="BM782" s="24" t="s">
        <v>859</v>
      </c>
    </row>
    <row r="783" spans="2:65" s="1" customFormat="1" ht="16.5" customHeight="1" x14ac:dyDescent="0.3">
      <c r="B783" s="169"/>
      <c r="C783" s="206" t="s">
        <v>860</v>
      </c>
      <c r="D783" s="206" t="s">
        <v>355</v>
      </c>
      <c r="E783" s="207" t="s">
        <v>861</v>
      </c>
      <c r="F783" s="367" t="s">
        <v>1430</v>
      </c>
      <c r="G783" s="209" t="s">
        <v>222</v>
      </c>
      <c r="H783" s="355">
        <v>5</v>
      </c>
      <c r="I783" s="211">
        <v>0</v>
      </c>
      <c r="J783" s="212">
        <f>ROUND(I783*H783,2)</f>
        <v>0</v>
      </c>
      <c r="K783" s="208" t="s">
        <v>5</v>
      </c>
      <c r="L783" s="41"/>
      <c r="M783" s="213" t="s">
        <v>5</v>
      </c>
      <c r="N783" s="214" t="s">
        <v>42</v>
      </c>
      <c r="O783" s="42"/>
      <c r="P783" s="179">
        <f>O783*H783</f>
        <v>0</v>
      </c>
      <c r="Q783" s="179">
        <v>0.11</v>
      </c>
      <c r="R783" s="179">
        <f>Q783*H783</f>
        <v>0.55000000000000004</v>
      </c>
      <c r="S783" s="179">
        <v>0</v>
      </c>
      <c r="T783" s="180">
        <f>S783*H783</f>
        <v>0</v>
      </c>
      <c r="AR783" s="24" t="s">
        <v>283</v>
      </c>
      <c r="AT783" s="24" t="s">
        <v>355</v>
      </c>
      <c r="AU783" s="24" t="s">
        <v>81</v>
      </c>
      <c r="AY783" s="24" t="s">
        <v>136</v>
      </c>
      <c r="BE783" s="181">
        <f>IF(N783="základní",J783,0)</f>
        <v>0</v>
      </c>
      <c r="BF783" s="181">
        <f>IF(N783="snížená",J783,0)</f>
        <v>0</v>
      </c>
      <c r="BG783" s="181">
        <f>IF(N783="zákl. přenesená",J783,0)</f>
        <v>0</v>
      </c>
      <c r="BH783" s="181">
        <f>IF(N783="sníž. přenesená",J783,0)</f>
        <v>0</v>
      </c>
      <c r="BI783" s="181">
        <f>IF(N783="nulová",J783,0)</f>
        <v>0</v>
      </c>
      <c r="BJ783" s="24" t="s">
        <v>79</v>
      </c>
      <c r="BK783" s="181">
        <f>ROUND(I783*H783,2)</f>
        <v>0</v>
      </c>
      <c r="BL783" s="24" t="s">
        <v>204</v>
      </c>
      <c r="BM783" s="24" t="s">
        <v>862</v>
      </c>
    </row>
    <row r="784" spans="2:65" s="308" customFormat="1" ht="16.5" customHeight="1" x14ac:dyDescent="0.3">
      <c r="B784" s="169"/>
      <c r="C784" s="170"/>
      <c r="D784" s="170"/>
      <c r="E784" s="171"/>
      <c r="F784" s="172" t="s">
        <v>1582</v>
      </c>
      <c r="G784" s="173" t="s">
        <v>222</v>
      </c>
      <c r="H784" s="313">
        <v>1</v>
      </c>
      <c r="I784" s="175">
        <v>26449.999999999996</v>
      </c>
      <c r="J784" s="212">
        <f t="shared" ref="J784:J785" si="19">ROUND(I784*H784,2)</f>
        <v>26450</v>
      </c>
      <c r="K784" s="172"/>
      <c r="L784" s="41"/>
      <c r="M784" s="177"/>
      <c r="N784" s="178"/>
      <c r="O784" s="309"/>
      <c r="P784" s="179"/>
      <c r="Q784" s="179"/>
      <c r="R784" s="179"/>
      <c r="S784" s="179"/>
      <c r="T784" s="180"/>
      <c r="AR784" s="24"/>
      <c r="AT784" s="24"/>
      <c r="AU784" s="24"/>
      <c r="AY784" s="24"/>
      <c r="BE784" s="181"/>
      <c r="BF784" s="181"/>
      <c r="BG784" s="181"/>
      <c r="BH784" s="181"/>
      <c r="BI784" s="181"/>
      <c r="BJ784" s="24"/>
      <c r="BK784" s="181"/>
      <c r="BL784" s="24"/>
      <c r="BM784" s="24"/>
    </row>
    <row r="785" spans="2:65" s="308" customFormat="1" ht="16.5" customHeight="1" x14ac:dyDescent="0.3">
      <c r="B785" s="169"/>
      <c r="C785" s="206"/>
      <c r="D785" s="206"/>
      <c r="E785" s="207"/>
      <c r="F785" s="421" t="s">
        <v>1433</v>
      </c>
      <c r="G785" s="422" t="s">
        <v>179</v>
      </c>
      <c r="H785" s="423">
        <f>SUM(H787:H793)</f>
        <v>56.611024500000006</v>
      </c>
      <c r="I785" s="424">
        <v>4830</v>
      </c>
      <c r="J785" s="425">
        <f t="shared" si="19"/>
        <v>273431.25</v>
      </c>
      <c r="K785" s="208"/>
      <c r="L785" s="41"/>
      <c r="M785" s="213"/>
      <c r="N785" s="375"/>
      <c r="O785" s="344"/>
      <c r="P785" s="345"/>
      <c r="Q785" s="345"/>
      <c r="R785" s="345"/>
      <c r="S785" s="345"/>
      <c r="T785" s="180"/>
      <c r="AR785" s="24"/>
      <c r="AT785" s="24"/>
      <c r="AU785" s="24"/>
      <c r="AY785" s="24"/>
      <c r="BE785" s="181"/>
      <c r="BF785" s="181"/>
      <c r="BG785" s="181"/>
      <c r="BH785" s="181"/>
      <c r="BI785" s="181"/>
      <c r="BJ785" s="24"/>
      <c r="BK785" s="181"/>
      <c r="BL785" s="24"/>
      <c r="BM785" s="24"/>
    </row>
    <row r="786" spans="2:65" s="13" customFormat="1" x14ac:dyDescent="0.3">
      <c r="B786" s="198"/>
      <c r="D786" s="183"/>
      <c r="E786" s="199"/>
      <c r="F786" s="312" t="s">
        <v>1288</v>
      </c>
      <c r="H786" s="201"/>
      <c r="I786" s="202">
        <v>0</v>
      </c>
      <c r="L786" s="41"/>
      <c r="M786" s="203"/>
      <c r="N786" s="204"/>
      <c r="O786" s="204"/>
      <c r="P786" s="204"/>
      <c r="Q786" s="204"/>
      <c r="R786" s="204"/>
      <c r="S786" s="204"/>
      <c r="T786" s="205"/>
      <c r="AT786" s="199"/>
      <c r="AU786" s="199"/>
      <c r="AY786" s="199"/>
    </row>
    <row r="787" spans="2:65" s="13" customFormat="1" x14ac:dyDescent="0.3">
      <c r="B787" s="198"/>
      <c r="D787" s="183"/>
      <c r="E787" s="199"/>
      <c r="F787" s="312" t="s">
        <v>1316</v>
      </c>
      <c r="H787" s="315">
        <f>1.25*1.25+2.7*2.44+1.5*1.5+6.7*2.44</f>
        <v>26.7485</v>
      </c>
      <c r="I787" s="202">
        <v>0</v>
      </c>
      <c r="L787" s="41"/>
      <c r="M787" s="203"/>
      <c r="N787" s="358"/>
      <c r="O787" s="358"/>
      <c r="P787" s="358"/>
      <c r="Q787" s="358"/>
      <c r="R787" s="358"/>
      <c r="S787" s="358"/>
      <c r="T787" s="205"/>
      <c r="AT787" s="199"/>
      <c r="AU787" s="199"/>
      <c r="AY787" s="199"/>
    </row>
    <row r="788" spans="2:65" s="13" customFormat="1" x14ac:dyDescent="0.3">
      <c r="B788" s="198"/>
      <c r="D788" s="183"/>
      <c r="E788" s="199"/>
      <c r="F788" s="312" t="s">
        <v>1287</v>
      </c>
      <c r="H788" s="315"/>
      <c r="I788" s="202">
        <v>0</v>
      </c>
      <c r="L788" s="41"/>
      <c r="M788" s="203"/>
      <c r="N788" s="358"/>
      <c r="O788" s="358"/>
      <c r="P788" s="358"/>
      <c r="Q788" s="358"/>
      <c r="R788" s="358"/>
      <c r="S788" s="358"/>
      <c r="T788" s="205"/>
      <c r="AT788" s="199"/>
      <c r="AU788" s="199"/>
      <c r="AY788" s="199"/>
    </row>
    <row r="789" spans="2:65" s="13" customFormat="1" x14ac:dyDescent="0.3">
      <c r="B789" s="198"/>
      <c r="D789" s="183"/>
      <c r="E789" s="199"/>
      <c r="F789" s="312" t="s">
        <v>1425</v>
      </c>
      <c r="H789" s="315">
        <f>1.8*1.8+1*1+1.8*2.44+3.25*2.44</f>
        <v>16.562000000000001</v>
      </c>
      <c r="I789" s="202">
        <v>0</v>
      </c>
      <c r="L789" s="41"/>
      <c r="M789" s="203"/>
      <c r="N789" s="358"/>
      <c r="O789" s="358"/>
      <c r="P789" s="358"/>
      <c r="Q789" s="358"/>
      <c r="R789" s="358"/>
      <c r="S789" s="358"/>
      <c r="T789" s="205"/>
      <c r="AT789" s="199"/>
      <c r="AU789" s="199"/>
      <c r="AY789" s="199"/>
    </row>
    <row r="790" spans="2:65" s="13" customFormat="1" x14ac:dyDescent="0.3">
      <c r="B790" s="198"/>
      <c r="D790" s="183"/>
      <c r="E790" s="199"/>
      <c r="F790" s="312" t="s">
        <v>1286</v>
      </c>
      <c r="H790" s="315"/>
      <c r="I790" s="202">
        <v>0</v>
      </c>
      <c r="L790" s="41"/>
      <c r="M790" s="203"/>
      <c r="N790" s="358"/>
      <c r="O790" s="358"/>
      <c r="P790" s="358"/>
      <c r="Q790" s="358"/>
      <c r="R790" s="358"/>
      <c r="S790" s="358"/>
      <c r="T790" s="205"/>
      <c r="AT790" s="199"/>
      <c r="AU790" s="199"/>
      <c r="AY790" s="199"/>
    </row>
    <row r="791" spans="2:65" s="13" customFormat="1" x14ac:dyDescent="0.3">
      <c r="B791" s="198"/>
      <c r="D791" s="183"/>
      <c r="E791" s="199"/>
      <c r="F791" s="312" t="s">
        <v>1426</v>
      </c>
      <c r="H791" s="315">
        <f>0.625*0.625*5</f>
        <v>1.953125</v>
      </c>
      <c r="I791" s="202">
        <v>0</v>
      </c>
      <c r="L791" s="41"/>
      <c r="M791" s="203"/>
      <c r="N791" s="358"/>
      <c r="O791" s="358"/>
      <c r="P791" s="358"/>
      <c r="Q791" s="358"/>
      <c r="R791" s="358"/>
      <c r="S791" s="358"/>
      <c r="T791" s="205"/>
      <c r="AT791" s="199"/>
      <c r="AU791" s="199"/>
      <c r="AY791" s="199"/>
    </row>
    <row r="792" spans="2:65" s="13" customFormat="1" x14ac:dyDescent="0.3">
      <c r="B792" s="198"/>
      <c r="D792" s="183"/>
      <c r="E792" s="199"/>
      <c r="F792" s="312" t="s">
        <v>1290</v>
      </c>
      <c r="H792" s="315"/>
      <c r="I792" s="202">
        <v>0</v>
      </c>
      <c r="L792" s="41"/>
      <c r="M792" s="203"/>
      <c r="N792" s="358"/>
      <c r="O792" s="358"/>
      <c r="P792" s="358"/>
      <c r="Q792" s="358"/>
      <c r="R792" s="358"/>
      <c r="S792" s="358"/>
      <c r="T792" s="205"/>
      <c r="AT792" s="199"/>
      <c r="AU792" s="199"/>
      <c r="AY792" s="199"/>
    </row>
    <row r="793" spans="2:65" s="13" customFormat="1" x14ac:dyDescent="0.3">
      <c r="B793" s="198"/>
      <c r="D793" s="183"/>
      <c r="E793" s="199"/>
      <c r="F793" s="312" t="s">
        <v>1427</v>
      </c>
      <c r="H793" s="315">
        <f>1*1+0.625*0.62518*2.44+3.85*2.44</f>
        <v>11.3473995</v>
      </c>
      <c r="I793" s="202">
        <v>0</v>
      </c>
      <c r="L793" s="41"/>
      <c r="M793" s="203"/>
      <c r="N793" s="358"/>
      <c r="O793" s="358"/>
      <c r="P793" s="358"/>
      <c r="Q793" s="358"/>
      <c r="R793" s="358"/>
      <c r="S793" s="358"/>
      <c r="T793" s="205"/>
      <c r="AT793" s="199"/>
      <c r="AU793" s="199"/>
      <c r="AY793" s="199"/>
    </row>
    <row r="794" spans="2:65" s="1" customFormat="1" ht="16.5" customHeight="1" x14ac:dyDescent="0.3">
      <c r="B794" s="169"/>
      <c r="C794" s="170" t="s">
        <v>863</v>
      </c>
      <c r="D794" s="170" t="s">
        <v>138</v>
      </c>
      <c r="E794" s="171" t="s">
        <v>864</v>
      </c>
      <c r="F794" s="172" t="s">
        <v>865</v>
      </c>
      <c r="G794" s="173" t="s">
        <v>554</v>
      </c>
      <c r="H794" s="226"/>
      <c r="I794" s="175">
        <v>0</v>
      </c>
      <c r="J794" s="176">
        <f>ROUND(I794*H794,2)</f>
        <v>0</v>
      </c>
      <c r="K794" s="172" t="s">
        <v>142</v>
      </c>
      <c r="L794" s="41"/>
      <c r="M794" s="177" t="s">
        <v>5</v>
      </c>
      <c r="N794" s="178" t="s">
        <v>42</v>
      </c>
      <c r="O794" s="42"/>
      <c r="P794" s="179">
        <f>O794*H794</f>
        <v>0</v>
      </c>
      <c r="Q794" s="179">
        <v>0</v>
      </c>
      <c r="R794" s="179">
        <f>Q794*H794</f>
        <v>0</v>
      </c>
      <c r="S794" s="179">
        <v>0</v>
      </c>
      <c r="T794" s="180">
        <f>S794*H794</f>
        <v>0</v>
      </c>
      <c r="AR794" s="24" t="s">
        <v>204</v>
      </c>
      <c r="AT794" s="24" t="s">
        <v>138</v>
      </c>
      <c r="AU794" s="24" t="s">
        <v>81</v>
      </c>
      <c r="AY794" s="24" t="s">
        <v>136</v>
      </c>
      <c r="BE794" s="181">
        <f>IF(N794="základní",J794,0)</f>
        <v>0</v>
      </c>
      <c r="BF794" s="181">
        <f>IF(N794="snížená",J794,0)</f>
        <v>0</v>
      </c>
      <c r="BG794" s="181">
        <f>IF(N794="zákl. přenesená",J794,0)</f>
        <v>0</v>
      </c>
      <c r="BH794" s="181">
        <f>IF(N794="sníž. přenesená",J794,0)</f>
        <v>0</v>
      </c>
      <c r="BI794" s="181">
        <f>IF(N794="nulová",J794,0)</f>
        <v>0</v>
      </c>
      <c r="BJ794" s="24" t="s">
        <v>79</v>
      </c>
      <c r="BK794" s="181">
        <f>ROUND(I794*H794,2)</f>
        <v>0</v>
      </c>
      <c r="BL794" s="24" t="s">
        <v>204</v>
      </c>
      <c r="BM794" s="24" t="s">
        <v>866</v>
      </c>
    </row>
    <row r="795" spans="2:65" s="10" customFormat="1" ht="29.85" customHeight="1" x14ac:dyDescent="0.3">
      <c r="B795" s="156"/>
      <c r="D795" s="157" t="s">
        <v>70</v>
      </c>
      <c r="E795" s="167" t="s">
        <v>867</v>
      </c>
      <c r="F795" s="167" t="s">
        <v>868</v>
      </c>
      <c r="I795" s="159">
        <v>0</v>
      </c>
      <c r="J795" s="168">
        <f>SUM(J796:J833)</f>
        <v>163415.60999999999</v>
      </c>
      <c r="L795" s="41"/>
      <c r="M795" s="161"/>
      <c r="N795" s="162"/>
      <c r="O795" s="162"/>
      <c r="P795" s="163">
        <f>SUM(P796:P833)</f>
        <v>0</v>
      </c>
      <c r="Q795" s="162"/>
      <c r="R795" s="163">
        <f>SUM(R796:R833)</f>
        <v>6.9169939979999988</v>
      </c>
      <c r="S795" s="162"/>
      <c r="T795" s="164">
        <f>SUM(T796:T833)</f>
        <v>0</v>
      </c>
      <c r="AR795" s="157" t="s">
        <v>81</v>
      </c>
      <c r="AT795" s="165" t="s">
        <v>70</v>
      </c>
      <c r="AU795" s="165" t="s">
        <v>79</v>
      </c>
      <c r="AY795" s="157" t="s">
        <v>136</v>
      </c>
      <c r="BK795" s="166">
        <f>SUM(BK796:BK833)</f>
        <v>163415.60999999999</v>
      </c>
    </row>
    <row r="796" spans="2:65" s="1" customFormat="1" ht="16.5" customHeight="1" x14ac:dyDescent="0.3">
      <c r="B796" s="169"/>
      <c r="C796" s="170" t="s">
        <v>869</v>
      </c>
      <c r="D796" s="170" t="s">
        <v>138</v>
      </c>
      <c r="E796" s="171" t="s">
        <v>870</v>
      </c>
      <c r="F796" s="172" t="s">
        <v>871</v>
      </c>
      <c r="G796" s="173" t="s">
        <v>249</v>
      </c>
      <c r="H796" s="320">
        <f>SUM(H798:H808)</f>
        <v>88.380000000000024</v>
      </c>
      <c r="I796" s="175">
        <v>138</v>
      </c>
      <c r="J796" s="176">
        <f>ROUND(I796*H796,2)</f>
        <v>12196.44</v>
      </c>
      <c r="K796" s="172" t="s">
        <v>142</v>
      </c>
      <c r="L796" s="41"/>
      <c r="M796" s="177" t="s">
        <v>5</v>
      </c>
      <c r="N796" s="178" t="s">
        <v>42</v>
      </c>
      <c r="O796" s="42"/>
      <c r="P796" s="179">
        <f>O796*H796</f>
        <v>0</v>
      </c>
      <c r="Q796" s="179">
        <v>4.6000000000000001E-4</v>
      </c>
      <c r="R796" s="179">
        <f>Q796*H796</f>
        <v>4.0654800000000012E-2</v>
      </c>
      <c r="S796" s="179">
        <v>0</v>
      </c>
      <c r="T796" s="180">
        <f>S796*H796</f>
        <v>0</v>
      </c>
      <c r="AR796" s="24" t="s">
        <v>204</v>
      </c>
      <c r="AT796" s="24" t="s">
        <v>138</v>
      </c>
      <c r="AU796" s="24" t="s">
        <v>81</v>
      </c>
      <c r="AY796" s="24" t="s">
        <v>136</v>
      </c>
      <c r="BE796" s="181">
        <f>IF(N796="základní",J796,0)</f>
        <v>12196.44</v>
      </c>
      <c r="BF796" s="181">
        <f>IF(N796="snížená",J796,0)</f>
        <v>0</v>
      </c>
      <c r="BG796" s="181">
        <f>IF(N796="zákl. přenesená",J796,0)</f>
        <v>0</v>
      </c>
      <c r="BH796" s="181">
        <f>IF(N796="sníž. přenesená",J796,0)</f>
        <v>0</v>
      </c>
      <c r="BI796" s="181">
        <f>IF(N796="nulová",J796,0)</f>
        <v>0</v>
      </c>
      <c r="BJ796" s="24" t="s">
        <v>79</v>
      </c>
      <c r="BK796" s="181">
        <f>ROUND(I796*H796,2)</f>
        <v>12196.44</v>
      </c>
      <c r="BL796" s="24" t="s">
        <v>204</v>
      </c>
      <c r="BM796" s="24" t="s">
        <v>872</v>
      </c>
    </row>
    <row r="797" spans="2:65" s="11" customFormat="1" x14ac:dyDescent="0.3">
      <c r="B797" s="182"/>
      <c r="D797" s="183" t="s">
        <v>145</v>
      </c>
      <c r="E797" s="184" t="s">
        <v>5</v>
      </c>
      <c r="F797" s="329" t="s">
        <v>1205</v>
      </c>
      <c r="H797" s="184"/>
      <c r="I797" s="186">
        <v>0</v>
      </c>
      <c r="L797" s="41"/>
      <c r="M797" s="187"/>
      <c r="N797" s="188"/>
      <c r="O797" s="188"/>
      <c r="P797" s="188"/>
      <c r="Q797" s="188"/>
      <c r="R797" s="188"/>
      <c r="S797" s="188"/>
      <c r="T797" s="189"/>
      <c r="AT797" s="184" t="s">
        <v>145</v>
      </c>
      <c r="AU797" s="184" t="s">
        <v>81</v>
      </c>
      <c r="AV797" s="11" t="s">
        <v>79</v>
      </c>
      <c r="AW797" s="11" t="s">
        <v>35</v>
      </c>
      <c r="AX797" s="11" t="s">
        <v>71</v>
      </c>
      <c r="AY797" s="184" t="s">
        <v>136</v>
      </c>
    </row>
    <row r="798" spans="2:65" s="13" customFormat="1" x14ac:dyDescent="0.3">
      <c r="B798" s="198"/>
      <c r="D798" s="183" t="s">
        <v>145</v>
      </c>
      <c r="E798" s="199">
        <v>4</v>
      </c>
      <c r="F798" s="312" t="s">
        <v>1439</v>
      </c>
      <c r="H798" s="378">
        <f>1.4*2+2.375*2</f>
        <v>7.55</v>
      </c>
      <c r="I798" s="202">
        <v>0</v>
      </c>
      <c r="L798" s="41"/>
      <c r="M798" s="203"/>
      <c r="N798" s="204"/>
      <c r="O798" s="204"/>
      <c r="P798" s="204"/>
      <c r="Q798" s="204"/>
      <c r="R798" s="204"/>
      <c r="S798" s="204"/>
      <c r="T798" s="205"/>
      <c r="AT798" s="199" t="s">
        <v>145</v>
      </c>
      <c r="AU798" s="199" t="s">
        <v>81</v>
      </c>
      <c r="AV798" s="13" t="s">
        <v>143</v>
      </c>
      <c r="AW798" s="13" t="s">
        <v>35</v>
      </c>
      <c r="AX798" s="13" t="s">
        <v>79</v>
      </c>
      <c r="AY798" s="199" t="s">
        <v>136</v>
      </c>
    </row>
    <row r="799" spans="2:65" s="13" customFormat="1" x14ac:dyDescent="0.3">
      <c r="B799" s="198"/>
      <c r="D799" s="183"/>
      <c r="E799" s="199">
        <v>3</v>
      </c>
      <c r="F799" s="312" t="s">
        <v>1440</v>
      </c>
      <c r="H799" s="378">
        <f>1.3*2+2.375*2</f>
        <v>7.35</v>
      </c>
      <c r="I799" s="202">
        <v>0</v>
      </c>
      <c r="L799" s="41"/>
      <c r="M799" s="203"/>
      <c r="N799" s="358"/>
      <c r="O799" s="358"/>
      <c r="P799" s="358"/>
      <c r="Q799" s="358"/>
      <c r="R799" s="358"/>
      <c r="S799" s="358"/>
      <c r="T799" s="205"/>
      <c r="AT799" s="199"/>
      <c r="AU799" s="199"/>
      <c r="AY799" s="199"/>
    </row>
    <row r="800" spans="2:65" s="13" customFormat="1" x14ac:dyDescent="0.3">
      <c r="B800" s="198"/>
      <c r="D800" s="183"/>
      <c r="E800" s="199">
        <v>5</v>
      </c>
      <c r="F800" s="312" t="s">
        <v>1441</v>
      </c>
      <c r="H800" s="378">
        <f>1.6*2+2.375*2</f>
        <v>7.95</v>
      </c>
      <c r="I800" s="202">
        <v>0</v>
      </c>
      <c r="L800" s="41"/>
      <c r="M800" s="203"/>
      <c r="N800" s="358"/>
      <c r="O800" s="358"/>
      <c r="P800" s="358"/>
      <c r="Q800" s="358"/>
      <c r="R800" s="358"/>
      <c r="S800" s="358"/>
      <c r="T800" s="205"/>
      <c r="AT800" s="199"/>
      <c r="AU800" s="199"/>
      <c r="AY800" s="199"/>
    </row>
    <row r="801" spans="2:65" s="13" customFormat="1" x14ac:dyDescent="0.3">
      <c r="B801" s="198"/>
      <c r="D801" s="183"/>
      <c r="E801" s="199">
        <v>5</v>
      </c>
      <c r="F801" s="312" t="s">
        <v>1442</v>
      </c>
      <c r="H801" s="378">
        <f>2*2+2.15*2</f>
        <v>8.3000000000000007</v>
      </c>
      <c r="I801" s="202">
        <v>0</v>
      </c>
      <c r="L801" s="41"/>
      <c r="M801" s="203"/>
      <c r="N801" s="358"/>
      <c r="O801" s="358"/>
      <c r="P801" s="358"/>
      <c r="Q801" s="358"/>
      <c r="R801" s="358"/>
      <c r="S801" s="358"/>
      <c r="T801" s="205"/>
      <c r="AT801" s="199"/>
      <c r="AU801" s="199"/>
      <c r="AY801" s="199"/>
    </row>
    <row r="802" spans="2:65" s="13" customFormat="1" x14ac:dyDescent="0.3">
      <c r="B802" s="198"/>
      <c r="D802" s="183"/>
      <c r="E802" s="199">
        <v>5</v>
      </c>
      <c r="F802" s="312" t="s">
        <v>1443</v>
      </c>
      <c r="H802" s="378">
        <f>1.05*2+1.3*2</f>
        <v>4.7</v>
      </c>
      <c r="I802" s="202">
        <v>0</v>
      </c>
      <c r="L802" s="41"/>
      <c r="M802" s="203"/>
      <c r="N802" s="358"/>
      <c r="O802" s="358"/>
      <c r="P802" s="358"/>
      <c r="Q802" s="358"/>
      <c r="R802" s="358"/>
      <c r="S802" s="358"/>
      <c r="T802" s="205"/>
      <c r="AT802" s="199"/>
      <c r="AU802" s="199"/>
      <c r="AY802" s="199"/>
    </row>
    <row r="803" spans="2:65" s="13" customFormat="1" x14ac:dyDescent="0.3">
      <c r="B803" s="198"/>
      <c r="D803" s="183"/>
      <c r="E803" s="314" t="s">
        <v>1445</v>
      </c>
      <c r="F803" s="312" t="s">
        <v>1444</v>
      </c>
      <c r="H803" s="378">
        <f>2.35+2.4+0.7*2+4.5+2.4+1+2.35+2.1+0.95+0.1+0.6+7.95+1.05+0.36</f>
        <v>29.510000000000005</v>
      </c>
      <c r="I803" s="202">
        <v>0</v>
      </c>
      <c r="L803" s="41"/>
      <c r="M803" s="203"/>
      <c r="N803" s="358"/>
      <c r="O803" s="358"/>
      <c r="P803" s="358"/>
      <c r="Q803" s="358"/>
      <c r="R803" s="358"/>
      <c r="S803" s="358"/>
      <c r="T803" s="205"/>
      <c r="AT803" s="199"/>
      <c r="AU803" s="199"/>
      <c r="AY803" s="199"/>
    </row>
    <row r="804" spans="2:65" s="13" customFormat="1" x14ac:dyDescent="0.3">
      <c r="B804" s="198"/>
      <c r="D804" s="183"/>
      <c r="E804" s="199"/>
      <c r="F804" s="326" t="s">
        <v>1446</v>
      </c>
      <c r="H804" s="378">
        <f>-(0.9+0.8+0.9+0.9*2+0.9+1+0.8)</f>
        <v>-7.1000000000000005</v>
      </c>
      <c r="I804" s="202">
        <v>0</v>
      </c>
      <c r="L804" s="41"/>
      <c r="M804" s="203"/>
      <c r="N804" s="358"/>
      <c r="O804" s="358"/>
      <c r="P804" s="358"/>
      <c r="Q804" s="358"/>
      <c r="R804" s="358"/>
      <c r="S804" s="358"/>
      <c r="T804" s="205"/>
      <c r="AT804" s="199"/>
      <c r="AU804" s="199"/>
      <c r="AY804" s="199"/>
    </row>
    <row r="805" spans="2:65" s="13" customFormat="1" x14ac:dyDescent="0.3">
      <c r="B805" s="198"/>
      <c r="D805" s="183"/>
      <c r="E805" s="199"/>
      <c r="F805" s="326" t="s">
        <v>1447</v>
      </c>
      <c r="H805" s="378"/>
      <c r="I805" s="202">
        <v>0</v>
      </c>
      <c r="L805" s="41"/>
      <c r="M805" s="203"/>
      <c r="N805" s="358"/>
      <c r="O805" s="358"/>
      <c r="P805" s="358"/>
      <c r="Q805" s="358"/>
      <c r="R805" s="358"/>
      <c r="S805" s="358"/>
      <c r="T805" s="205"/>
      <c r="AT805" s="199"/>
      <c r="AU805" s="199"/>
      <c r="AY805" s="199"/>
    </row>
    <row r="806" spans="2:65" s="13" customFormat="1" x14ac:dyDescent="0.3">
      <c r="B806" s="198"/>
      <c r="D806" s="183"/>
      <c r="E806" s="199">
        <v>3.1</v>
      </c>
      <c r="F806" s="326" t="s">
        <v>1448</v>
      </c>
      <c r="H806" s="378">
        <f>1.95*2+2.1*2-(1.05+0.8+1)</f>
        <v>5.25</v>
      </c>
      <c r="I806" s="202">
        <v>0</v>
      </c>
      <c r="L806" s="41"/>
      <c r="M806" s="203"/>
      <c r="N806" s="358"/>
      <c r="O806" s="358"/>
      <c r="P806" s="358"/>
      <c r="Q806" s="358"/>
      <c r="R806" s="358"/>
      <c r="S806" s="358"/>
      <c r="T806" s="205"/>
      <c r="AT806" s="199"/>
      <c r="AU806" s="199"/>
      <c r="AY806" s="199"/>
    </row>
    <row r="807" spans="2:65" s="13" customFormat="1" x14ac:dyDescent="0.3">
      <c r="B807" s="198"/>
      <c r="D807" s="183"/>
      <c r="E807" s="199">
        <v>4.0999999999999996</v>
      </c>
      <c r="F807" s="326" t="s">
        <v>1448</v>
      </c>
      <c r="H807" s="378">
        <f>1.95*2+2.1*2-(1.05+0.8+1)</f>
        <v>5.25</v>
      </c>
      <c r="I807" s="202">
        <v>0</v>
      </c>
      <c r="L807" s="41"/>
      <c r="M807" s="203"/>
      <c r="N807" s="358"/>
      <c r="O807" s="358"/>
      <c r="P807" s="358"/>
      <c r="Q807" s="358"/>
      <c r="R807" s="358"/>
      <c r="S807" s="358"/>
      <c r="T807" s="205"/>
      <c r="AT807" s="199"/>
      <c r="AU807" s="199"/>
      <c r="AY807" s="199"/>
    </row>
    <row r="808" spans="2:65" s="13" customFormat="1" x14ac:dyDescent="0.3">
      <c r="B808" s="198"/>
      <c r="D808" s="183"/>
      <c r="E808" s="199">
        <v>5.0999999999999996</v>
      </c>
      <c r="F808" s="326" t="s">
        <v>1449</v>
      </c>
      <c r="H808" s="378">
        <f>2.125*2+2.1*2-(1.05+0.9+0.8)+(16*0.185*2)+(16*0.25*2)</f>
        <v>19.619999999999997</v>
      </c>
      <c r="I808" s="202">
        <v>0</v>
      </c>
      <c r="L808" s="41"/>
      <c r="M808" s="203"/>
      <c r="N808" s="358"/>
      <c r="O808" s="358"/>
      <c r="P808" s="358"/>
      <c r="Q808" s="358"/>
      <c r="R808" s="358"/>
      <c r="S808" s="358"/>
      <c r="T808" s="205"/>
      <c r="AT808" s="199"/>
      <c r="AU808" s="199"/>
      <c r="AY808" s="199"/>
    </row>
    <row r="809" spans="2:65" s="1" customFormat="1" ht="16.5" customHeight="1" x14ac:dyDescent="0.3">
      <c r="B809" s="169"/>
      <c r="C809" s="206" t="s">
        <v>873</v>
      </c>
      <c r="D809" s="206" t="s">
        <v>355</v>
      </c>
      <c r="E809" s="207" t="s">
        <v>874</v>
      </c>
      <c r="F809" s="208" t="s">
        <v>875</v>
      </c>
      <c r="G809" s="209" t="s">
        <v>179</v>
      </c>
      <c r="H809" s="355">
        <f>H811</f>
        <v>15.908399999999999</v>
      </c>
      <c r="I809" s="211">
        <v>0</v>
      </c>
      <c r="J809" s="212">
        <f>ROUND(I809*H809,2)</f>
        <v>0</v>
      </c>
      <c r="K809" s="208" t="s">
        <v>142</v>
      </c>
      <c r="L809" s="41"/>
      <c r="M809" s="213" t="s">
        <v>5</v>
      </c>
      <c r="N809" s="214" t="s">
        <v>42</v>
      </c>
      <c r="O809" s="42"/>
      <c r="P809" s="179">
        <f>O809*H809</f>
        <v>0</v>
      </c>
      <c r="Q809" s="179">
        <v>2.8879999999999999E-2</v>
      </c>
      <c r="R809" s="179">
        <f>Q809*H809</f>
        <v>0.45943459199999997</v>
      </c>
      <c r="S809" s="179">
        <v>0</v>
      </c>
      <c r="T809" s="180">
        <f>S809*H809</f>
        <v>0</v>
      </c>
      <c r="AR809" s="24" t="s">
        <v>283</v>
      </c>
      <c r="AT809" s="24" t="s">
        <v>355</v>
      </c>
      <c r="AU809" s="24" t="s">
        <v>81</v>
      </c>
      <c r="AY809" s="24" t="s">
        <v>136</v>
      </c>
      <c r="BE809" s="181">
        <f>IF(N809="základní",J809,0)</f>
        <v>0</v>
      </c>
      <c r="BF809" s="181">
        <f>IF(N809="snížená",J809,0)</f>
        <v>0</v>
      </c>
      <c r="BG809" s="181">
        <f>IF(N809="zákl. přenesená",J809,0)</f>
        <v>0</v>
      </c>
      <c r="BH809" s="181">
        <f>IF(N809="sníž. přenesená",J809,0)</f>
        <v>0</v>
      </c>
      <c r="BI809" s="181">
        <f>IF(N809="nulová",J809,0)</f>
        <v>0</v>
      </c>
      <c r="BJ809" s="24" t="s">
        <v>79</v>
      </c>
      <c r="BK809" s="181">
        <f>ROUND(I809*H809,2)</f>
        <v>0</v>
      </c>
      <c r="BL809" s="24" t="s">
        <v>204</v>
      </c>
      <c r="BM809" s="24" t="s">
        <v>876</v>
      </c>
    </row>
    <row r="810" spans="2:65" s="12" customFormat="1" x14ac:dyDescent="0.3">
      <c r="B810" s="190"/>
      <c r="D810" s="183" t="s">
        <v>145</v>
      </c>
      <c r="E810" s="191" t="s">
        <v>5</v>
      </c>
      <c r="F810" s="312" t="s">
        <v>1450</v>
      </c>
      <c r="H810" s="315">
        <f>88.38*0.1</f>
        <v>8.8379999999999992</v>
      </c>
      <c r="I810" s="194">
        <v>0</v>
      </c>
      <c r="L810" s="41"/>
      <c r="M810" s="195"/>
      <c r="N810" s="196"/>
      <c r="O810" s="196"/>
      <c r="P810" s="196"/>
      <c r="Q810" s="196"/>
      <c r="R810" s="196"/>
      <c r="S810" s="196"/>
      <c r="T810" s="197"/>
      <c r="AT810" s="191" t="s">
        <v>145</v>
      </c>
      <c r="AU810" s="191" t="s">
        <v>81</v>
      </c>
      <c r="AV810" s="12" t="s">
        <v>81</v>
      </c>
      <c r="AW810" s="12" t="s">
        <v>35</v>
      </c>
      <c r="AX810" s="12" t="s">
        <v>79</v>
      </c>
      <c r="AY810" s="191" t="s">
        <v>136</v>
      </c>
    </row>
    <row r="811" spans="2:65" s="12" customFormat="1" x14ac:dyDescent="0.3">
      <c r="B811" s="190"/>
      <c r="D811" s="183" t="s">
        <v>145</v>
      </c>
      <c r="F811" s="312" t="s">
        <v>1451</v>
      </c>
      <c r="H811" s="315">
        <f>8.838*1.8</f>
        <v>15.908399999999999</v>
      </c>
      <c r="I811" s="194">
        <v>0</v>
      </c>
      <c r="L811" s="41"/>
      <c r="M811" s="195"/>
      <c r="N811" s="196"/>
      <c r="O811" s="196"/>
      <c r="P811" s="196"/>
      <c r="Q811" s="196"/>
      <c r="R811" s="196"/>
      <c r="S811" s="196"/>
      <c r="T811" s="197"/>
      <c r="AT811" s="191" t="s">
        <v>145</v>
      </c>
      <c r="AU811" s="191" t="s">
        <v>81</v>
      </c>
      <c r="AV811" s="12" t="s">
        <v>81</v>
      </c>
      <c r="AW811" s="12" t="s">
        <v>6</v>
      </c>
      <c r="AX811" s="12" t="s">
        <v>79</v>
      </c>
      <c r="AY811" s="191" t="s">
        <v>136</v>
      </c>
    </row>
    <row r="812" spans="2:65" s="1" customFormat="1" ht="25.5" customHeight="1" x14ac:dyDescent="0.3">
      <c r="B812" s="169"/>
      <c r="C812" s="170" t="s">
        <v>877</v>
      </c>
      <c r="D812" s="170" t="s">
        <v>138</v>
      </c>
      <c r="E812" s="171" t="s">
        <v>878</v>
      </c>
      <c r="F812" s="172" t="s">
        <v>879</v>
      </c>
      <c r="G812" s="173" t="s">
        <v>179</v>
      </c>
      <c r="H812" s="320">
        <f>SUM(H814:H821)</f>
        <v>150.71250000000001</v>
      </c>
      <c r="I812" s="175">
        <v>747.49999999999989</v>
      </c>
      <c r="J812" s="176">
        <f>ROUND(I812*H812,2)</f>
        <v>112657.59</v>
      </c>
      <c r="K812" s="172" t="s">
        <v>142</v>
      </c>
      <c r="L812" s="41"/>
      <c r="M812" s="177" t="s">
        <v>5</v>
      </c>
      <c r="N812" s="178" t="s">
        <v>42</v>
      </c>
      <c r="O812" s="42"/>
      <c r="P812" s="179">
        <f>O812*H812</f>
        <v>0</v>
      </c>
      <c r="Q812" s="179">
        <v>8.9999999999999993E-3</v>
      </c>
      <c r="R812" s="179">
        <f>Q812*H812</f>
        <v>1.3564125</v>
      </c>
      <c r="S812" s="179">
        <v>0</v>
      </c>
      <c r="T812" s="180">
        <f>S812*H812</f>
        <v>0</v>
      </c>
      <c r="AR812" s="24" t="s">
        <v>204</v>
      </c>
      <c r="AT812" s="24" t="s">
        <v>138</v>
      </c>
      <c r="AU812" s="24" t="s">
        <v>81</v>
      </c>
      <c r="AY812" s="24" t="s">
        <v>136</v>
      </c>
      <c r="BE812" s="181">
        <f>IF(N812="základní",J812,0)</f>
        <v>112657.59</v>
      </c>
      <c r="BF812" s="181">
        <f>IF(N812="snížená",J812,0)</f>
        <v>0</v>
      </c>
      <c r="BG812" s="181">
        <f>IF(N812="zákl. přenesená",J812,0)</f>
        <v>0</v>
      </c>
      <c r="BH812" s="181">
        <f>IF(N812="sníž. přenesená",J812,0)</f>
        <v>0</v>
      </c>
      <c r="BI812" s="181">
        <f>IF(N812="nulová",J812,0)</f>
        <v>0</v>
      </c>
      <c r="BJ812" s="24" t="s">
        <v>79</v>
      </c>
      <c r="BK812" s="181">
        <f>ROUND(I812*H812,2)</f>
        <v>112657.59</v>
      </c>
      <c r="BL812" s="24" t="s">
        <v>204</v>
      </c>
      <c r="BM812" s="24" t="s">
        <v>880</v>
      </c>
    </row>
    <row r="813" spans="2:65" s="11" customFormat="1" x14ac:dyDescent="0.3">
      <c r="B813" s="182"/>
      <c r="D813" s="183" t="s">
        <v>145</v>
      </c>
      <c r="E813" s="314" t="s">
        <v>5</v>
      </c>
      <c r="F813" s="312" t="s">
        <v>1452</v>
      </c>
      <c r="H813" s="184"/>
      <c r="I813" s="186">
        <v>0</v>
      </c>
      <c r="L813" s="41"/>
      <c r="M813" s="187"/>
      <c r="N813" s="188"/>
      <c r="O813" s="188"/>
      <c r="P813" s="188"/>
      <c r="Q813" s="188"/>
      <c r="R813" s="188"/>
      <c r="S813" s="188"/>
      <c r="T813" s="189"/>
      <c r="AT813" s="184" t="s">
        <v>145</v>
      </c>
      <c r="AU813" s="184" t="s">
        <v>81</v>
      </c>
      <c r="AV813" s="11" t="s">
        <v>79</v>
      </c>
      <c r="AW813" s="11" t="s">
        <v>35</v>
      </c>
      <c r="AX813" s="11" t="s">
        <v>71</v>
      </c>
      <c r="AY813" s="184" t="s">
        <v>136</v>
      </c>
    </row>
    <row r="814" spans="2:65" s="12" customFormat="1" x14ac:dyDescent="0.3">
      <c r="B814" s="190"/>
      <c r="D814" s="183" t="s">
        <v>145</v>
      </c>
      <c r="E814" s="314" t="s">
        <v>5</v>
      </c>
      <c r="F814" s="312">
        <v>117.8</v>
      </c>
      <c r="H814" s="315">
        <v>117.8</v>
      </c>
      <c r="I814" s="194">
        <v>0</v>
      </c>
      <c r="L814" s="41"/>
      <c r="M814" s="195"/>
      <c r="N814" s="196"/>
      <c r="O814" s="196"/>
      <c r="P814" s="196"/>
      <c r="Q814" s="196"/>
      <c r="R814" s="196"/>
      <c r="S814" s="196"/>
      <c r="T814" s="197"/>
      <c r="AT814" s="191" t="s">
        <v>145</v>
      </c>
      <c r="AU814" s="191" t="s">
        <v>81</v>
      </c>
      <c r="AV814" s="12" t="s">
        <v>81</v>
      </c>
      <c r="AW814" s="12" t="s">
        <v>35</v>
      </c>
      <c r="AX814" s="12" t="s">
        <v>71</v>
      </c>
      <c r="AY814" s="191" t="s">
        <v>136</v>
      </c>
    </row>
    <row r="815" spans="2:65" s="12" customFormat="1" x14ac:dyDescent="0.3">
      <c r="B815" s="190"/>
      <c r="D815" s="183" t="s">
        <v>145</v>
      </c>
      <c r="E815" s="314" t="s">
        <v>5</v>
      </c>
      <c r="F815" s="312" t="s">
        <v>1453</v>
      </c>
      <c r="H815" s="315"/>
      <c r="I815" s="194">
        <v>0</v>
      </c>
      <c r="L815" s="41"/>
      <c r="M815" s="195"/>
      <c r="N815" s="196"/>
      <c r="O815" s="196"/>
      <c r="P815" s="196"/>
      <c r="Q815" s="196"/>
      <c r="R815" s="196"/>
      <c r="S815" s="196"/>
      <c r="T815" s="197"/>
      <c r="AT815" s="191" t="s">
        <v>145</v>
      </c>
      <c r="AU815" s="191" t="s">
        <v>81</v>
      </c>
      <c r="AV815" s="12" t="s">
        <v>81</v>
      </c>
      <c r="AW815" s="12" t="s">
        <v>35</v>
      </c>
      <c r="AX815" s="12" t="s">
        <v>71</v>
      </c>
      <c r="AY815" s="191" t="s">
        <v>136</v>
      </c>
    </row>
    <row r="816" spans="2:65" s="11" customFormat="1" x14ac:dyDescent="0.3">
      <c r="B816" s="182"/>
      <c r="D816" s="183" t="s">
        <v>145</v>
      </c>
      <c r="E816" s="314">
        <v>3.1</v>
      </c>
      <c r="F816" s="312" t="s">
        <v>1454</v>
      </c>
      <c r="H816" s="332">
        <f>1.95*2.1</f>
        <v>4.0949999999999998</v>
      </c>
      <c r="I816" s="186">
        <v>0</v>
      </c>
      <c r="L816" s="41"/>
      <c r="M816" s="187"/>
      <c r="N816" s="188"/>
      <c r="O816" s="188"/>
      <c r="P816" s="188"/>
      <c r="Q816" s="188"/>
      <c r="R816" s="188"/>
      <c r="S816" s="188"/>
      <c r="T816" s="189"/>
      <c r="AT816" s="184" t="s">
        <v>145</v>
      </c>
      <c r="AU816" s="184" t="s">
        <v>81</v>
      </c>
      <c r="AV816" s="11" t="s">
        <v>79</v>
      </c>
      <c r="AW816" s="11" t="s">
        <v>35</v>
      </c>
      <c r="AX816" s="11" t="s">
        <v>71</v>
      </c>
      <c r="AY816" s="184" t="s">
        <v>136</v>
      </c>
    </row>
    <row r="817" spans="2:65" s="12" customFormat="1" x14ac:dyDescent="0.3">
      <c r="B817" s="190"/>
      <c r="D817" s="183" t="s">
        <v>145</v>
      </c>
      <c r="E817" s="314">
        <v>3.2</v>
      </c>
      <c r="F817" s="312" t="s">
        <v>1330</v>
      </c>
      <c r="H817" s="378">
        <f>2.35*1.95</f>
        <v>4.5825000000000005</v>
      </c>
      <c r="I817" s="194">
        <v>0</v>
      </c>
      <c r="L817" s="41"/>
      <c r="M817" s="195"/>
      <c r="N817" s="196"/>
      <c r="O817" s="196"/>
      <c r="P817" s="196"/>
      <c r="Q817" s="196"/>
      <c r="R817" s="196"/>
      <c r="S817" s="196"/>
      <c r="T817" s="197"/>
      <c r="AT817" s="191" t="s">
        <v>145</v>
      </c>
      <c r="AU817" s="191" t="s">
        <v>81</v>
      </c>
      <c r="AV817" s="12" t="s">
        <v>81</v>
      </c>
      <c r="AW817" s="12" t="s">
        <v>35</v>
      </c>
      <c r="AX817" s="12" t="s">
        <v>71</v>
      </c>
      <c r="AY817" s="191" t="s">
        <v>136</v>
      </c>
    </row>
    <row r="818" spans="2:65" s="12" customFormat="1" x14ac:dyDescent="0.3">
      <c r="B818" s="190"/>
      <c r="D818" s="183" t="s">
        <v>145</v>
      </c>
      <c r="E818" s="314">
        <v>4.0999999999999996</v>
      </c>
      <c r="F818" s="312" t="s">
        <v>1454</v>
      </c>
      <c r="H818" s="378">
        <f>1.95*2.1</f>
        <v>4.0949999999999998</v>
      </c>
      <c r="I818" s="194">
        <v>0</v>
      </c>
      <c r="L818" s="41"/>
      <c r="M818" s="195"/>
      <c r="N818" s="196"/>
      <c r="O818" s="196"/>
      <c r="P818" s="196"/>
      <c r="Q818" s="196"/>
      <c r="R818" s="196"/>
      <c r="S818" s="196"/>
      <c r="T818" s="197"/>
      <c r="AT818" s="191" t="s">
        <v>145</v>
      </c>
      <c r="AU818" s="191" t="s">
        <v>81</v>
      </c>
      <c r="AV818" s="12" t="s">
        <v>81</v>
      </c>
      <c r="AW818" s="12" t="s">
        <v>35</v>
      </c>
      <c r="AX818" s="12" t="s">
        <v>71</v>
      </c>
      <c r="AY818" s="191" t="s">
        <v>136</v>
      </c>
    </row>
    <row r="819" spans="2:65" s="12" customFormat="1" x14ac:dyDescent="0.3">
      <c r="B819" s="190"/>
      <c r="D819" s="183" t="s">
        <v>145</v>
      </c>
      <c r="E819" s="314">
        <v>4.2</v>
      </c>
      <c r="F819" s="312" t="s">
        <v>1330</v>
      </c>
      <c r="H819" s="378">
        <f>2.35*1.95</f>
        <v>4.5825000000000005</v>
      </c>
      <c r="I819" s="194">
        <v>0</v>
      </c>
      <c r="L819" s="41"/>
      <c r="M819" s="195"/>
      <c r="N819" s="196"/>
      <c r="O819" s="196"/>
      <c r="P819" s="196"/>
      <c r="Q819" s="196"/>
      <c r="R819" s="196"/>
      <c r="S819" s="196"/>
      <c r="T819" s="197"/>
      <c r="AT819" s="191" t="s">
        <v>145</v>
      </c>
      <c r="AU819" s="191" t="s">
        <v>81</v>
      </c>
      <c r="AV819" s="12" t="s">
        <v>81</v>
      </c>
      <c r="AW819" s="12" t="s">
        <v>35</v>
      </c>
      <c r="AX819" s="12" t="s">
        <v>71</v>
      </c>
      <c r="AY819" s="191" t="s">
        <v>136</v>
      </c>
    </row>
    <row r="820" spans="2:65" s="12" customFormat="1" x14ac:dyDescent="0.3">
      <c r="B820" s="190"/>
      <c r="D820" s="183" t="s">
        <v>145</v>
      </c>
      <c r="E820" s="314">
        <v>5.0999999999999996</v>
      </c>
      <c r="F820" s="312" t="s">
        <v>1455</v>
      </c>
      <c r="H820" s="378">
        <f>2.125*2.05+(0.185+0.25)*16</f>
        <v>11.31625</v>
      </c>
      <c r="I820" s="194">
        <v>0</v>
      </c>
      <c r="L820" s="41"/>
      <c r="M820" s="195"/>
      <c r="N820" s="196"/>
      <c r="O820" s="196"/>
      <c r="P820" s="196"/>
      <c r="Q820" s="196"/>
      <c r="R820" s="196"/>
      <c r="S820" s="196"/>
      <c r="T820" s="197"/>
      <c r="AT820" s="191" t="s">
        <v>145</v>
      </c>
      <c r="AU820" s="191" t="s">
        <v>81</v>
      </c>
      <c r="AV820" s="12" t="s">
        <v>81</v>
      </c>
      <c r="AW820" s="12" t="s">
        <v>35</v>
      </c>
      <c r="AX820" s="12" t="s">
        <v>71</v>
      </c>
      <c r="AY820" s="191" t="s">
        <v>136</v>
      </c>
    </row>
    <row r="821" spans="2:65" s="12" customFormat="1" x14ac:dyDescent="0.3">
      <c r="B821" s="190"/>
      <c r="D821" s="183" t="s">
        <v>145</v>
      </c>
      <c r="E821" s="314">
        <v>5.2</v>
      </c>
      <c r="F821" s="312" t="s">
        <v>1332</v>
      </c>
      <c r="H821" s="378">
        <f>2.175*1.95</f>
        <v>4.24125</v>
      </c>
      <c r="I821" s="194">
        <v>0</v>
      </c>
      <c r="L821" s="41"/>
      <c r="M821" s="195"/>
      <c r="N821" s="196"/>
      <c r="O821" s="196"/>
      <c r="P821" s="196"/>
      <c r="Q821" s="196"/>
      <c r="R821" s="196"/>
      <c r="S821" s="196"/>
      <c r="T821" s="197"/>
      <c r="AT821" s="191" t="s">
        <v>145</v>
      </c>
      <c r="AU821" s="191" t="s">
        <v>81</v>
      </c>
      <c r="AV821" s="12" t="s">
        <v>81</v>
      </c>
      <c r="AW821" s="12" t="s">
        <v>35</v>
      </c>
      <c r="AX821" s="12" t="s">
        <v>71</v>
      </c>
      <c r="AY821" s="191" t="s">
        <v>136</v>
      </c>
    </row>
    <row r="822" spans="2:65" s="1" customFormat="1" ht="16.5" customHeight="1" x14ac:dyDescent="0.3">
      <c r="B822" s="169"/>
      <c r="C822" s="206" t="s">
        <v>881</v>
      </c>
      <c r="D822" s="206" t="s">
        <v>355</v>
      </c>
      <c r="E822" s="207" t="s">
        <v>874</v>
      </c>
      <c r="F822" s="208" t="s">
        <v>875</v>
      </c>
      <c r="G822" s="209" t="s">
        <v>179</v>
      </c>
      <c r="H822" s="355">
        <f>H823</f>
        <v>173.31994999999998</v>
      </c>
      <c r="I822" s="211">
        <v>0</v>
      </c>
      <c r="J822" s="212">
        <f>ROUND(I822*H822,2)</f>
        <v>0</v>
      </c>
      <c r="K822" s="208" t="s">
        <v>142</v>
      </c>
      <c r="L822" s="41"/>
      <c r="M822" s="213" t="s">
        <v>5</v>
      </c>
      <c r="N822" s="214" t="s">
        <v>42</v>
      </c>
      <c r="O822" s="42"/>
      <c r="P822" s="179">
        <f>O822*H822</f>
        <v>0</v>
      </c>
      <c r="Q822" s="179">
        <v>2.8879999999999999E-2</v>
      </c>
      <c r="R822" s="179">
        <f>Q822*H822</f>
        <v>5.0054801559999991</v>
      </c>
      <c r="S822" s="179">
        <v>0</v>
      </c>
      <c r="T822" s="180">
        <f>S822*H822</f>
        <v>0</v>
      </c>
      <c r="AR822" s="24" t="s">
        <v>283</v>
      </c>
      <c r="AT822" s="24" t="s">
        <v>355</v>
      </c>
      <c r="AU822" s="24" t="s">
        <v>81</v>
      </c>
      <c r="AY822" s="24" t="s">
        <v>136</v>
      </c>
      <c r="BE822" s="181">
        <f>IF(N822="základní",J822,0)</f>
        <v>0</v>
      </c>
      <c r="BF822" s="181">
        <f>IF(N822="snížená",J822,0)</f>
        <v>0</v>
      </c>
      <c r="BG822" s="181">
        <f>IF(N822="zákl. přenesená",J822,0)</f>
        <v>0</v>
      </c>
      <c r="BH822" s="181">
        <f>IF(N822="sníž. přenesená",J822,0)</f>
        <v>0</v>
      </c>
      <c r="BI822" s="181">
        <f>IF(N822="nulová",J822,0)</f>
        <v>0</v>
      </c>
      <c r="BJ822" s="24" t="s">
        <v>79</v>
      </c>
      <c r="BK822" s="181">
        <f>ROUND(I822*H822,2)</f>
        <v>0</v>
      </c>
      <c r="BL822" s="24" t="s">
        <v>204</v>
      </c>
      <c r="BM822" s="24" t="s">
        <v>882</v>
      </c>
    </row>
    <row r="823" spans="2:65" s="12" customFormat="1" x14ac:dyDescent="0.3">
      <c r="B823" s="190"/>
      <c r="D823" s="183" t="s">
        <v>145</v>
      </c>
      <c r="F823" s="312" t="s">
        <v>1456</v>
      </c>
      <c r="H823" s="315">
        <f>150.713*1.15</f>
        <v>173.31994999999998</v>
      </c>
      <c r="I823" s="194">
        <v>0</v>
      </c>
      <c r="L823" s="41"/>
      <c r="M823" s="195"/>
      <c r="N823" s="196"/>
      <c r="O823" s="196"/>
      <c r="P823" s="196"/>
      <c r="Q823" s="196"/>
      <c r="R823" s="196"/>
      <c r="S823" s="196"/>
      <c r="T823" s="197"/>
      <c r="AT823" s="191" t="s">
        <v>145</v>
      </c>
      <c r="AU823" s="191" t="s">
        <v>81</v>
      </c>
      <c r="AV823" s="12" t="s">
        <v>81</v>
      </c>
      <c r="AW823" s="12" t="s">
        <v>6</v>
      </c>
      <c r="AX823" s="12" t="s">
        <v>79</v>
      </c>
      <c r="AY823" s="191" t="s">
        <v>136</v>
      </c>
    </row>
    <row r="824" spans="2:65" s="1" customFormat="1" ht="16.5" customHeight="1" x14ac:dyDescent="0.3">
      <c r="B824" s="169"/>
      <c r="C824" s="170" t="s">
        <v>883</v>
      </c>
      <c r="D824" s="170" t="s">
        <v>138</v>
      </c>
      <c r="E824" s="171" t="s">
        <v>884</v>
      </c>
      <c r="F824" s="172" t="s">
        <v>885</v>
      </c>
      <c r="G824" s="173" t="s">
        <v>179</v>
      </c>
      <c r="H824" s="320">
        <f>H812</f>
        <v>150.71250000000001</v>
      </c>
      <c r="I824" s="175">
        <v>46</v>
      </c>
      <c r="J824" s="176">
        <f>ROUND(I824*H824,2)</f>
        <v>6932.78</v>
      </c>
      <c r="K824" s="172" t="s">
        <v>142</v>
      </c>
      <c r="L824" s="41"/>
      <c r="M824" s="177" t="s">
        <v>5</v>
      </c>
      <c r="N824" s="178" t="s">
        <v>42</v>
      </c>
      <c r="O824" s="42"/>
      <c r="P824" s="179">
        <f>O824*H824</f>
        <v>0</v>
      </c>
      <c r="Q824" s="179">
        <v>2.9999999999999997E-4</v>
      </c>
      <c r="R824" s="179">
        <f>Q824*H824</f>
        <v>4.5213749999999997E-2</v>
      </c>
      <c r="S824" s="179">
        <v>0</v>
      </c>
      <c r="T824" s="180">
        <f>S824*H824</f>
        <v>0</v>
      </c>
      <c r="AR824" s="24" t="s">
        <v>204</v>
      </c>
      <c r="AT824" s="24" t="s">
        <v>138</v>
      </c>
      <c r="AU824" s="24" t="s">
        <v>81</v>
      </c>
      <c r="AY824" s="24" t="s">
        <v>136</v>
      </c>
      <c r="BE824" s="181">
        <f>IF(N824="základní",J824,0)</f>
        <v>6932.78</v>
      </c>
      <c r="BF824" s="181">
        <f>IF(N824="snížená",J824,0)</f>
        <v>0</v>
      </c>
      <c r="BG824" s="181">
        <f>IF(N824="zákl. přenesená",J824,0)</f>
        <v>0</v>
      </c>
      <c r="BH824" s="181">
        <f>IF(N824="sníž. přenesená",J824,0)</f>
        <v>0</v>
      </c>
      <c r="BI824" s="181">
        <f>IF(N824="nulová",J824,0)</f>
        <v>0</v>
      </c>
      <c r="BJ824" s="24" t="s">
        <v>79</v>
      </c>
      <c r="BK824" s="181">
        <f>ROUND(I824*H824,2)</f>
        <v>6932.78</v>
      </c>
      <c r="BL824" s="24" t="s">
        <v>204</v>
      </c>
      <c r="BM824" s="24" t="s">
        <v>886</v>
      </c>
    </row>
    <row r="825" spans="2:65" s="1" customFormat="1" ht="16.5" customHeight="1" x14ac:dyDescent="0.3">
      <c r="B825" s="169"/>
      <c r="C825" s="170" t="s">
        <v>887</v>
      </c>
      <c r="D825" s="170" t="s">
        <v>138</v>
      </c>
      <c r="E825" s="171" t="s">
        <v>888</v>
      </c>
      <c r="F825" s="172" t="s">
        <v>889</v>
      </c>
      <c r="G825" s="173" t="s">
        <v>249</v>
      </c>
      <c r="H825" s="320">
        <f>H826</f>
        <v>176.76</v>
      </c>
      <c r="I825" s="175">
        <v>69</v>
      </c>
      <c r="J825" s="176">
        <f>ROUND(I825*H825,2)</f>
        <v>12196.44</v>
      </c>
      <c r="K825" s="172" t="s">
        <v>142</v>
      </c>
      <c r="L825" s="41"/>
      <c r="M825" s="177" t="s">
        <v>5</v>
      </c>
      <c r="N825" s="178" t="s">
        <v>42</v>
      </c>
      <c r="O825" s="42"/>
      <c r="P825" s="179">
        <f>O825*H825</f>
        <v>0</v>
      </c>
      <c r="Q825" s="179">
        <v>3.0000000000000001E-5</v>
      </c>
      <c r="R825" s="179">
        <f>Q825*H825</f>
        <v>5.3027999999999999E-3</v>
      </c>
      <c r="S825" s="179">
        <v>0</v>
      </c>
      <c r="T825" s="180">
        <f>S825*H825</f>
        <v>0</v>
      </c>
      <c r="AR825" s="24" t="s">
        <v>204</v>
      </c>
      <c r="AT825" s="24" t="s">
        <v>138</v>
      </c>
      <c r="AU825" s="24" t="s">
        <v>81</v>
      </c>
      <c r="AY825" s="24" t="s">
        <v>136</v>
      </c>
      <c r="BE825" s="181">
        <f>IF(N825="základní",J825,0)</f>
        <v>12196.44</v>
      </c>
      <c r="BF825" s="181">
        <f>IF(N825="snížená",J825,0)</f>
        <v>0</v>
      </c>
      <c r="BG825" s="181">
        <f>IF(N825="zákl. přenesená",J825,0)</f>
        <v>0</v>
      </c>
      <c r="BH825" s="181">
        <f>IF(N825="sníž. přenesená",J825,0)</f>
        <v>0</v>
      </c>
      <c r="BI825" s="181">
        <f>IF(N825="nulová",J825,0)</f>
        <v>0</v>
      </c>
      <c r="BJ825" s="24" t="s">
        <v>79</v>
      </c>
      <c r="BK825" s="181">
        <f>ROUND(I825*H825,2)</f>
        <v>12196.44</v>
      </c>
      <c r="BL825" s="24" t="s">
        <v>204</v>
      </c>
      <c r="BM825" s="24" t="s">
        <v>890</v>
      </c>
    </row>
    <row r="826" spans="2:65" s="308" customFormat="1" ht="16.5" customHeight="1" x14ac:dyDescent="0.3">
      <c r="B826" s="169"/>
      <c r="C826" s="170"/>
      <c r="D826" s="170"/>
      <c r="E826" s="171"/>
      <c r="F826" s="323" t="s">
        <v>1457</v>
      </c>
      <c r="G826" s="173"/>
      <c r="H826" s="320">
        <f>88.38*2</f>
        <v>176.76</v>
      </c>
      <c r="I826" s="175">
        <v>0</v>
      </c>
      <c r="J826" s="176"/>
      <c r="K826" s="172"/>
      <c r="L826" s="41"/>
      <c r="M826" s="177"/>
      <c r="N826" s="343"/>
      <c r="O826" s="344"/>
      <c r="P826" s="345"/>
      <c r="Q826" s="345"/>
      <c r="R826" s="345"/>
      <c r="S826" s="345"/>
      <c r="T826" s="180"/>
      <c r="AR826" s="24"/>
      <c r="AT826" s="24"/>
      <c r="AU826" s="24"/>
      <c r="AY826" s="24"/>
      <c r="BE826" s="181"/>
      <c r="BF826" s="181"/>
      <c r="BG826" s="181"/>
      <c r="BH826" s="181"/>
      <c r="BI826" s="181"/>
      <c r="BJ826" s="24"/>
      <c r="BK826" s="181"/>
      <c r="BL826" s="24"/>
      <c r="BM826" s="24"/>
    </row>
    <row r="827" spans="2:65" s="1" customFormat="1" ht="16.5" customHeight="1" x14ac:dyDescent="0.3">
      <c r="B827" s="169"/>
      <c r="C827" s="170" t="s">
        <v>891</v>
      </c>
      <c r="D827" s="170" t="s">
        <v>138</v>
      </c>
      <c r="E827" s="171" t="s">
        <v>892</v>
      </c>
      <c r="F827" s="172" t="s">
        <v>893</v>
      </c>
      <c r="G827" s="173" t="s">
        <v>249</v>
      </c>
      <c r="H827" s="320">
        <f>SUM(H828:H829)</f>
        <v>16.899999999999999</v>
      </c>
      <c r="I827" s="175">
        <v>74.75</v>
      </c>
      <c r="J827" s="176">
        <f>ROUND(I827*H827,2)</f>
        <v>1263.28</v>
      </c>
      <c r="K827" s="172" t="s">
        <v>142</v>
      </c>
      <c r="L827" s="41"/>
      <c r="M827" s="177" t="s">
        <v>5</v>
      </c>
      <c r="N827" s="178" t="s">
        <v>42</v>
      </c>
      <c r="O827" s="42"/>
      <c r="P827" s="179">
        <f>O827*H827</f>
        <v>0</v>
      </c>
      <c r="Q827" s="179">
        <v>2.0000000000000001E-4</v>
      </c>
      <c r="R827" s="179">
        <f>Q827*H827</f>
        <v>3.3799999999999998E-3</v>
      </c>
      <c r="S827" s="179">
        <v>0</v>
      </c>
      <c r="T827" s="180">
        <f>S827*H827</f>
        <v>0</v>
      </c>
      <c r="AR827" s="24" t="s">
        <v>204</v>
      </c>
      <c r="AT827" s="24" t="s">
        <v>138</v>
      </c>
      <c r="AU827" s="24" t="s">
        <v>81</v>
      </c>
      <c r="AY827" s="24" t="s">
        <v>136</v>
      </c>
      <c r="BE827" s="181">
        <f>IF(N827="základní",J827,0)</f>
        <v>1263.28</v>
      </c>
      <c r="BF827" s="181">
        <f>IF(N827="snížená",J827,0)</f>
        <v>0</v>
      </c>
      <c r="BG827" s="181">
        <f>IF(N827="zákl. přenesená",J827,0)</f>
        <v>0</v>
      </c>
      <c r="BH827" s="181">
        <f>IF(N827="sníž. přenesená",J827,0)</f>
        <v>0</v>
      </c>
      <c r="BI827" s="181">
        <f>IF(N827="nulová",J827,0)</f>
        <v>0</v>
      </c>
      <c r="BJ827" s="24" t="s">
        <v>79</v>
      </c>
      <c r="BK827" s="181">
        <f>ROUND(I827*H827,2)</f>
        <v>1263.28</v>
      </c>
      <c r="BL827" s="24" t="s">
        <v>204</v>
      </c>
      <c r="BM827" s="24" t="s">
        <v>894</v>
      </c>
    </row>
    <row r="828" spans="2:65" s="308" customFormat="1" ht="16.5" customHeight="1" x14ac:dyDescent="0.3">
      <c r="B828" s="169"/>
      <c r="C828" s="170"/>
      <c r="D828" s="170"/>
      <c r="E828" s="350" t="s">
        <v>1458</v>
      </c>
      <c r="F828" s="323">
        <v>0.9</v>
      </c>
      <c r="G828" s="173"/>
      <c r="H828" s="320">
        <v>0.9</v>
      </c>
      <c r="I828" s="175">
        <v>0</v>
      </c>
      <c r="J828" s="176"/>
      <c r="K828" s="172"/>
      <c r="L828" s="41"/>
      <c r="M828" s="177"/>
      <c r="N828" s="343"/>
      <c r="O828" s="344"/>
      <c r="P828" s="345"/>
      <c r="Q828" s="345"/>
      <c r="R828" s="345"/>
      <c r="S828" s="345"/>
      <c r="T828" s="180"/>
      <c r="AR828" s="24"/>
      <c r="AT828" s="24"/>
      <c r="AU828" s="24"/>
      <c r="AY828" s="24"/>
      <c r="BE828" s="181"/>
      <c r="BF828" s="181"/>
      <c r="BG828" s="181"/>
      <c r="BH828" s="181"/>
      <c r="BI828" s="181"/>
      <c r="BJ828" s="24"/>
      <c r="BK828" s="181"/>
      <c r="BL828" s="24"/>
      <c r="BM828" s="24"/>
    </row>
    <row r="829" spans="2:65" s="308" customFormat="1" ht="16.5" customHeight="1" x14ac:dyDescent="0.3">
      <c r="B829" s="169"/>
      <c r="C829" s="170"/>
      <c r="D829" s="170"/>
      <c r="E829" s="350" t="s">
        <v>1459</v>
      </c>
      <c r="F829" s="323" t="s">
        <v>1460</v>
      </c>
      <c r="G829" s="173"/>
      <c r="H829" s="320">
        <f>16*1</f>
        <v>16</v>
      </c>
      <c r="I829" s="175">
        <v>0</v>
      </c>
      <c r="J829" s="176"/>
      <c r="K829" s="172"/>
      <c r="L829" s="41"/>
      <c r="M829" s="177"/>
      <c r="N829" s="343"/>
      <c r="O829" s="344"/>
      <c r="P829" s="345"/>
      <c r="Q829" s="345"/>
      <c r="R829" s="345"/>
      <c r="S829" s="345"/>
      <c r="T829" s="180"/>
      <c r="AR829" s="24"/>
      <c r="AT829" s="24"/>
      <c r="AU829" s="24"/>
      <c r="AY829" s="24"/>
      <c r="BE829" s="181"/>
      <c r="BF829" s="181"/>
      <c r="BG829" s="181"/>
      <c r="BH829" s="181"/>
      <c r="BI829" s="181"/>
      <c r="BJ829" s="24"/>
      <c r="BK829" s="181"/>
      <c r="BL829" s="24"/>
      <c r="BM829" s="24"/>
    </row>
    <row r="830" spans="2:65" s="1" customFormat="1" ht="16.5" customHeight="1" x14ac:dyDescent="0.3">
      <c r="B830" s="169"/>
      <c r="C830" s="206" t="s">
        <v>895</v>
      </c>
      <c r="D830" s="206" t="s">
        <v>355</v>
      </c>
      <c r="E830" s="207" t="s">
        <v>896</v>
      </c>
      <c r="F830" s="367" t="s">
        <v>1578</v>
      </c>
      <c r="G830" s="209" t="s">
        <v>249</v>
      </c>
      <c r="H830" s="355">
        <f>H831</f>
        <v>18.59</v>
      </c>
      <c r="I830" s="211">
        <v>333.5</v>
      </c>
      <c r="J830" s="212">
        <f>ROUND(I830*H830,2)</f>
        <v>6199.77</v>
      </c>
      <c r="K830" s="208" t="s">
        <v>5</v>
      </c>
      <c r="L830" s="41"/>
      <c r="M830" s="213" t="s">
        <v>5</v>
      </c>
      <c r="N830" s="214" t="s">
        <v>42</v>
      </c>
      <c r="O830" s="42"/>
      <c r="P830" s="179">
        <f>O830*H830</f>
        <v>0</v>
      </c>
      <c r="Q830" s="179">
        <v>6.0000000000000002E-5</v>
      </c>
      <c r="R830" s="179">
        <f>Q830*H830</f>
        <v>1.1154000000000001E-3</v>
      </c>
      <c r="S830" s="179">
        <v>0</v>
      </c>
      <c r="T830" s="180">
        <f>S830*H830</f>
        <v>0</v>
      </c>
      <c r="AR830" s="24" t="s">
        <v>283</v>
      </c>
      <c r="AT830" s="24" t="s">
        <v>355</v>
      </c>
      <c r="AU830" s="24" t="s">
        <v>81</v>
      </c>
      <c r="AY830" s="24" t="s">
        <v>136</v>
      </c>
      <c r="BE830" s="181">
        <f>IF(N830="základní",J830,0)</f>
        <v>6199.77</v>
      </c>
      <c r="BF830" s="181">
        <f>IF(N830="snížená",J830,0)</f>
        <v>0</v>
      </c>
      <c r="BG830" s="181">
        <f>IF(N830="zákl. přenesená",J830,0)</f>
        <v>0</v>
      </c>
      <c r="BH830" s="181">
        <f>IF(N830="sníž. přenesená",J830,0)</f>
        <v>0</v>
      </c>
      <c r="BI830" s="181">
        <f>IF(N830="nulová",J830,0)</f>
        <v>0</v>
      </c>
      <c r="BJ830" s="24" t="s">
        <v>79</v>
      </c>
      <c r="BK830" s="181">
        <f>ROUND(I830*H830,2)</f>
        <v>6199.77</v>
      </c>
      <c r="BL830" s="24" t="s">
        <v>204</v>
      </c>
      <c r="BM830" s="24" t="s">
        <v>897</v>
      </c>
    </row>
    <row r="831" spans="2:65" s="12" customFormat="1" x14ac:dyDescent="0.3">
      <c r="B831" s="190"/>
      <c r="D831" s="183" t="s">
        <v>145</v>
      </c>
      <c r="F831" s="312" t="s">
        <v>1461</v>
      </c>
      <c r="H831" s="315">
        <f>16.9*1.1</f>
        <v>18.59</v>
      </c>
      <c r="I831" s="194">
        <v>0</v>
      </c>
      <c r="L831" s="41"/>
      <c r="M831" s="195"/>
      <c r="N831" s="196"/>
      <c r="O831" s="196"/>
      <c r="P831" s="196"/>
      <c r="Q831" s="196"/>
      <c r="R831" s="196"/>
      <c r="S831" s="196"/>
      <c r="T831" s="197"/>
      <c r="AT831" s="191" t="s">
        <v>145</v>
      </c>
      <c r="AU831" s="191" t="s">
        <v>81</v>
      </c>
      <c r="AV831" s="12" t="s">
        <v>81</v>
      </c>
      <c r="AW831" s="12" t="s">
        <v>6</v>
      </c>
      <c r="AX831" s="12" t="s">
        <v>79</v>
      </c>
      <c r="AY831" s="191" t="s">
        <v>136</v>
      </c>
    </row>
    <row r="832" spans="2:65" s="1" customFormat="1" ht="16.5" customHeight="1" x14ac:dyDescent="0.3">
      <c r="B832" s="169"/>
      <c r="C832" s="170" t="s">
        <v>898</v>
      </c>
      <c r="D832" s="170" t="s">
        <v>138</v>
      </c>
      <c r="E832" s="171" t="s">
        <v>899</v>
      </c>
      <c r="F832" s="172" t="s">
        <v>900</v>
      </c>
      <c r="G832" s="173" t="s">
        <v>844</v>
      </c>
      <c r="H832" s="174">
        <v>1</v>
      </c>
      <c r="I832" s="175">
        <v>5750</v>
      </c>
      <c r="J832" s="176">
        <f>ROUND(I832*H832,2)</f>
        <v>5750</v>
      </c>
      <c r="K832" s="172" t="s">
        <v>5</v>
      </c>
      <c r="L832" s="41"/>
      <c r="M832" s="177" t="s">
        <v>5</v>
      </c>
      <c r="N832" s="178" t="s">
        <v>42</v>
      </c>
      <c r="O832" s="42"/>
      <c r="P832" s="179">
        <f>O832*H832</f>
        <v>0</v>
      </c>
      <c r="Q832" s="179">
        <v>0</v>
      </c>
      <c r="R832" s="179">
        <f>Q832*H832</f>
        <v>0</v>
      </c>
      <c r="S832" s="179">
        <v>0</v>
      </c>
      <c r="T832" s="180">
        <f>S832*H832</f>
        <v>0</v>
      </c>
      <c r="AR832" s="24" t="s">
        <v>204</v>
      </c>
      <c r="AT832" s="24" t="s">
        <v>138</v>
      </c>
      <c r="AU832" s="24" t="s">
        <v>81</v>
      </c>
      <c r="AY832" s="24" t="s">
        <v>136</v>
      </c>
      <c r="BE832" s="181">
        <f>IF(N832="základní",J832,0)</f>
        <v>5750</v>
      </c>
      <c r="BF832" s="181">
        <f>IF(N832="snížená",J832,0)</f>
        <v>0</v>
      </c>
      <c r="BG832" s="181">
        <f>IF(N832="zákl. přenesená",J832,0)</f>
        <v>0</v>
      </c>
      <c r="BH832" s="181">
        <f>IF(N832="sníž. přenesená",J832,0)</f>
        <v>0</v>
      </c>
      <c r="BI832" s="181">
        <f>IF(N832="nulová",J832,0)</f>
        <v>0</v>
      </c>
      <c r="BJ832" s="24" t="s">
        <v>79</v>
      </c>
      <c r="BK832" s="181">
        <f>ROUND(I832*H832,2)</f>
        <v>5750</v>
      </c>
      <c r="BL832" s="24" t="s">
        <v>204</v>
      </c>
      <c r="BM832" s="24" t="s">
        <v>901</v>
      </c>
    </row>
    <row r="833" spans="2:65" s="1" customFormat="1" ht="16.5" customHeight="1" x14ac:dyDescent="0.3">
      <c r="B833" s="169"/>
      <c r="C833" s="170" t="s">
        <v>902</v>
      </c>
      <c r="D833" s="170" t="s">
        <v>138</v>
      </c>
      <c r="E833" s="171" t="s">
        <v>903</v>
      </c>
      <c r="F833" s="172" t="s">
        <v>904</v>
      </c>
      <c r="G833" s="173" t="s">
        <v>554</v>
      </c>
      <c r="H833" s="226">
        <v>983.29</v>
      </c>
      <c r="I833" s="175">
        <v>6.3249999999999993</v>
      </c>
      <c r="J833" s="176">
        <f>ROUND(I833*H833,2)</f>
        <v>6219.31</v>
      </c>
      <c r="K833" s="172" t="s">
        <v>142</v>
      </c>
      <c r="L833" s="41"/>
      <c r="M833" s="177" t="s">
        <v>5</v>
      </c>
      <c r="N833" s="178" t="s">
        <v>42</v>
      </c>
      <c r="O833" s="42"/>
      <c r="P833" s="179">
        <f>O833*H833</f>
        <v>0</v>
      </c>
      <c r="Q833" s="179">
        <v>0</v>
      </c>
      <c r="R833" s="179">
        <f>Q833*H833</f>
        <v>0</v>
      </c>
      <c r="S833" s="179">
        <v>0</v>
      </c>
      <c r="T833" s="180">
        <f>S833*H833</f>
        <v>0</v>
      </c>
      <c r="AR833" s="24" t="s">
        <v>204</v>
      </c>
      <c r="AT833" s="24" t="s">
        <v>138</v>
      </c>
      <c r="AU833" s="24" t="s">
        <v>81</v>
      </c>
      <c r="AY833" s="24" t="s">
        <v>136</v>
      </c>
      <c r="BE833" s="181">
        <f>IF(N833="základní",J833,0)</f>
        <v>6219.31</v>
      </c>
      <c r="BF833" s="181">
        <f>IF(N833="snížená",J833,0)</f>
        <v>0</v>
      </c>
      <c r="BG833" s="181">
        <f>IF(N833="zákl. přenesená",J833,0)</f>
        <v>0</v>
      </c>
      <c r="BH833" s="181">
        <f>IF(N833="sníž. přenesená",J833,0)</f>
        <v>0</v>
      </c>
      <c r="BI833" s="181">
        <f>IF(N833="nulová",J833,0)</f>
        <v>0</v>
      </c>
      <c r="BJ833" s="24" t="s">
        <v>79</v>
      </c>
      <c r="BK833" s="181">
        <f>ROUND(I833*H833,2)</f>
        <v>6219.31</v>
      </c>
      <c r="BL833" s="24" t="s">
        <v>204</v>
      </c>
      <c r="BM833" s="24" t="s">
        <v>905</v>
      </c>
    </row>
    <row r="834" spans="2:65" s="10" customFormat="1" ht="29.85" customHeight="1" x14ac:dyDescent="0.3">
      <c r="B834" s="156"/>
      <c r="D834" s="157" t="s">
        <v>70</v>
      </c>
      <c r="E834" s="167" t="s">
        <v>906</v>
      </c>
      <c r="F834" s="167" t="s">
        <v>907</v>
      </c>
      <c r="I834" s="159">
        <v>0</v>
      </c>
      <c r="J834" s="168">
        <f>SUM(J835:J856)</f>
        <v>470366.71999999997</v>
      </c>
      <c r="L834" s="41"/>
      <c r="M834" s="161"/>
      <c r="N834" s="162"/>
      <c r="O834" s="162"/>
      <c r="P834" s="163">
        <f>SUM(P835:P856)</f>
        <v>0</v>
      </c>
      <c r="Q834" s="162"/>
      <c r="R834" s="163">
        <f>SUM(R835:R856)</f>
        <v>3.8975440000000003</v>
      </c>
      <c r="S834" s="162"/>
      <c r="T834" s="164">
        <f>SUM(T835:T856)</f>
        <v>0</v>
      </c>
      <c r="AR834" s="157" t="s">
        <v>81</v>
      </c>
      <c r="AT834" s="165" t="s">
        <v>70</v>
      </c>
      <c r="AU834" s="165" t="s">
        <v>79</v>
      </c>
      <c r="AY834" s="157" t="s">
        <v>136</v>
      </c>
      <c r="BK834" s="166">
        <f>SUM(BK835:BK856)</f>
        <v>470366.71999999997</v>
      </c>
    </row>
    <row r="835" spans="2:65" s="1" customFormat="1" ht="16.5" customHeight="1" x14ac:dyDescent="0.3">
      <c r="B835" s="169"/>
      <c r="C835" s="170" t="s">
        <v>908</v>
      </c>
      <c r="D835" s="170" t="s">
        <v>138</v>
      </c>
      <c r="E835" s="380" t="s">
        <v>909</v>
      </c>
      <c r="F835" s="381" t="s">
        <v>910</v>
      </c>
      <c r="G835" s="173" t="s">
        <v>179</v>
      </c>
      <c r="H835" s="313">
        <f>SUM(H836:H837)</f>
        <v>173.9</v>
      </c>
      <c r="I835" s="175">
        <v>287.5</v>
      </c>
      <c r="J835" s="176">
        <f>ROUND(I835*H835,2)</f>
        <v>49996.25</v>
      </c>
      <c r="K835" s="172" t="s">
        <v>5</v>
      </c>
      <c r="L835" s="41"/>
      <c r="M835" s="177" t="s">
        <v>5</v>
      </c>
      <c r="N835" s="178" t="s">
        <v>42</v>
      </c>
      <c r="O835" s="42"/>
      <c r="P835" s="179">
        <f>O835*H835</f>
        <v>0</v>
      </c>
      <c r="Q835" s="179">
        <v>4.5500000000000002E-3</v>
      </c>
      <c r="R835" s="179">
        <f>Q835*H835</f>
        <v>0.79124500000000009</v>
      </c>
      <c r="S835" s="179">
        <v>0</v>
      </c>
      <c r="T835" s="180">
        <f>S835*H835</f>
        <v>0</v>
      </c>
      <c r="AR835" s="24" t="s">
        <v>204</v>
      </c>
      <c r="AT835" s="24" t="s">
        <v>138</v>
      </c>
      <c r="AU835" s="24" t="s">
        <v>81</v>
      </c>
      <c r="AY835" s="24" t="s">
        <v>136</v>
      </c>
      <c r="BE835" s="181">
        <f>IF(N835="základní",J835,0)</f>
        <v>49996.25</v>
      </c>
      <c r="BF835" s="181">
        <f>IF(N835="snížená",J835,0)</f>
        <v>0</v>
      </c>
      <c r="BG835" s="181">
        <f>IF(N835="zákl. přenesená",J835,0)</f>
        <v>0</v>
      </c>
      <c r="BH835" s="181">
        <f>IF(N835="sníž. přenesená",J835,0)</f>
        <v>0</v>
      </c>
      <c r="BI835" s="181">
        <f>IF(N835="nulová",J835,0)</f>
        <v>0</v>
      </c>
      <c r="BJ835" s="24" t="s">
        <v>79</v>
      </c>
      <c r="BK835" s="181">
        <f>ROUND(I835*H835,2)</f>
        <v>49996.25</v>
      </c>
      <c r="BL835" s="24" t="s">
        <v>204</v>
      </c>
      <c r="BM835" s="24" t="s">
        <v>911</v>
      </c>
    </row>
    <row r="836" spans="2:65" s="12" customFormat="1" x14ac:dyDescent="0.3">
      <c r="B836" s="190"/>
      <c r="D836" s="183" t="s">
        <v>145</v>
      </c>
      <c r="E836" s="351" t="s">
        <v>1209</v>
      </c>
      <c r="F836" s="352" t="s">
        <v>1462</v>
      </c>
      <c r="H836" s="315">
        <f>31+10.3+31+13.5+12.4+2.5+35.1+1.5</f>
        <v>137.30000000000001</v>
      </c>
      <c r="I836" s="194">
        <v>0</v>
      </c>
      <c r="L836" s="41"/>
      <c r="M836" s="195"/>
      <c r="N836" s="196"/>
      <c r="O836" s="196"/>
      <c r="P836" s="196"/>
      <c r="Q836" s="196"/>
      <c r="R836" s="196"/>
      <c r="S836" s="196"/>
      <c r="T836" s="197"/>
      <c r="AT836" s="191" t="s">
        <v>145</v>
      </c>
      <c r="AU836" s="191" t="s">
        <v>81</v>
      </c>
      <c r="AV836" s="12" t="s">
        <v>81</v>
      </c>
      <c r="AW836" s="12" t="s">
        <v>35</v>
      </c>
      <c r="AX836" s="12" t="s">
        <v>71</v>
      </c>
      <c r="AY836" s="191" t="s">
        <v>136</v>
      </c>
    </row>
    <row r="837" spans="2:65" s="12" customFormat="1" x14ac:dyDescent="0.3">
      <c r="B837" s="190"/>
      <c r="D837" s="183" t="s">
        <v>145</v>
      </c>
      <c r="E837" s="351" t="s">
        <v>1214</v>
      </c>
      <c r="F837" s="352" t="s">
        <v>1466</v>
      </c>
      <c r="H837" s="315">
        <f>35.1+1.5</f>
        <v>36.6</v>
      </c>
      <c r="I837" s="194">
        <v>0</v>
      </c>
      <c r="L837" s="41"/>
      <c r="M837" s="195"/>
      <c r="N837" s="196"/>
      <c r="O837" s="196"/>
      <c r="P837" s="196"/>
      <c r="Q837" s="196"/>
      <c r="R837" s="196"/>
      <c r="S837" s="196"/>
      <c r="T837" s="197"/>
      <c r="AT837" s="191" t="s">
        <v>145</v>
      </c>
      <c r="AU837" s="191" t="s">
        <v>81</v>
      </c>
      <c r="AV837" s="12" t="s">
        <v>81</v>
      </c>
      <c r="AW837" s="12" t="s">
        <v>35</v>
      </c>
      <c r="AX837" s="12" t="s">
        <v>71</v>
      </c>
      <c r="AY837" s="191" t="s">
        <v>136</v>
      </c>
    </row>
    <row r="838" spans="2:65" s="1" customFormat="1" ht="25.5" customHeight="1" x14ac:dyDescent="0.3">
      <c r="B838" s="169"/>
      <c r="C838" s="170" t="s">
        <v>912</v>
      </c>
      <c r="D838" s="170" t="s">
        <v>138</v>
      </c>
      <c r="E838" s="171" t="s">
        <v>913</v>
      </c>
      <c r="F838" s="172" t="s">
        <v>914</v>
      </c>
      <c r="G838" s="173" t="s">
        <v>249</v>
      </c>
      <c r="H838" s="320">
        <f>SUM(H840:H846)</f>
        <v>94.75</v>
      </c>
      <c r="I838" s="175">
        <v>103.49999999999999</v>
      </c>
      <c r="J838" s="176">
        <f>ROUND(I838*H838,2)</f>
        <v>9806.6299999999992</v>
      </c>
      <c r="K838" s="172" t="s">
        <v>5</v>
      </c>
      <c r="L838" s="41"/>
      <c r="M838" s="177" t="s">
        <v>5</v>
      </c>
      <c r="N838" s="178" t="s">
        <v>42</v>
      </c>
      <c r="O838" s="42"/>
      <c r="P838" s="179">
        <f>O838*H838</f>
        <v>0</v>
      </c>
      <c r="Q838" s="179">
        <v>5.0000000000000002E-5</v>
      </c>
      <c r="R838" s="179">
        <f>Q838*H838</f>
        <v>4.7375000000000004E-3</v>
      </c>
      <c r="S838" s="179">
        <v>0</v>
      </c>
      <c r="T838" s="180">
        <f>S838*H838</f>
        <v>0</v>
      </c>
      <c r="AR838" s="24" t="s">
        <v>204</v>
      </c>
      <c r="AT838" s="24" t="s">
        <v>138</v>
      </c>
      <c r="AU838" s="24" t="s">
        <v>81</v>
      </c>
      <c r="AY838" s="24" t="s">
        <v>136</v>
      </c>
      <c r="BE838" s="181">
        <f>IF(N838="základní",J838,0)</f>
        <v>9806.6299999999992</v>
      </c>
      <c r="BF838" s="181">
        <f>IF(N838="snížená",J838,0)</f>
        <v>0</v>
      </c>
      <c r="BG838" s="181">
        <f>IF(N838="zákl. přenesená",J838,0)</f>
        <v>0</v>
      </c>
      <c r="BH838" s="181">
        <f>IF(N838="sníž. přenesená",J838,0)</f>
        <v>0</v>
      </c>
      <c r="BI838" s="181">
        <f>IF(N838="nulová",J838,0)</f>
        <v>0</v>
      </c>
      <c r="BJ838" s="24" t="s">
        <v>79</v>
      </c>
      <c r="BK838" s="181">
        <f>ROUND(I838*H838,2)</f>
        <v>9806.6299999999992</v>
      </c>
      <c r="BL838" s="24" t="s">
        <v>204</v>
      </c>
      <c r="BM838" s="24" t="s">
        <v>915</v>
      </c>
    </row>
    <row r="839" spans="2:65" s="12" customFormat="1" x14ac:dyDescent="0.3">
      <c r="B839" s="190"/>
      <c r="D839" s="183" t="s">
        <v>145</v>
      </c>
      <c r="E839" s="191" t="s">
        <v>5</v>
      </c>
      <c r="F839" s="312" t="s">
        <v>1209</v>
      </c>
      <c r="G839" s="327"/>
      <c r="H839" s="315"/>
      <c r="I839" s="194">
        <v>0</v>
      </c>
      <c r="L839" s="41"/>
      <c r="M839" s="195"/>
      <c r="N839" s="196"/>
      <c r="O839" s="196"/>
      <c r="P839" s="196"/>
      <c r="Q839" s="196"/>
      <c r="R839" s="196"/>
      <c r="S839" s="196"/>
      <c r="T839" s="197"/>
      <c r="AT839" s="191" t="s">
        <v>145</v>
      </c>
      <c r="AU839" s="191" t="s">
        <v>81</v>
      </c>
      <c r="AV839" s="12" t="s">
        <v>81</v>
      </c>
      <c r="AW839" s="12" t="s">
        <v>35</v>
      </c>
      <c r="AX839" s="12" t="s">
        <v>71</v>
      </c>
      <c r="AY839" s="191" t="s">
        <v>136</v>
      </c>
    </row>
    <row r="840" spans="2:65" s="12" customFormat="1" x14ac:dyDescent="0.3">
      <c r="B840" s="190"/>
      <c r="D840" s="183" t="s">
        <v>145</v>
      </c>
      <c r="E840" s="314">
        <v>3.3</v>
      </c>
      <c r="F840" s="312" t="s">
        <v>1463</v>
      </c>
      <c r="G840" s="327"/>
      <c r="H840" s="315">
        <f>4.475*2+6.875*2-1.8-1</f>
        <v>19.899999999999999</v>
      </c>
      <c r="I840" s="194">
        <v>0</v>
      </c>
      <c r="L840" s="41"/>
      <c r="M840" s="195"/>
      <c r="N840" s="196"/>
      <c r="O840" s="196"/>
      <c r="P840" s="196"/>
      <c r="Q840" s="196"/>
      <c r="R840" s="196"/>
      <c r="S840" s="196"/>
      <c r="T840" s="197"/>
      <c r="AT840" s="191" t="s">
        <v>145</v>
      </c>
      <c r="AU840" s="191" t="s">
        <v>81</v>
      </c>
      <c r="AV840" s="12" t="s">
        <v>81</v>
      </c>
      <c r="AW840" s="12" t="s">
        <v>35</v>
      </c>
      <c r="AX840" s="12" t="s">
        <v>71</v>
      </c>
      <c r="AY840" s="191" t="s">
        <v>136</v>
      </c>
    </row>
    <row r="841" spans="2:65" s="12" customFormat="1" x14ac:dyDescent="0.3">
      <c r="B841" s="190"/>
      <c r="D841" s="183" t="s">
        <v>145</v>
      </c>
      <c r="E841" s="314">
        <v>4.3</v>
      </c>
      <c r="F841" s="312" t="s">
        <v>1463</v>
      </c>
      <c r="G841" s="327"/>
      <c r="H841" s="315">
        <f>4.5*2+6.875*2-1.8-1</f>
        <v>19.95</v>
      </c>
      <c r="I841" s="194">
        <v>0</v>
      </c>
      <c r="L841" s="41"/>
      <c r="M841" s="195"/>
      <c r="N841" s="196"/>
      <c r="O841" s="196"/>
      <c r="P841" s="196"/>
      <c r="Q841" s="196"/>
      <c r="R841" s="196"/>
      <c r="S841" s="196"/>
      <c r="T841" s="197"/>
      <c r="AT841" s="191" t="s">
        <v>145</v>
      </c>
      <c r="AU841" s="191" t="s">
        <v>81</v>
      </c>
      <c r="AV841" s="12" t="s">
        <v>81</v>
      </c>
      <c r="AW841" s="12" t="s">
        <v>35</v>
      </c>
      <c r="AX841" s="12" t="s">
        <v>71</v>
      </c>
      <c r="AY841" s="191" t="s">
        <v>136</v>
      </c>
    </row>
    <row r="842" spans="2:65" s="12" customFormat="1" x14ac:dyDescent="0.3">
      <c r="B842" s="190"/>
      <c r="D842" s="183" t="s">
        <v>145</v>
      </c>
      <c r="E842" s="314">
        <v>4.4000000000000004</v>
      </c>
      <c r="F842" s="312" t="s">
        <v>1464</v>
      </c>
      <c r="G842" s="327"/>
      <c r="H842" s="315">
        <f>4.5*2+3*2-1</f>
        <v>14</v>
      </c>
      <c r="I842" s="194">
        <v>0</v>
      </c>
      <c r="L842" s="41"/>
      <c r="M842" s="195"/>
      <c r="N842" s="196"/>
      <c r="O842" s="196"/>
      <c r="P842" s="196"/>
      <c r="Q842" s="196"/>
      <c r="R842" s="196"/>
      <c r="S842" s="196"/>
      <c r="T842" s="197"/>
      <c r="AT842" s="191" t="s">
        <v>145</v>
      </c>
      <c r="AU842" s="191" t="s">
        <v>81</v>
      </c>
      <c r="AV842" s="12" t="s">
        <v>81</v>
      </c>
      <c r="AW842" s="12" t="s">
        <v>35</v>
      </c>
      <c r="AX842" s="12" t="s">
        <v>71</v>
      </c>
      <c r="AY842" s="191" t="s">
        <v>136</v>
      </c>
    </row>
    <row r="843" spans="2:65" s="12" customFormat="1" x14ac:dyDescent="0.3">
      <c r="B843" s="190"/>
      <c r="D843" s="183" t="s">
        <v>145</v>
      </c>
      <c r="E843" s="314">
        <v>5.3</v>
      </c>
      <c r="F843" s="312" t="s">
        <v>1465</v>
      </c>
      <c r="G843" s="327"/>
      <c r="H843" s="315">
        <f>3.65*2+3.4*2-0.9-0.8-1.8</f>
        <v>10.599999999999998</v>
      </c>
      <c r="I843" s="194">
        <v>0</v>
      </c>
      <c r="L843" s="41"/>
      <c r="M843" s="195"/>
      <c r="N843" s="196"/>
      <c r="O843" s="196"/>
      <c r="P843" s="196"/>
      <c r="Q843" s="196"/>
      <c r="R843" s="196"/>
      <c r="S843" s="196"/>
      <c r="T843" s="197"/>
      <c r="AT843" s="191" t="s">
        <v>145</v>
      </c>
      <c r="AU843" s="191" t="s">
        <v>81</v>
      </c>
      <c r="AV843" s="12" t="s">
        <v>81</v>
      </c>
      <c r="AW843" s="12" t="s">
        <v>35</v>
      </c>
      <c r="AX843" s="12" t="s">
        <v>71</v>
      </c>
      <c r="AY843" s="191" t="s">
        <v>136</v>
      </c>
    </row>
    <row r="844" spans="2:65" s="12" customFormat="1" x14ac:dyDescent="0.3">
      <c r="B844" s="190"/>
      <c r="D844" s="183" t="s">
        <v>145</v>
      </c>
      <c r="E844" s="314" t="s">
        <v>5</v>
      </c>
      <c r="F844" s="312" t="s">
        <v>1214</v>
      </c>
      <c r="G844" s="327"/>
      <c r="H844" s="315"/>
      <c r="I844" s="194">
        <v>0</v>
      </c>
      <c r="L844" s="41"/>
      <c r="M844" s="195"/>
      <c r="N844" s="196"/>
      <c r="O844" s="196"/>
      <c r="P844" s="196"/>
      <c r="Q844" s="196"/>
      <c r="R844" s="196"/>
      <c r="S844" s="196"/>
      <c r="T844" s="197"/>
      <c r="AT844" s="191" t="s">
        <v>145</v>
      </c>
      <c r="AU844" s="191" t="s">
        <v>81</v>
      </c>
      <c r="AV844" s="12" t="s">
        <v>81</v>
      </c>
      <c r="AW844" s="12" t="s">
        <v>35</v>
      </c>
      <c r="AX844" s="12" t="s">
        <v>71</v>
      </c>
      <c r="AY844" s="191" t="s">
        <v>136</v>
      </c>
    </row>
    <row r="845" spans="2:65" s="12" customFormat="1" x14ac:dyDescent="0.3">
      <c r="B845" s="190"/>
      <c r="D845" s="183" t="s">
        <v>145</v>
      </c>
      <c r="E845" s="314">
        <v>5.5</v>
      </c>
      <c r="F845" s="312" t="s">
        <v>1467</v>
      </c>
      <c r="G845" s="327"/>
      <c r="H845" s="315">
        <f>9.1*2+4.5*2-1.8</f>
        <v>25.4</v>
      </c>
      <c r="I845" s="194">
        <v>0</v>
      </c>
      <c r="L845" s="41"/>
      <c r="M845" s="195"/>
      <c r="N845" s="196"/>
      <c r="O845" s="196"/>
      <c r="P845" s="196"/>
      <c r="Q845" s="196"/>
      <c r="R845" s="196"/>
      <c r="S845" s="196"/>
      <c r="T845" s="197"/>
      <c r="AT845" s="191" t="s">
        <v>145</v>
      </c>
      <c r="AU845" s="191" t="s">
        <v>81</v>
      </c>
      <c r="AV845" s="12" t="s">
        <v>81</v>
      </c>
      <c r="AW845" s="12" t="s">
        <v>35</v>
      </c>
      <c r="AX845" s="12" t="s">
        <v>71</v>
      </c>
      <c r="AY845" s="191" t="s">
        <v>136</v>
      </c>
    </row>
    <row r="846" spans="2:65" s="13" customFormat="1" x14ac:dyDescent="0.3">
      <c r="B846" s="198"/>
      <c r="D846" s="183" t="s">
        <v>145</v>
      </c>
      <c r="E846" s="199">
        <v>5.6</v>
      </c>
      <c r="F846" s="312" t="s">
        <v>1468</v>
      </c>
      <c r="G846" s="327"/>
      <c r="H846" s="315">
        <f>1*2+1.45*2</f>
        <v>4.9000000000000004</v>
      </c>
      <c r="I846" s="202">
        <v>0</v>
      </c>
      <c r="L846" s="41"/>
      <c r="M846" s="203"/>
      <c r="N846" s="204"/>
      <c r="O846" s="204"/>
      <c r="P846" s="204"/>
      <c r="Q846" s="204"/>
      <c r="R846" s="204"/>
      <c r="S846" s="204"/>
      <c r="T846" s="205"/>
      <c r="AT846" s="199" t="s">
        <v>145</v>
      </c>
      <c r="AU846" s="199" t="s">
        <v>81</v>
      </c>
      <c r="AV846" s="13" t="s">
        <v>143</v>
      </c>
      <c r="AW846" s="13" t="s">
        <v>35</v>
      </c>
      <c r="AX846" s="13" t="s">
        <v>79</v>
      </c>
      <c r="AY846" s="199" t="s">
        <v>136</v>
      </c>
    </row>
    <row r="847" spans="2:65" s="1" customFormat="1" ht="16.5" customHeight="1" x14ac:dyDescent="0.3">
      <c r="B847" s="169"/>
      <c r="C847" s="206" t="s">
        <v>916</v>
      </c>
      <c r="D847" s="206" t="s">
        <v>355</v>
      </c>
      <c r="E847" s="207" t="s">
        <v>917</v>
      </c>
      <c r="F847" s="208" t="s">
        <v>918</v>
      </c>
      <c r="G847" s="209" t="s">
        <v>249</v>
      </c>
      <c r="H847" s="355">
        <f>H848</f>
        <v>108.96249999999999</v>
      </c>
      <c r="I847" s="211">
        <v>229.99999999999997</v>
      </c>
      <c r="J847" s="212">
        <f>ROUND(I847*H847,2)</f>
        <v>25061.38</v>
      </c>
      <c r="K847" s="208" t="s">
        <v>142</v>
      </c>
      <c r="L847" s="41"/>
      <c r="M847" s="213" t="s">
        <v>5</v>
      </c>
      <c r="N847" s="214" t="s">
        <v>42</v>
      </c>
      <c r="O847" s="42"/>
      <c r="P847" s="179">
        <f>O847*H847</f>
        <v>0</v>
      </c>
      <c r="Q847" s="179">
        <v>2.0000000000000001E-4</v>
      </c>
      <c r="R847" s="179">
        <f>Q847*H847</f>
        <v>2.1792499999999999E-2</v>
      </c>
      <c r="S847" s="179">
        <v>0</v>
      </c>
      <c r="T847" s="180">
        <f>S847*H847</f>
        <v>0</v>
      </c>
      <c r="AR847" s="24" t="s">
        <v>283</v>
      </c>
      <c r="AT847" s="24" t="s">
        <v>355</v>
      </c>
      <c r="AU847" s="24" t="s">
        <v>81</v>
      </c>
      <c r="AY847" s="24" t="s">
        <v>136</v>
      </c>
      <c r="BE847" s="181">
        <f>IF(N847="základní",J847,0)</f>
        <v>25061.38</v>
      </c>
      <c r="BF847" s="181">
        <f>IF(N847="snížená",J847,0)</f>
        <v>0</v>
      </c>
      <c r="BG847" s="181">
        <f>IF(N847="zákl. přenesená",J847,0)</f>
        <v>0</v>
      </c>
      <c r="BH847" s="181">
        <f>IF(N847="sníž. přenesená",J847,0)</f>
        <v>0</v>
      </c>
      <c r="BI847" s="181">
        <f>IF(N847="nulová",J847,0)</f>
        <v>0</v>
      </c>
      <c r="BJ847" s="24" t="s">
        <v>79</v>
      </c>
      <c r="BK847" s="181">
        <f>ROUND(I847*H847,2)</f>
        <v>25061.38</v>
      </c>
      <c r="BL847" s="24" t="s">
        <v>204</v>
      </c>
      <c r="BM847" s="24" t="s">
        <v>919</v>
      </c>
    </row>
    <row r="848" spans="2:65" s="12" customFormat="1" x14ac:dyDescent="0.3">
      <c r="B848" s="190"/>
      <c r="D848" s="183" t="s">
        <v>145</v>
      </c>
      <c r="F848" s="312" t="s">
        <v>1469</v>
      </c>
      <c r="H848" s="315">
        <f>94.75*1.15</f>
        <v>108.96249999999999</v>
      </c>
      <c r="I848" s="194">
        <v>0</v>
      </c>
      <c r="L848" s="41"/>
      <c r="M848" s="195"/>
      <c r="N848" s="196"/>
      <c r="O848" s="196"/>
      <c r="P848" s="196"/>
      <c r="Q848" s="196"/>
      <c r="R848" s="196"/>
      <c r="S848" s="196"/>
      <c r="T848" s="197"/>
      <c r="AT848" s="191" t="s">
        <v>145</v>
      </c>
      <c r="AU848" s="191" t="s">
        <v>81</v>
      </c>
      <c r="AV848" s="12" t="s">
        <v>81</v>
      </c>
      <c r="AW848" s="12" t="s">
        <v>6</v>
      </c>
      <c r="AX848" s="12" t="s">
        <v>79</v>
      </c>
      <c r="AY848" s="191" t="s">
        <v>136</v>
      </c>
    </row>
    <row r="849" spans="2:65" s="1" customFormat="1" ht="25.5" customHeight="1" x14ac:dyDescent="0.3">
      <c r="B849" s="169"/>
      <c r="C849" s="170" t="s">
        <v>920</v>
      </c>
      <c r="D849" s="170" t="s">
        <v>138</v>
      </c>
      <c r="E849" s="171" t="s">
        <v>921</v>
      </c>
      <c r="F849" s="172" t="s">
        <v>922</v>
      </c>
      <c r="G849" s="173" t="s">
        <v>179</v>
      </c>
      <c r="H849" s="313">
        <f>H850</f>
        <v>173.9</v>
      </c>
      <c r="I849" s="175">
        <v>575</v>
      </c>
      <c r="J849" s="176">
        <f>ROUND(I849*H849,2)</f>
        <v>99992.5</v>
      </c>
      <c r="K849" s="172" t="s">
        <v>5</v>
      </c>
      <c r="L849" s="41"/>
      <c r="M849" s="177" t="s">
        <v>5</v>
      </c>
      <c r="N849" s="178" t="s">
        <v>42</v>
      </c>
      <c r="O849" s="42"/>
      <c r="P849" s="179">
        <f>O849*H849</f>
        <v>0</v>
      </c>
      <c r="Q849" s="179">
        <v>1.0630000000000001E-2</v>
      </c>
      <c r="R849" s="179">
        <f>Q849*H849</f>
        <v>1.8485570000000002</v>
      </c>
      <c r="S849" s="179">
        <v>0</v>
      </c>
      <c r="T849" s="180">
        <f>S849*H849</f>
        <v>0</v>
      </c>
      <c r="AR849" s="24" t="s">
        <v>204</v>
      </c>
      <c r="AT849" s="24" t="s">
        <v>138</v>
      </c>
      <c r="AU849" s="24" t="s">
        <v>81</v>
      </c>
      <c r="AY849" s="24" t="s">
        <v>136</v>
      </c>
      <c r="BE849" s="181">
        <f>IF(N849="základní",J849,0)</f>
        <v>99992.5</v>
      </c>
      <c r="BF849" s="181">
        <f>IF(N849="snížená",J849,0)</f>
        <v>0</v>
      </c>
      <c r="BG849" s="181">
        <f>IF(N849="zákl. přenesená",J849,0)</f>
        <v>0</v>
      </c>
      <c r="BH849" s="181">
        <f>IF(N849="sníž. přenesená",J849,0)</f>
        <v>0</v>
      </c>
      <c r="BI849" s="181">
        <f>IF(N849="nulová",J849,0)</f>
        <v>0</v>
      </c>
      <c r="BJ849" s="24" t="s">
        <v>79</v>
      </c>
      <c r="BK849" s="181">
        <f>ROUND(I849*H849,2)</f>
        <v>99992.5</v>
      </c>
      <c r="BL849" s="24" t="s">
        <v>204</v>
      </c>
      <c r="BM849" s="24" t="s">
        <v>923</v>
      </c>
    </row>
    <row r="850" spans="2:65" s="12" customFormat="1" x14ac:dyDescent="0.3">
      <c r="B850" s="190"/>
      <c r="D850" s="183" t="s">
        <v>145</v>
      </c>
      <c r="E850" s="191" t="s">
        <v>5</v>
      </c>
      <c r="F850" s="312">
        <v>173.9</v>
      </c>
      <c r="H850" s="315">
        <f>173.9</f>
        <v>173.9</v>
      </c>
      <c r="I850" s="194">
        <v>0</v>
      </c>
      <c r="L850" s="41"/>
      <c r="M850" s="195"/>
      <c r="N850" s="196"/>
      <c r="O850" s="196"/>
      <c r="P850" s="196"/>
      <c r="Q850" s="196"/>
      <c r="R850" s="196"/>
      <c r="S850" s="196"/>
      <c r="T850" s="197"/>
      <c r="AT850" s="191" t="s">
        <v>145</v>
      </c>
      <c r="AU850" s="191" t="s">
        <v>81</v>
      </c>
      <c r="AV850" s="12" t="s">
        <v>81</v>
      </c>
      <c r="AW850" s="12" t="s">
        <v>35</v>
      </c>
      <c r="AX850" s="12" t="s">
        <v>71</v>
      </c>
      <c r="AY850" s="191" t="s">
        <v>136</v>
      </c>
    </row>
    <row r="851" spans="2:65" s="1" customFormat="1" ht="16.5" customHeight="1" x14ac:dyDescent="0.3">
      <c r="B851" s="169"/>
      <c r="C851" s="206" t="s">
        <v>924</v>
      </c>
      <c r="D851" s="206" t="s">
        <v>355</v>
      </c>
      <c r="E851" s="207" t="s">
        <v>925</v>
      </c>
      <c r="F851" s="208" t="s">
        <v>926</v>
      </c>
      <c r="G851" s="209" t="s">
        <v>179</v>
      </c>
      <c r="H851" s="355">
        <f>H852</f>
        <v>191.29000000000002</v>
      </c>
      <c r="I851" s="211">
        <v>977.49999999999989</v>
      </c>
      <c r="J851" s="212">
        <f>ROUND(I851*H851,2)</f>
        <v>186985.98</v>
      </c>
      <c r="K851" s="208" t="s">
        <v>5</v>
      </c>
      <c r="L851" s="41"/>
      <c r="M851" s="213" t="s">
        <v>5</v>
      </c>
      <c r="N851" s="214" t="s">
        <v>42</v>
      </c>
      <c r="O851" s="42"/>
      <c r="P851" s="179">
        <f>O851*H851</f>
        <v>0</v>
      </c>
      <c r="Q851" s="179">
        <v>6.0000000000000001E-3</v>
      </c>
      <c r="R851" s="179">
        <f>Q851*H851</f>
        <v>1.1477400000000002</v>
      </c>
      <c r="S851" s="179">
        <v>0</v>
      </c>
      <c r="T851" s="180">
        <f>S851*H851</f>
        <v>0</v>
      </c>
      <c r="AR851" s="24" t="s">
        <v>283</v>
      </c>
      <c r="AT851" s="24" t="s">
        <v>355</v>
      </c>
      <c r="AU851" s="24" t="s">
        <v>81</v>
      </c>
      <c r="AY851" s="24" t="s">
        <v>136</v>
      </c>
      <c r="BE851" s="181">
        <f>IF(N851="základní",J851,0)</f>
        <v>186985.98</v>
      </c>
      <c r="BF851" s="181">
        <f>IF(N851="snížená",J851,0)</f>
        <v>0</v>
      </c>
      <c r="BG851" s="181">
        <f>IF(N851="zákl. přenesená",J851,0)</f>
        <v>0</v>
      </c>
      <c r="BH851" s="181">
        <f>IF(N851="sníž. přenesená",J851,0)</f>
        <v>0</v>
      </c>
      <c r="BI851" s="181">
        <f>IF(N851="nulová",J851,0)</f>
        <v>0</v>
      </c>
      <c r="BJ851" s="24" t="s">
        <v>79</v>
      </c>
      <c r="BK851" s="181">
        <f>ROUND(I851*H851,2)</f>
        <v>186985.98</v>
      </c>
      <c r="BL851" s="24" t="s">
        <v>204</v>
      </c>
      <c r="BM851" s="24" t="s">
        <v>927</v>
      </c>
    </row>
    <row r="852" spans="2:65" s="12" customFormat="1" x14ac:dyDescent="0.3">
      <c r="B852" s="190"/>
      <c r="D852" s="183" t="s">
        <v>145</v>
      </c>
      <c r="F852" s="312" t="s">
        <v>1470</v>
      </c>
      <c r="H852" s="315">
        <f>173.9*1.1</f>
        <v>191.29000000000002</v>
      </c>
      <c r="I852" s="194">
        <v>0</v>
      </c>
      <c r="L852" s="41"/>
      <c r="M852" s="195"/>
      <c r="N852" s="196"/>
      <c r="O852" s="196"/>
      <c r="P852" s="196"/>
      <c r="Q852" s="196"/>
      <c r="R852" s="196"/>
      <c r="S852" s="196"/>
      <c r="T852" s="197"/>
      <c r="AT852" s="191" t="s">
        <v>145</v>
      </c>
      <c r="AU852" s="191" t="s">
        <v>81</v>
      </c>
      <c r="AV852" s="12" t="s">
        <v>81</v>
      </c>
      <c r="AW852" s="12" t="s">
        <v>6</v>
      </c>
      <c r="AX852" s="12" t="s">
        <v>79</v>
      </c>
      <c r="AY852" s="191" t="s">
        <v>136</v>
      </c>
    </row>
    <row r="853" spans="2:65" s="1" customFormat="1" ht="16.5" customHeight="1" x14ac:dyDescent="0.3">
      <c r="B853" s="169"/>
      <c r="C853" s="170" t="s">
        <v>928</v>
      </c>
      <c r="D853" s="170" t="s">
        <v>138</v>
      </c>
      <c r="E853" s="171" t="s">
        <v>929</v>
      </c>
      <c r="F853" s="172" t="s">
        <v>930</v>
      </c>
      <c r="G853" s="173" t="s">
        <v>249</v>
      </c>
      <c r="H853" s="313">
        <f>H854</f>
        <v>173.9</v>
      </c>
      <c r="I853" s="175">
        <v>184</v>
      </c>
      <c r="J853" s="176">
        <f>ROUND(I853*H853,2)</f>
        <v>31997.599999999999</v>
      </c>
      <c r="K853" s="172" t="s">
        <v>5</v>
      </c>
      <c r="L853" s="41"/>
      <c r="M853" s="177" t="s">
        <v>5</v>
      </c>
      <c r="N853" s="178" t="s">
        <v>42</v>
      </c>
      <c r="O853" s="42"/>
      <c r="P853" s="179">
        <f>O853*H853</f>
        <v>0</v>
      </c>
      <c r="Q853" s="179">
        <v>0</v>
      </c>
      <c r="R853" s="179">
        <f>Q853*H853</f>
        <v>0</v>
      </c>
      <c r="S853" s="179">
        <v>0</v>
      </c>
      <c r="T853" s="180">
        <f>S853*H853</f>
        <v>0</v>
      </c>
      <c r="AR853" s="24" t="s">
        <v>204</v>
      </c>
      <c r="AT853" s="24" t="s">
        <v>138</v>
      </c>
      <c r="AU853" s="24" t="s">
        <v>81</v>
      </c>
      <c r="AY853" s="24" t="s">
        <v>136</v>
      </c>
      <c r="BE853" s="181">
        <f>IF(N853="základní",J853,0)</f>
        <v>31997.599999999999</v>
      </c>
      <c r="BF853" s="181">
        <f>IF(N853="snížená",J853,0)</f>
        <v>0</v>
      </c>
      <c r="BG853" s="181">
        <f>IF(N853="zákl. přenesená",J853,0)</f>
        <v>0</v>
      </c>
      <c r="BH853" s="181">
        <f>IF(N853="sníž. přenesená",J853,0)</f>
        <v>0</v>
      </c>
      <c r="BI853" s="181">
        <f>IF(N853="nulová",J853,0)</f>
        <v>0</v>
      </c>
      <c r="BJ853" s="24" t="s">
        <v>79</v>
      </c>
      <c r="BK853" s="181">
        <f>ROUND(I853*H853,2)</f>
        <v>31997.599999999999</v>
      </c>
      <c r="BL853" s="24" t="s">
        <v>204</v>
      </c>
      <c r="BM853" s="24" t="s">
        <v>931</v>
      </c>
    </row>
    <row r="854" spans="2:65" s="12" customFormat="1" x14ac:dyDescent="0.3">
      <c r="B854" s="190"/>
      <c r="D854" s="183" t="s">
        <v>145</v>
      </c>
      <c r="E854" s="191" t="s">
        <v>5</v>
      </c>
      <c r="F854" s="312">
        <v>173.9</v>
      </c>
      <c r="H854" s="315">
        <v>173.9</v>
      </c>
      <c r="I854" s="194">
        <v>0</v>
      </c>
      <c r="L854" s="41"/>
      <c r="M854" s="195"/>
      <c r="N854" s="196"/>
      <c r="O854" s="196"/>
      <c r="P854" s="196"/>
      <c r="Q854" s="196"/>
      <c r="R854" s="196"/>
      <c r="S854" s="196"/>
      <c r="T854" s="197"/>
      <c r="AT854" s="191" t="s">
        <v>145</v>
      </c>
      <c r="AU854" s="191" t="s">
        <v>81</v>
      </c>
      <c r="AV854" s="12" t="s">
        <v>81</v>
      </c>
      <c r="AW854" s="12" t="s">
        <v>35</v>
      </c>
      <c r="AX854" s="12" t="s">
        <v>71</v>
      </c>
      <c r="AY854" s="191" t="s">
        <v>136</v>
      </c>
    </row>
    <row r="855" spans="2:65" s="1" customFormat="1" ht="16.5" customHeight="1" x14ac:dyDescent="0.3">
      <c r="B855" s="169"/>
      <c r="C855" s="170" t="s">
        <v>932</v>
      </c>
      <c r="D855" s="170" t="s">
        <v>138</v>
      </c>
      <c r="E855" s="171" t="s">
        <v>933</v>
      </c>
      <c r="F855" s="172" t="s">
        <v>934</v>
      </c>
      <c r="G855" s="173" t="s">
        <v>179</v>
      </c>
      <c r="H855" s="320">
        <f>H853</f>
        <v>173.9</v>
      </c>
      <c r="I855" s="175">
        <v>287.5</v>
      </c>
      <c r="J855" s="176">
        <f>ROUND(I855*H855,2)</f>
        <v>49996.25</v>
      </c>
      <c r="K855" s="172" t="s">
        <v>5</v>
      </c>
      <c r="L855" s="41"/>
      <c r="M855" s="177" t="s">
        <v>5</v>
      </c>
      <c r="N855" s="178" t="s">
        <v>42</v>
      </c>
      <c r="O855" s="42"/>
      <c r="P855" s="179">
        <f>O855*H855</f>
        <v>0</v>
      </c>
      <c r="Q855" s="179">
        <v>4.8000000000000001E-4</v>
      </c>
      <c r="R855" s="179">
        <f>Q855*H855</f>
        <v>8.3472000000000005E-2</v>
      </c>
      <c r="S855" s="179">
        <v>0</v>
      </c>
      <c r="T855" s="180">
        <f>S855*H855</f>
        <v>0</v>
      </c>
      <c r="AR855" s="24" t="s">
        <v>204</v>
      </c>
      <c r="AT855" s="24" t="s">
        <v>138</v>
      </c>
      <c r="AU855" s="24" t="s">
        <v>81</v>
      </c>
      <c r="AY855" s="24" t="s">
        <v>136</v>
      </c>
      <c r="BE855" s="181">
        <f>IF(N855="základní",J855,0)</f>
        <v>49996.25</v>
      </c>
      <c r="BF855" s="181">
        <f>IF(N855="snížená",J855,0)</f>
        <v>0</v>
      </c>
      <c r="BG855" s="181">
        <f>IF(N855="zákl. přenesená",J855,0)</f>
        <v>0</v>
      </c>
      <c r="BH855" s="181">
        <f>IF(N855="sníž. přenesená",J855,0)</f>
        <v>0</v>
      </c>
      <c r="BI855" s="181">
        <f>IF(N855="nulová",J855,0)</f>
        <v>0</v>
      </c>
      <c r="BJ855" s="24" t="s">
        <v>79</v>
      </c>
      <c r="BK855" s="181">
        <f>ROUND(I855*H855,2)</f>
        <v>49996.25</v>
      </c>
      <c r="BL855" s="24" t="s">
        <v>204</v>
      </c>
      <c r="BM855" s="24" t="s">
        <v>935</v>
      </c>
    </row>
    <row r="856" spans="2:65" s="1" customFormat="1" ht="16.5" customHeight="1" x14ac:dyDescent="0.3">
      <c r="B856" s="169"/>
      <c r="C856" s="170" t="s">
        <v>936</v>
      </c>
      <c r="D856" s="170" t="s">
        <v>138</v>
      </c>
      <c r="E856" s="171" t="s">
        <v>937</v>
      </c>
      <c r="F856" s="172" t="s">
        <v>938</v>
      </c>
      <c r="G856" s="173" t="s">
        <v>554</v>
      </c>
      <c r="H856" s="379">
        <v>5749.61</v>
      </c>
      <c r="I856" s="175">
        <v>2.875</v>
      </c>
      <c r="J856" s="176">
        <f>ROUND(I856*H856,2)</f>
        <v>16530.13</v>
      </c>
      <c r="K856" s="172" t="s">
        <v>142</v>
      </c>
      <c r="L856" s="41"/>
      <c r="M856" s="177" t="s">
        <v>5</v>
      </c>
      <c r="N856" s="178" t="s">
        <v>42</v>
      </c>
      <c r="O856" s="42"/>
      <c r="P856" s="179">
        <f>O856*H856</f>
        <v>0</v>
      </c>
      <c r="Q856" s="179">
        <v>0</v>
      </c>
      <c r="R856" s="179">
        <f>Q856*H856</f>
        <v>0</v>
      </c>
      <c r="S856" s="179">
        <v>0</v>
      </c>
      <c r="T856" s="180">
        <f>S856*H856</f>
        <v>0</v>
      </c>
      <c r="AR856" s="24" t="s">
        <v>204</v>
      </c>
      <c r="AT856" s="24" t="s">
        <v>138</v>
      </c>
      <c r="AU856" s="24" t="s">
        <v>81</v>
      </c>
      <c r="AY856" s="24" t="s">
        <v>136</v>
      </c>
      <c r="BE856" s="181">
        <f>IF(N856="základní",J856,0)</f>
        <v>16530.13</v>
      </c>
      <c r="BF856" s="181">
        <f>IF(N856="snížená",J856,0)</f>
        <v>0</v>
      </c>
      <c r="BG856" s="181">
        <f>IF(N856="zákl. přenesená",J856,0)</f>
        <v>0</v>
      </c>
      <c r="BH856" s="181">
        <f>IF(N856="sníž. přenesená",J856,0)</f>
        <v>0</v>
      </c>
      <c r="BI856" s="181">
        <f>IF(N856="nulová",J856,0)</f>
        <v>0</v>
      </c>
      <c r="BJ856" s="24" t="s">
        <v>79</v>
      </c>
      <c r="BK856" s="181">
        <f>ROUND(I856*H856,2)</f>
        <v>16530.13</v>
      </c>
      <c r="BL856" s="24" t="s">
        <v>204</v>
      </c>
      <c r="BM856" s="24" t="s">
        <v>939</v>
      </c>
    </row>
    <row r="857" spans="2:65" s="10" customFormat="1" ht="29.85" customHeight="1" x14ac:dyDescent="0.3">
      <c r="B857" s="156"/>
      <c r="D857" s="157" t="s">
        <v>70</v>
      </c>
      <c r="E857" s="167" t="s">
        <v>940</v>
      </c>
      <c r="F857" s="167" t="s">
        <v>941</v>
      </c>
      <c r="I857" s="159">
        <v>0</v>
      </c>
      <c r="J857" s="168">
        <f>SUM(J858:J878)</f>
        <v>175881.72</v>
      </c>
      <c r="L857" s="41"/>
      <c r="M857" s="161"/>
      <c r="N857" s="162"/>
      <c r="O857" s="162"/>
      <c r="P857" s="163">
        <f>SUM(P858:P878)</f>
        <v>0</v>
      </c>
      <c r="Q857" s="162"/>
      <c r="R857" s="163">
        <f>SUM(R858:R878)</f>
        <v>3.3825219799999999</v>
      </c>
      <c r="S857" s="162"/>
      <c r="T857" s="164">
        <f>SUM(T858:T878)</f>
        <v>0</v>
      </c>
      <c r="AR857" s="157" t="s">
        <v>81</v>
      </c>
      <c r="AT857" s="165" t="s">
        <v>70</v>
      </c>
      <c r="AU857" s="165" t="s">
        <v>79</v>
      </c>
      <c r="AY857" s="157" t="s">
        <v>136</v>
      </c>
      <c r="BK857" s="166">
        <f>SUM(BK858:BK878)</f>
        <v>175881.72</v>
      </c>
    </row>
    <row r="858" spans="2:65" s="1" customFormat="1" ht="25.5" customHeight="1" x14ac:dyDescent="0.3">
      <c r="B858" s="169"/>
      <c r="C858" s="170" t="s">
        <v>942</v>
      </c>
      <c r="D858" s="170" t="s">
        <v>138</v>
      </c>
      <c r="E858" s="171" t="s">
        <v>943</v>
      </c>
      <c r="F858" s="172" t="s">
        <v>944</v>
      </c>
      <c r="G858" s="173" t="s">
        <v>179</v>
      </c>
      <c r="H858" s="320">
        <f>SUM(H860:H872)</f>
        <v>193.61849999999998</v>
      </c>
      <c r="I858" s="175">
        <v>747.49999999999989</v>
      </c>
      <c r="J858" s="176">
        <f>ROUND(I858*H858,2)</f>
        <v>144729.82999999999</v>
      </c>
      <c r="K858" s="172" t="s">
        <v>142</v>
      </c>
      <c r="L858" s="41"/>
      <c r="M858" s="177" t="s">
        <v>5</v>
      </c>
      <c r="N858" s="178" t="s">
        <v>42</v>
      </c>
      <c r="O858" s="42"/>
      <c r="P858" s="179">
        <f>O858*H858</f>
        <v>0</v>
      </c>
      <c r="Q858" s="179">
        <v>3.5999999999999999E-3</v>
      </c>
      <c r="R858" s="179">
        <f>Q858*H858</f>
        <v>0.69702659999999994</v>
      </c>
      <c r="S858" s="179">
        <v>0</v>
      </c>
      <c r="T858" s="180">
        <f>S858*H858</f>
        <v>0</v>
      </c>
      <c r="AR858" s="24" t="s">
        <v>204</v>
      </c>
      <c r="AT858" s="24" t="s">
        <v>138</v>
      </c>
      <c r="AU858" s="24" t="s">
        <v>81</v>
      </c>
      <c r="AY858" s="24" t="s">
        <v>136</v>
      </c>
      <c r="BE858" s="181">
        <f>IF(N858="základní",J858,0)</f>
        <v>144729.82999999999</v>
      </c>
      <c r="BF858" s="181">
        <f>IF(N858="snížená",J858,0)</f>
        <v>0</v>
      </c>
      <c r="BG858" s="181">
        <f>IF(N858="zákl. přenesená",J858,0)</f>
        <v>0</v>
      </c>
      <c r="BH858" s="181">
        <f>IF(N858="sníž. přenesená",J858,0)</f>
        <v>0</v>
      </c>
      <c r="BI858" s="181">
        <f>IF(N858="nulová",J858,0)</f>
        <v>0</v>
      </c>
      <c r="BJ858" s="24" t="s">
        <v>79</v>
      </c>
      <c r="BK858" s="181">
        <f>ROUND(I858*H858,2)</f>
        <v>144729.82999999999</v>
      </c>
      <c r="BL858" s="24" t="s">
        <v>204</v>
      </c>
      <c r="BM858" s="24" t="s">
        <v>945</v>
      </c>
    </row>
    <row r="859" spans="2:65" s="11" customFormat="1" x14ac:dyDescent="0.3">
      <c r="B859" s="182"/>
      <c r="D859" s="183" t="s">
        <v>145</v>
      </c>
      <c r="E859" s="314" t="s">
        <v>5</v>
      </c>
      <c r="F859" s="312" t="s">
        <v>1205</v>
      </c>
      <c r="G859" s="327"/>
      <c r="H859" s="314"/>
      <c r="I859" s="186">
        <v>0</v>
      </c>
      <c r="L859" s="41"/>
      <c r="M859" s="187"/>
      <c r="N859" s="188"/>
      <c r="O859" s="188"/>
      <c r="P859" s="188"/>
      <c r="Q859" s="188"/>
      <c r="R859" s="188"/>
      <c r="S859" s="188"/>
      <c r="T859" s="189"/>
      <c r="AT859" s="184" t="s">
        <v>145</v>
      </c>
      <c r="AU859" s="184" t="s">
        <v>81</v>
      </c>
      <c r="AV859" s="11" t="s">
        <v>79</v>
      </c>
      <c r="AW859" s="11" t="s">
        <v>35</v>
      </c>
      <c r="AX859" s="11" t="s">
        <v>71</v>
      </c>
      <c r="AY859" s="184" t="s">
        <v>136</v>
      </c>
    </row>
    <row r="860" spans="2:65" s="12" customFormat="1" x14ac:dyDescent="0.3">
      <c r="B860" s="190"/>
      <c r="D860" s="183" t="s">
        <v>145</v>
      </c>
      <c r="E860" s="314">
        <v>6</v>
      </c>
      <c r="F860" s="312" t="s">
        <v>1474</v>
      </c>
      <c r="G860" s="327"/>
      <c r="H860" s="378">
        <f>(0.95*2+2.3*2-0.8)*2.45-0.9*2</f>
        <v>12.165000000000001</v>
      </c>
      <c r="I860" s="194">
        <v>0</v>
      </c>
      <c r="L860" s="41"/>
      <c r="M860" s="195"/>
      <c r="N860" s="196"/>
      <c r="O860" s="196"/>
      <c r="P860" s="196"/>
      <c r="Q860" s="196"/>
      <c r="R860" s="196"/>
      <c r="S860" s="196"/>
      <c r="T860" s="197"/>
      <c r="AT860" s="191" t="s">
        <v>145</v>
      </c>
      <c r="AU860" s="191" t="s">
        <v>81</v>
      </c>
      <c r="AV860" s="12" t="s">
        <v>81</v>
      </c>
      <c r="AW860" s="12" t="s">
        <v>35</v>
      </c>
      <c r="AX860" s="12" t="s">
        <v>71</v>
      </c>
      <c r="AY860" s="191" t="s">
        <v>136</v>
      </c>
    </row>
    <row r="861" spans="2:65" s="11" customFormat="1" x14ac:dyDescent="0.3">
      <c r="B861" s="182"/>
      <c r="D861" s="183" t="s">
        <v>145</v>
      </c>
      <c r="E861" s="314">
        <v>7</v>
      </c>
      <c r="F861" s="312" t="s">
        <v>1471</v>
      </c>
      <c r="G861" s="327"/>
      <c r="H861" s="332">
        <f>(0.95*2+2.3*2-0.8)*2.45</f>
        <v>13.965000000000002</v>
      </c>
      <c r="I861" s="186">
        <v>0</v>
      </c>
      <c r="L861" s="41"/>
      <c r="M861" s="187"/>
      <c r="N861" s="188"/>
      <c r="O861" s="188"/>
      <c r="P861" s="188"/>
      <c r="Q861" s="188"/>
      <c r="R861" s="188"/>
      <c r="S861" s="188"/>
      <c r="T861" s="189"/>
      <c r="AT861" s="184" t="s">
        <v>145</v>
      </c>
      <c r="AU861" s="184" t="s">
        <v>81</v>
      </c>
      <c r="AV861" s="11" t="s">
        <v>79</v>
      </c>
      <c r="AW861" s="11" t="s">
        <v>35</v>
      </c>
      <c r="AX861" s="11" t="s">
        <v>71</v>
      </c>
      <c r="AY861" s="184" t="s">
        <v>136</v>
      </c>
    </row>
    <row r="862" spans="2:65" s="12" customFormat="1" x14ac:dyDescent="0.3">
      <c r="B862" s="190"/>
      <c r="D862" s="183" t="s">
        <v>145</v>
      </c>
      <c r="E862" s="314">
        <v>8</v>
      </c>
      <c r="F862" s="312" t="s">
        <v>1473</v>
      </c>
      <c r="G862" s="327"/>
      <c r="H862" s="378">
        <f>(2.25*2+1.8*2)*2.45-(0.9*2-0.8)*2</f>
        <v>17.844999999999999</v>
      </c>
      <c r="I862" s="194">
        <v>0</v>
      </c>
      <c r="L862" s="41"/>
      <c r="M862" s="195"/>
      <c r="N862" s="196"/>
      <c r="O862" s="196"/>
      <c r="P862" s="196"/>
      <c r="Q862" s="196"/>
      <c r="R862" s="196"/>
      <c r="S862" s="196"/>
      <c r="T862" s="197"/>
      <c r="AT862" s="191" t="s">
        <v>145</v>
      </c>
      <c r="AU862" s="191" t="s">
        <v>81</v>
      </c>
      <c r="AV862" s="12" t="s">
        <v>81</v>
      </c>
      <c r="AW862" s="12" t="s">
        <v>35</v>
      </c>
      <c r="AX862" s="12" t="s">
        <v>71</v>
      </c>
      <c r="AY862" s="191" t="s">
        <v>136</v>
      </c>
    </row>
    <row r="863" spans="2:65" s="12" customFormat="1" x14ac:dyDescent="0.3">
      <c r="B863" s="190"/>
      <c r="D863" s="183" t="s">
        <v>145</v>
      </c>
      <c r="E863" s="314">
        <v>9</v>
      </c>
      <c r="F863" s="312" t="s">
        <v>1472</v>
      </c>
      <c r="G863" s="327"/>
      <c r="H863" s="378">
        <f>(1*2+2.15*2)*2.45-0.8*2</f>
        <v>13.835000000000001</v>
      </c>
      <c r="I863" s="194">
        <v>0</v>
      </c>
      <c r="L863" s="41"/>
      <c r="M863" s="195"/>
      <c r="N863" s="196"/>
      <c r="O863" s="196"/>
      <c r="P863" s="196"/>
      <c r="Q863" s="196"/>
      <c r="R863" s="196"/>
      <c r="S863" s="196"/>
      <c r="T863" s="197"/>
      <c r="AT863" s="191" t="s">
        <v>145</v>
      </c>
      <c r="AU863" s="191" t="s">
        <v>81</v>
      </c>
      <c r="AV863" s="12" t="s">
        <v>81</v>
      </c>
      <c r="AW863" s="12" t="s">
        <v>35</v>
      </c>
      <c r="AX863" s="12" t="s">
        <v>71</v>
      </c>
      <c r="AY863" s="191" t="s">
        <v>136</v>
      </c>
    </row>
    <row r="864" spans="2:65" s="12" customFormat="1" x14ac:dyDescent="0.3">
      <c r="B864" s="190"/>
      <c r="D864" s="183" t="s">
        <v>145</v>
      </c>
      <c r="E864" s="314">
        <v>10</v>
      </c>
      <c r="F864" s="312" t="s">
        <v>1475</v>
      </c>
      <c r="G864" s="327"/>
      <c r="H864" s="378">
        <f>(2.25*2+2.2*2)*2.45-0.9*2-0.625*0.625+4*(0.625*0.16)</f>
        <v>20.014375000000001</v>
      </c>
      <c r="I864" s="194">
        <v>0</v>
      </c>
      <c r="L864" s="41"/>
      <c r="M864" s="195"/>
      <c r="N864" s="196"/>
      <c r="O864" s="196"/>
      <c r="P864" s="196"/>
      <c r="Q864" s="196"/>
      <c r="R864" s="196"/>
      <c r="S864" s="196"/>
      <c r="T864" s="197"/>
      <c r="AT864" s="191" t="s">
        <v>145</v>
      </c>
      <c r="AU864" s="191" t="s">
        <v>81</v>
      </c>
      <c r="AV864" s="12" t="s">
        <v>81</v>
      </c>
      <c r="AW864" s="12" t="s">
        <v>35</v>
      </c>
      <c r="AX864" s="12" t="s">
        <v>71</v>
      </c>
      <c r="AY864" s="191" t="s">
        <v>136</v>
      </c>
    </row>
    <row r="865" spans="2:65" s="13" customFormat="1" x14ac:dyDescent="0.3">
      <c r="B865" s="198"/>
      <c r="D865" s="183" t="s">
        <v>145</v>
      </c>
      <c r="E865" s="314">
        <v>11</v>
      </c>
      <c r="F865" s="312" t="s">
        <v>1476</v>
      </c>
      <c r="G865" s="327"/>
      <c r="H865" s="378">
        <f>(0.95*2+2.25*2)*2.45-0.9*2</f>
        <v>13.88</v>
      </c>
      <c r="I865" s="202">
        <v>0</v>
      </c>
      <c r="L865" s="41"/>
      <c r="M865" s="203"/>
      <c r="N865" s="204"/>
      <c r="O865" s="204"/>
      <c r="P865" s="204"/>
      <c r="Q865" s="204"/>
      <c r="R865" s="204"/>
      <c r="S865" s="204"/>
      <c r="T865" s="205"/>
      <c r="AT865" s="199" t="s">
        <v>145</v>
      </c>
      <c r="AU865" s="199" t="s">
        <v>81</v>
      </c>
      <c r="AV865" s="13" t="s">
        <v>143</v>
      </c>
      <c r="AW865" s="13" t="s">
        <v>35</v>
      </c>
      <c r="AX865" s="13" t="s">
        <v>79</v>
      </c>
      <c r="AY865" s="199" t="s">
        <v>136</v>
      </c>
    </row>
    <row r="866" spans="2:65" s="13" customFormat="1" x14ac:dyDescent="0.3">
      <c r="B866" s="198"/>
      <c r="D866" s="183"/>
      <c r="E866" s="314">
        <v>12</v>
      </c>
      <c r="F866" s="312" t="s">
        <v>1477</v>
      </c>
      <c r="G866" s="327"/>
      <c r="H866" s="378">
        <f>(0.95*2+1.7*2)*2.45-0.8*2*2</f>
        <v>9.7850000000000001</v>
      </c>
      <c r="I866" s="202">
        <v>0</v>
      </c>
      <c r="L866" s="41"/>
      <c r="M866" s="203"/>
      <c r="N866" s="358"/>
      <c r="O866" s="358"/>
      <c r="P866" s="358"/>
      <c r="Q866" s="358"/>
      <c r="R866" s="358"/>
      <c r="S866" s="358"/>
      <c r="T866" s="205"/>
      <c r="AT866" s="199"/>
      <c r="AU866" s="199"/>
      <c r="AY866" s="199"/>
    </row>
    <row r="867" spans="2:65" s="13" customFormat="1" x14ac:dyDescent="0.3">
      <c r="B867" s="198"/>
      <c r="D867" s="183"/>
      <c r="E867" s="314">
        <v>13</v>
      </c>
      <c r="F867" s="312" t="s">
        <v>1478</v>
      </c>
      <c r="G867" s="327"/>
      <c r="H867" s="378">
        <f>(0.95*2+1.7*2)*2.45-0.8*2</f>
        <v>11.385000000000002</v>
      </c>
      <c r="I867" s="202">
        <v>0</v>
      </c>
      <c r="L867" s="41"/>
      <c r="M867" s="203"/>
      <c r="N867" s="358"/>
      <c r="O867" s="358"/>
      <c r="P867" s="358"/>
      <c r="Q867" s="358"/>
      <c r="R867" s="358"/>
      <c r="S867" s="358"/>
      <c r="T867" s="205"/>
      <c r="AT867" s="199"/>
      <c r="AU867" s="199"/>
      <c r="AY867" s="199"/>
    </row>
    <row r="868" spans="2:65" s="13" customFormat="1" x14ac:dyDescent="0.3">
      <c r="B868" s="198"/>
      <c r="D868" s="183"/>
      <c r="E868" s="314" t="s">
        <v>1479</v>
      </c>
      <c r="F868" s="312" t="s">
        <v>1480</v>
      </c>
      <c r="G868" s="327"/>
      <c r="H868" s="378">
        <f>(2.475*2+0.95*2)*2.45-1.05*2.44</f>
        <v>14.220499999999999</v>
      </c>
      <c r="I868" s="202">
        <v>0</v>
      </c>
      <c r="L868" s="41"/>
      <c r="M868" s="203"/>
      <c r="N868" s="358"/>
      <c r="O868" s="358"/>
      <c r="P868" s="358"/>
      <c r="Q868" s="358"/>
      <c r="R868" s="358"/>
      <c r="S868" s="358"/>
      <c r="T868" s="205"/>
      <c r="AT868" s="199"/>
      <c r="AU868" s="199"/>
      <c r="AY868" s="199"/>
    </row>
    <row r="869" spans="2:65" s="13" customFormat="1" x14ac:dyDescent="0.3">
      <c r="B869" s="198"/>
      <c r="D869" s="183"/>
      <c r="E869" s="314"/>
      <c r="F869" s="312" t="s">
        <v>1209</v>
      </c>
      <c r="G869" s="327"/>
      <c r="H869" s="378"/>
      <c r="I869" s="202">
        <v>0</v>
      </c>
      <c r="L869" s="41"/>
      <c r="M869" s="203"/>
      <c r="N869" s="358"/>
      <c r="O869" s="358"/>
      <c r="P869" s="358"/>
      <c r="Q869" s="358"/>
      <c r="R869" s="358"/>
      <c r="S869" s="358"/>
      <c r="T869" s="205"/>
      <c r="AT869" s="199"/>
      <c r="AU869" s="199"/>
      <c r="AY869" s="199"/>
    </row>
    <row r="870" spans="2:65" s="13" customFormat="1" x14ac:dyDescent="0.3">
      <c r="B870" s="198"/>
      <c r="D870" s="183"/>
      <c r="E870" s="314"/>
      <c r="F870" s="312" t="s">
        <v>1498</v>
      </c>
      <c r="G870" s="327"/>
      <c r="H870" s="378">
        <f>(2.275*2+2.1*2)*2.69-(0.8*2+0.625*0.625)</f>
        <v>21.546874999999996</v>
      </c>
      <c r="I870" s="202">
        <v>0</v>
      </c>
      <c r="L870" s="41"/>
      <c r="M870" s="203"/>
      <c r="N870" s="358"/>
      <c r="O870" s="358"/>
      <c r="P870" s="358"/>
      <c r="Q870" s="358"/>
      <c r="R870" s="358"/>
      <c r="S870" s="358"/>
      <c r="T870" s="205"/>
      <c r="AT870" s="199"/>
      <c r="AU870" s="199"/>
      <c r="AY870" s="199"/>
    </row>
    <row r="871" spans="2:65" s="13" customFormat="1" x14ac:dyDescent="0.3">
      <c r="B871" s="198"/>
      <c r="D871" s="183"/>
      <c r="E871" s="314"/>
      <c r="F871" s="312" t="s">
        <v>1499</v>
      </c>
      <c r="G871" s="327"/>
      <c r="H871" s="378">
        <f>(2.45*2+2.1*2)*2.69-(0.8*2+0.625*0.625)</f>
        <v>22.488375000000001</v>
      </c>
      <c r="I871" s="202">
        <v>0</v>
      </c>
      <c r="L871" s="41"/>
      <c r="M871" s="203"/>
      <c r="N871" s="358"/>
      <c r="O871" s="358"/>
      <c r="P871" s="358"/>
      <c r="Q871" s="358"/>
      <c r="R871" s="358"/>
      <c r="S871" s="358"/>
      <c r="T871" s="205"/>
      <c r="AT871" s="199"/>
      <c r="AU871" s="199"/>
      <c r="AY871" s="199"/>
    </row>
    <row r="872" spans="2:65" s="13" customFormat="1" x14ac:dyDescent="0.3">
      <c r="B872" s="198"/>
      <c r="D872" s="183"/>
      <c r="E872" s="314"/>
      <c r="F872" s="312" t="s">
        <v>1499</v>
      </c>
      <c r="G872" s="327"/>
      <c r="H872" s="378">
        <f>(2.45*2+2.1*2)*2.69-(0.8*2+0.625*0.625)</f>
        <v>22.488375000000001</v>
      </c>
      <c r="I872" s="202">
        <v>0</v>
      </c>
      <c r="L872" s="41"/>
      <c r="M872" s="203"/>
      <c r="N872" s="358"/>
      <c r="O872" s="358"/>
      <c r="P872" s="358"/>
      <c r="Q872" s="358"/>
      <c r="R872" s="358"/>
      <c r="S872" s="358"/>
      <c r="T872" s="205"/>
      <c r="AT872" s="199"/>
      <c r="AU872" s="199"/>
      <c r="AY872" s="199"/>
    </row>
    <row r="873" spans="2:65" s="1" customFormat="1" ht="16.5" customHeight="1" x14ac:dyDescent="0.3">
      <c r="B873" s="169"/>
      <c r="C873" s="206" t="s">
        <v>946</v>
      </c>
      <c r="D873" s="206" t="s">
        <v>355</v>
      </c>
      <c r="E873" s="207" t="s">
        <v>947</v>
      </c>
      <c r="F873" s="208" t="s">
        <v>948</v>
      </c>
      <c r="G873" s="209" t="s">
        <v>179</v>
      </c>
      <c r="H873" s="355">
        <f>H874</f>
        <v>222.66184999999999</v>
      </c>
      <c r="I873" s="211">
        <v>0</v>
      </c>
      <c r="J873" s="212">
        <f>ROUND(I873*H873,2)</f>
        <v>0</v>
      </c>
      <c r="K873" s="208" t="s">
        <v>5</v>
      </c>
      <c r="L873" s="41"/>
      <c r="M873" s="213" t="s">
        <v>5</v>
      </c>
      <c r="N873" s="214" t="s">
        <v>42</v>
      </c>
      <c r="O873" s="42"/>
      <c r="P873" s="179">
        <f>O873*H873</f>
        <v>0</v>
      </c>
      <c r="Q873" s="179">
        <v>1.18E-2</v>
      </c>
      <c r="R873" s="179">
        <f>Q873*H873</f>
        <v>2.6274098299999999</v>
      </c>
      <c r="S873" s="179">
        <v>0</v>
      </c>
      <c r="T873" s="180">
        <f>S873*H873</f>
        <v>0</v>
      </c>
      <c r="AR873" s="24" t="s">
        <v>283</v>
      </c>
      <c r="AT873" s="24" t="s">
        <v>355</v>
      </c>
      <c r="AU873" s="24" t="s">
        <v>81</v>
      </c>
      <c r="AY873" s="24" t="s">
        <v>136</v>
      </c>
      <c r="BE873" s="181">
        <f>IF(N873="základní",J873,0)</f>
        <v>0</v>
      </c>
      <c r="BF873" s="181">
        <f>IF(N873="snížená",J873,0)</f>
        <v>0</v>
      </c>
      <c r="BG873" s="181">
        <f>IF(N873="zákl. přenesená",J873,0)</f>
        <v>0</v>
      </c>
      <c r="BH873" s="181">
        <f>IF(N873="sníž. přenesená",J873,0)</f>
        <v>0</v>
      </c>
      <c r="BI873" s="181">
        <f>IF(N873="nulová",J873,0)</f>
        <v>0</v>
      </c>
      <c r="BJ873" s="24" t="s">
        <v>79</v>
      </c>
      <c r="BK873" s="181">
        <f>ROUND(I873*H873,2)</f>
        <v>0</v>
      </c>
      <c r="BL873" s="24" t="s">
        <v>204</v>
      </c>
      <c r="BM873" s="24" t="s">
        <v>949</v>
      </c>
    </row>
    <row r="874" spans="2:65" s="12" customFormat="1" x14ac:dyDescent="0.3">
      <c r="B874" s="190"/>
      <c r="D874" s="183" t="s">
        <v>145</v>
      </c>
      <c r="F874" s="312" t="s">
        <v>1500</v>
      </c>
      <c r="H874" s="315">
        <f>193.619*1.15</f>
        <v>222.66184999999999</v>
      </c>
      <c r="I874" s="194">
        <v>0</v>
      </c>
      <c r="L874" s="41"/>
      <c r="M874" s="195"/>
      <c r="N874" s="196"/>
      <c r="O874" s="196"/>
      <c r="P874" s="196"/>
      <c r="Q874" s="196"/>
      <c r="R874" s="196"/>
      <c r="S874" s="196"/>
      <c r="T874" s="197"/>
      <c r="AT874" s="191" t="s">
        <v>145</v>
      </c>
      <c r="AU874" s="191" t="s">
        <v>81</v>
      </c>
      <c r="AV874" s="12" t="s">
        <v>81</v>
      </c>
      <c r="AW874" s="12" t="s">
        <v>6</v>
      </c>
      <c r="AX874" s="12" t="s">
        <v>79</v>
      </c>
      <c r="AY874" s="191" t="s">
        <v>136</v>
      </c>
    </row>
    <row r="875" spans="2:65" s="1" customFormat="1" ht="16.5" customHeight="1" x14ac:dyDescent="0.3">
      <c r="B875" s="169"/>
      <c r="C875" s="170" t="s">
        <v>950</v>
      </c>
      <c r="D875" s="170" t="s">
        <v>138</v>
      </c>
      <c r="E875" s="171" t="s">
        <v>951</v>
      </c>
      <c r="F875" s="172" t="s">
        <v>952</v>
      </c>
      <c r="G875" s="173" t="s">
        <v>179</v>
      </c>
      <c r="H875" s="320">
        <f>H858</f>
        <v>193.61849999999998</v>
      </c>
      <c r="I875" s="175">
        <v>46</v>
      </c>
      <c r="J875" s="176">
        <f>ROUND(I875*H875,2)</f>
        <v>8906.4500000000007</v>
      </c>
      <c r="K875" s="172" t="s">
        <v>142</v>
      </c>
      <c r="L875" s="41"/>
      <c r="M875" s="177" t="s">
        <v>5</v>
      </c>
      <c r="N875" s="178" t="s">
        <v>42</v>
      </c>
      <c r="O875" s="42"/>
      <c r="P875" s="179">
        <f>O875*H875</f>
        <v>0</v>
      </c>
      <c r="Q875" s="179">
        <v>2.9999999999999997E-4</v>
      </c>
      <c r="R875" s="179">
        <f>Q875*H875</f>
        <v>5.8085549999999993E-2</v>
      </c>
      <c r="S875" s="179">
        <v>0</v>
      </c>
      <c r="T875" s="180">
        <f>S875*H875</f>
        <v>0</v>
      </c>
      <c r="AR875" s="24" t="s">
        <v>204</v>
      </c>
      <c r="AT875" s="24" t="s">
        <v>138</v>
      </c>
      <c r="AU875" s="24" t="s">
        <v>81</v>
      </c>
      <c r="AY875" s="24" t="s">
        <v>136</v>
      </c>
      <c r="BE875" s="181">
        <f>IF(N875="základní",J875,0)</f>
        <v>8906.4500000000007</v>
      </c>
      <c r="BF875" s="181">
        <f>IF(N875="snížená",J875,0)</f>
        <v>0</v>
      </c>
      <c r="BG875" s="181">
        <f>IF(N875="zákl. přenesená",J875,0)</f>
        <v>0</v>
      </c>
      <c r="BH875" s="181">
        <f>IF(N875="sníž. přenesená",J875,0)</f>
        <v>0</v>
      </c>
      <c r="BI875" s="181">
        <f>IF(N875="nulová",J875,0)</f>
        <v>0</v>
      </c>
      <c r="BJ875" s="24" t="s">
        <v>79</v>
      </c>
      <c r="BK875" s="181">
        <f>ROUND(I875*H875,2)</f>
        <v>8906.4500000000007</v>
      </c>
      <c r="BL875" s="24" t="s">
        <v>204</v>
      </c>
      <c r="BM875" s="24" t="s">
        <v>953</v>
      </c>
    </row>
    <row r="876" spans="2:65" s="1" customFormat="1" ht="16.5" customHeight="1" x14ac:dyDescent="0.3">
      <c r="B876" s="169"/>
      <c r="C876" s="170" t="s">
        <v>954</v>
      </c>
      <c r="D876" s="170" t="s">
        <v>138</v>
      </c>
      <c r="E876" s="171" t="s">
        <v>955</v>
      </c>
      <c r="F876" s="172" t="s">
        <v>956</v>
      </c>
      <c r="G876" s="173" t="s">
        <v>844</v>
      </c>
      <c r="H876" s="322">
        <v>1</v>
      </c>
      <c r="I876" s="175">
        <v>5750</v>
      </c>
      <c r="J876" s="176">
        <f>ROUND(I876*H876,2)</f>
        <v>5750</v>
      </c>
      <c r="K876" s="172" t="s">
        <v>5</v>
      </c>
      <c r="L876" s="41"/>
      <c r="M876" s="177" t="s">
        <v>5</v>
      </c>
      <c r="N876" s="178" t="s">
        <v>42</v>
      </c>
      <c r="O876" s="42"/>
      <c r="P876" s="179">
        <f>O876*H876</f>
        <v>0</v>
      </c>
      <c r="Q876" s="179">
        <v>0</v>
      </c>
      <c r="R876" s="179">
        <f>Q876*H876</f>
        <v>0</v>
      </c>
      <c r="S876" s="179">
        <v>0</v>
      </c>
      <c r="T876" s="180">
        <f>S876*H876</f>
        <v>0</v>
      </c>
      <c r="AR876" s="24" t="s">
        <v>204</v>
      </c>
      <c r="AT876" s="24" t="s">
        <v>138</v>
      </c>
      <c r="AU876" s="24" t="s">
        <v>81</v>
      </c>
      <c r="AY876" s="24" t="s">
        <v>136</v>
      </c>
      <c r="BE876" s="181">
        <f>IF(N876="základní",J876,0)</f>
        <v>5750</v>
      </c>
      <c r="BF876" s="181">
        <f>IF(N876="snížená",J876,0)</f>
        <v>0</v>
      </c>
      <c r="BG876" s="181">
        <f>IF(N876="zákl. přenesená",J876,0)</f>
        <v>0</v>
      </c>
      <c r="BH876" s="181">
        <f>IF(N876="sníž. přenesená",J876,0)</f>
        <v>0</v>
      </c>
      <c r="BI876" s="181">
        <f>IF(N876="nulová",J876,0)</f>
        <v>0</v>
      </c>
      <c r="BJ876" s="24" t="s">
        <v>79</v>
      </c>
      <c r="BK876" s="181">
        <f>ROUND(I876*H876,2)</f>
        <v>5750</v>
      </c>
      <c r="BL876" s="24" t="s">
        <v>204</v>
      </c>
      <c r="BM876" s="24" t="s">
        <v>957</v>
      </c>
    </row>
    <row r="877" spans="2:65" s="1" customFormat="1" ht="25.5" customHeight="1" x14ac:dyDescent="0.3">
      <c r="B877" s="169"/>
      <c r="C877" s="170" t="s">
        <v>958</v>
      </c>
      <c r="D877" s="170" t="s">
        <v>138</v>
      </c>
      <c r="E877" s="171" t="s">
        <v>959</v>
      </c>
      <c r="F877" s="172" t="s">
        <v>960</v>
      </c>
      <c r="G877" s="173" t="s">
        <v>179</v>
      </c>
      <c r="H877" s="320">
        <f>H875</f>
        <v>193.61849999999998</v>
      </c>
      <c r="I877" s="175">
        <v>51.749999999999993</v>
      </c>
      <c r="J877" s="176">
        <f>ROUND(I877*H877,2)</f>
        <v>10019.76</v>
      </c>
      <c r="K877" s="172" t="s">
        <v>142</v>
      </c>
      <c r="L877" s="41"/>
      <c r="M877" s="177" t="s">
        <v>5</v>
      </c>
      <c r="N877" s="178" t="s">
        <v>42</v>
      </c>
      <c r="O877" s="42"/>
      <c r="P877" s="179">
        <f>O877*H877</f>
        <v>0</v>
      </c>
      <c r="Q877" s="179">
        <v>0</v>
      </c>
      <c r="R877" s="179">
        <f>Q877*H877</f>
        <v>0</v>
      </c>
      <c r="S877" s="179">
        <v>0</v>
      </c>
      <c r="T877" s="180">
        <f>S877*H877</f>
        <v>0</v>
      </c>
      <c r="AR877" s="24" t="s">
        <v>204</v>
      </c>
      <c r="AT877" s="24" t="s">
        <v>138</v>
      </c>
      <c r="AU877" s="24" t="s">
        <v>81</v>
      </c>
      <c r="AY877" s="24" t="s">
        <v>136</v>
      </c>
      <c r="BE877" s="181">
        <f>IF(N877="základní",J877,0)</f>
        <v>10019.76</v>
      </c>
      <c r="BF877" s="181">
        <f>IF(N877="snížená",J877,0)</f>
        <v>0</v>
      </c>
      <c r="BG877" s="181">
        <f>IF(N877="zákl. přenesená",J877,0)</f>
        <v>0</v>
      </c>
      <c r="BH877" s="181">
        <f>IF(N877="sníž. přenesená",J877,0)</f>
        <v>0</v>
      </c>
      <c r="BI877" s="181">
        <f>IF(N877="nulová",J877,0)</f>
        <v>0</v>
      </c>
      <c r="BJ877" s="24" t="s">
        <v>79</v>
      </c>
      <c r="BK877" s="181">
        <f>ROUND(I877*H877,2)</f>
        <v>10019.76</v>
      </c>
      <c r="BL877" s="24" t="s">
        <v>204</v>
      </c>
      <c r="BM877" s="24" t="s">
        <v>961</v>
      </c>
    </row>
    <row r="878" spans="2:65" s="1" customFormat="1" ht="16.5" customHeight="1" x14ac:dyDescent="0.3">
      <c r="B878" s="169"/>
      <c r="C878" s="170" t="s">
        <v>962</v>
      </c>
      <c r="D878" s="170" t="s">
        <v>138</v>
      </c>
      <c r="E878" s="171" t="s">
        <v>963</v>
      </c>
      <c r="F878" s="172" t="s">
        <v>964</v>
      </c>
      <c r="G878" s="173" t="s">
        <v>554</v>
      </c>
      <c r="H878" s="379">
        <v>2252.41</v>
      </c>
      <c r="I878" s="175">
        <v>2.875</v>
      </c>
      <c r="J878" s="176">
        <f>ROUND(I878*H878,2)</f>
        <v>6475.68</v>
      </c>
      <c r="K878" s="172" t="s">
        <v>142</v>
      </c>
      <c r="L878" s="41"/>
      <c r="M878" s="177" t="s">
        <v>5</v>
      </c>
      <c r="N878" s="178" t="s">
        <v>42</v>
      </c>
      <c r="O878" s="42"/>
      <c r="P878" s="179">
        <f>O878*H878</f>
        <v>0</v>
      </c>
      <c r="Q878" s="179">
        <v>0</v>
      </c>
      <c r="R878" s="179">
        <f>Q878*H878</f>
        <v>0</v>
      </c>
      <c r="S878" s="179">
        <v>0</v>
      </c>
      <c r="T878" s="180">
        <f>S878*H878</f>
        <v>0</v>
      </c>
      <c r="AR878" s="24" t="s">
        <v>204</v>
      </c>
      <c r="AT878" s="24" t="s">
        <v>138</v>
      </c>
      <c r="AU878" s="24" t="s">
        <v>81</v>
      </c>
      <c r="AY878" s="24" t="s">
        <v>136</v>
      </c>
      <c r="BE878" s="181">
        <f>IF(N878="základní",J878,0)</f>
        <v>6475.68</v>
      </c>
      <c r="BF878" s="181">
        <f>IF(N878="snížená",J878,0)</f>
        <v>0</v>
      </c>
      <c r="BG878" s="181">
        <f>IF(N878="zákl. přenesená",J878,0)</f>
        <v>0</v>
      </c>
      <c r="BH878" s="181">
        <f>IF(N878="sníž. přenesená",J878,0)</f>
        <v>0</v>
      </c>
      <c r="BI878" s="181">
        <f>IF(N878="nulová",J878,0)</f>
        <v>0</v>
      </c>
      <c r="BJ878" s="24" t="s">
        <v>79</v>
      </c>
      <c r="BK878" s="181">
        <f>ROUND(I878*H878,2)</f>
        <v>6475.68</v>
      </c>
      <c r="BL878" s="24" t="s">
        <v>204</v>
      </c>
      <c r="BM878" s="24" t="s">
        <v>965</v>
      </c>
    </row>
    <row r="879" spans="2:65" s="10" customFormat="1" ht="29.85" customHeight="1" x14ac:dyDescent="0.3">
      <c r="B879" s="156"/>
      <c r="D879" s="157" t="s">
        <v>70</v>
      </c>
      <c r="E879" s="167" t="s">
        <v>966</v>
      </c>
      <c r="F879" s="167" t="s">
        <v>967</v>
      </c>
      <c r="I879" s="159">
        <v>0</v>
      </c>
      <c r="J879" s="168">
        <f>BK879</f>
        <v>41910.659999999996</v>
      </c>
      <c r="L879" s="41"/>
      <c r="M879" s="161"/>
      <c r="N879" s="162"/>
      <c r="O879" s="162"/>
      <c r="P879" s="163">
        <f>SUM(P880:P897)</f>
        <v>0</v>
      </c>
      <c r="Q879" s="162"/>
      <c r="R879" s="163">
        <f>SUM(R880:R897)</f>
        <v>0.35715169000000002</v>
      </c>
      <c r="S879" s="162"/>
      <c r="T879" s="164">
        <f>SUM(T880:T897)</f>
        <v>0</v>
      </c>
      <c r="AR879" s="157" t="s">
        <v>81</v>
      </c>
      <c r="AT879" s="165" t="s">
        <v>70</v>
      </c>
      <c r="AU879" s="165" t="s">
        <v>79</v>
      </c>
      <c r="AY879" s="157" t="s">
        <v>136</v>
      </c>
      <c r="BK879" s="166">
        <f>SUM(BK880:BK897)</f>
        <v>41910.659999999996</v>
      </c>
    </row>
    <row r="880" spans="2:65" s="1" customFormat="1" ht="25.5" customHeight="1" x14ac:dyDescent="0.3">
      <c r="B880" s="169"/>
      <c r="C880" s="170" t="s">
        <v>968</v>
      </c>
      <c r="D880" s="170" t="s">
        <v>138</v>
      </c>
      <c r="E880" s="171" t="s">
        <v>969</v>
      </c>
      <c r="F880" s="172" t="s">
        <v>970</v>
      </c>
      <c r="G880" s="173" t="s">
        <v>179</v>
      </c>
      <c r="H880" s="320">
        <v>728.88099999999997</v>
      </c>
      <c r="I880" s="175">
        <v>11.5</v>
      </c>
      <c r="J880" s="176">
        <f>ROUND(I880*H880,2)</f>
        <v>8382.1299999999992</v>
      </c>
      <c r="K880" s="172" t="s">
        <v>142</v>
      </c>
      <c r="L880" s="41"/>
      <c r="M880" s="177" t="s">
        <v>5</v>
      </c>
      <c r="N880" s="178" t="s">
        <v>42</v>
      </c>
      <c r="O880" s="42"/>
      <c r="P880" s="179">
        <f>O880*H880</f>
        <v>0</v>
      </c>
      <c r="Q880" s="179">
        <v>2.0000000000000001E-4</v>
      </c>
      <c r="R880" s="179">
        <f>Q880*H880</f>
        <v>0.14577619999999999</v>
      </c>
      <c r="S880" s="179">
        <v>0</v>
      </c>
      <c r="T880" s="180">
        <f>S880*H880</f>
        <v>0</v>
      </c>
      <c r="AR880" s="24" t="s">
        <v>204</v>
      </c>
      <c r="AT880" s="24" t="s">
        <v>138</v>
      </c>
      <c r="AU880" s="24" t="s">
        <v>81</v>
      </c>
      <c r="AY880" s="24" t="s">
        <v>136</v>
      </c>
      <c r="BE880" s="181">
        <f>IF(N880="základní",J880,0)</f>
        <v>8382.1299999999992</v>
      </c>
      <c r="BF880" s="181">
        <f>IF(N880="snížená",J880,0)</f>
        <v>0</v>
      </c>
      <c r="BG880" s="181">
        <f>IF(N880="zákl. přenesená",J880,0)</f>
        <v>0</v>
      </c>
      <c r="BH880" s="181">
        <f>IF(N880="sníž. přenesená",J880,0)</f>
        <v>0</v>
      </c>
      <c r="BI880" s="181">
        <f>IF(N880="nulová",J880,0)</f>
        <v>0</v>
      </c>
      <c r="BJ880" s="24" t="s">
        <v>79</v>
      </c>
      <c r="BK880" s="181">
        <f>ROUND(I880*H880,2)</f>
        <v>8382.1299999999992</v>
      </c>
      <c r="BL880" s="24" t="s">
        <v>204</v>
      </c>
      <c r="BM880" s="24" t="s">
        <v>971</v>
      </c>
    </row>
    <row r="881" spans="2:65" s="1" customFormat="1" ht="25.5" customHeight="1" x14ac:dyDescent="0.3">
      <c r="B881" s="169"/>
      <c r="C881" s="170" t="s">
        <v>972</v>
      </c>
      <c r="D881" s="170" t="s">
        <v>138</v>
      </c>
      <c r="E881" s="171" t="s">
        <v>973</v>
      </c>
      <c r="F881" s="172" t="s">
        <v>974</v>
      </c>
      <c r="G881" s="173" t="s">
        <v>179</v>
      </c>
      <c r="H881" s="320">
        <v>728.88099999999997</v>
      </c>
      <c r="I881" s="175">
        <v>46</v>
      </c>
      <c r="J881" s="176">
        <f>ROUND(I881*H881,2)</f>
        <v>33528.53</v>
      </c>
      <c r="K881" s="172" t="s">
        <v>142</v>
      </c>
      <c r="L881" s="41"/>
      <c r="M881" s="177" t="s">
        <v>5</v>
      </c>
      <c r="N881" s="178" t="s">
        <v>42</v>
      </c>
      <c r="O881" s="42"/>
      <c r="P881" s="179">
        <f>O881*H881</f>
        <v>0</v>
      </c>
      <c r="Q881" s="179">
        <v>2.9E-4</v>
      </c>
      <c r="R881" s="179">
        <f>Q881*H881</f>
        <v>0.21137549</v>
      </c>
      <c r="S881" s="179">
        <v>0</v>
      </c>
      <c r="T881" s="180">
        <f>S881*H881</f>
        <v>0</v>
      </c>
      <c r="AR881" s="24" t="s">
        <v>204</v>
      </c>
      <c r="AT881" s="24" t="s">
        <v>138</v>
      </c>
      <c r="AU881" s="24" t="s">
        <v>81</v>
      </c>
      <c r="AY881" s="24" t="s">
        <v>136</v>
      </c>
      <c r="BE881" s="181">
        <f>IF(N881="základní",J881,0)</f>
        <v>33528.53</v>
      </c>
      <c r="BF881" s="181">
        <f>IF(N881="snížená",J881,0)</f>
        <v>0</v>
      </c>
      <c r="BG881" s="181">
        <f>IF(N881="zákl. přenesená",J881,0)</f>
        <v>0</v>
      </c>
      <c r="BH881" s="181">
        <f>IF(N881="sníž. přenesená",J881,0)</f>
        <v>0</v>
      </c>
      <c r="BI881" s="181">
        <f>IF(N881="nulová",J881,0)</f>
        <v>0</v>
      </c>
      <c r="BJ881" s="24" t="s">
        <v>79</v>
      </c>
      <c r="BK881" s="181">
        <f>ROUND(I881*H881,2)</f>
        <v>33528.53</v>
      </c>
      <c r="BL881" s="24" t="s">
        <v>204</v>
      </c>
      <c r="BM881" s="24" t="s">
        <v>975</v>
      </c>
    </row>
    <row r="882" spans="2:65" s="1" customFormat="1" x14ac:dyDescent="0.3">
      <c r="B882" s="41"/>
      <c r="D882" s="183"/>
      <c r="F882" s="382" t="s">
        <v>1205</v>
      </c>
      <c r="I882" s="224">
        <v>0</v>
      </c>
      <c r="L882" s="41"/>
      <c r="M882" s="225"/>
      <c r="N882" s="42"/>
      <c r="O882" s="42"/>
      <c r="P882" s="42"/>
      <c r="Q882" s="42"/>
      <c r="R882" s="42"/>
      <c r="S882" s="42"/>
      <c r="T882" s="70"/>
      <c r="AT882" s="24" t="s">
        <v>406</v>
      </c>
      <c r="AU882" s="24" t="s">
        <v>81</v>
      </c>
    </row>
    <row r="883" spans="2:65" s="11" customFormat="1" ht="40.5" x14ac:dyDescent="0.3">
      <c r="B883" s="182"/>
      <c r="D883" s="183"/>
      <c r="E883" s="314" t="s">
        <v>1445</v>
      </c>
      <c r="F883" s="312" t="s">
        <v>1481</v>
      </c>
      <c r="G883" s="327"/>
      <c r="H883" s="332">
        <f>(14*2+6*2)*2.45-(1.6*2.44+4.95*2.44+2.8*2.44+1.8*2.44*2+0.9*2*3)+(2.44*2*0.36+3.85*0.36+0.36*2.44*2)</f>
        <v>65.901600000000002</v>
      </c>
      <c r="I883" s="186">
        <v>0</v>
      </c>
      <c r="L883" s="41"/>
      <c r="M883" s="187"/>
      <c r="N883" s="188"/>
      <c r="O883" s="188"/>
      <c r="P883" s="188"/>
      <c r="Q883" s="188"/>
      <c r="R883" s="188"/>
      <c r="S883" s="188"/>
      <c r="T883" s="189"/>
      <c r="AT883" s="184" t="s">
        <v>145</v>
      </c>
      <c r="AU883" s="184" t="s">
        <v>81</v>
      </c>
      <c r="AV883" s="11" t="s">
        <v>79</v>
      </c>
      <c r="AW883" s="11" t="s">
        <v>35</v>
      </c>
      <c r="AX883" s="11" t="s">
        <v>71</v>
      </c>
      <c r="AY883" s="184" t="s">
        <v>136</v>
      </c>
    </row>
    <row r="884" spans="2:65" s="11" customFormat="1" x14ac:dyDescent="0.3">
      <c r="B884" s="182"/>
      <c r="D884" s="183"/>
      <c r="E884" s="314">
        <v>3</v>
      </c>
      <c r="F884" s="312" t="s">
        <v>1483</v>
      </c>
      <c r="G884" s="327"/>
      <c r="H884" s="332">
        <f>(1.3*2+2.375*2)*2.45-1.05*2.19-0.8*2</f>
        <v>14.108000000000001</v>
      </c>
      <c r="I884" s="186">
        <v>0</v>
      </c>
      <c r="L884" s="41"/>
      <c r="M884" s="187"/>
      <c r="N884" s="188"/>
      <c r="O884" s="188"/>
      <c r="P884" s="188"/>
      <c r="Q884" s="188"/>
      <c r="R884" s="188"/>
      <c r="S884" s="188"/>
      <c r="T884" s="189"/>
      <c r="AT884" s="184" t="s">
        <v>145</v>
      </c>
      <c r="AU884" s="184" t="s">
        <v>81</v>
      </c>
      <c r="AV884" s="11" t="s">
        <v>79</v>
      </c>
      <c r="AW884" s="11" t="s">
        <v>35</v>
      </c>
      <c r="AX884" s="11" t="s">
        <v>71</v>
      </c>
      <c r="AY884" s="184" t="s">
        <v>136</v>
      </c>
    </row>
    <row r="885" spans="2:65" s="12" customFormat="1" x14ac:dyDescent="0.3">
      <c r="B885" s="190"/>
      <c r="D885" s="183"/>
      <c r="E885" s="314">
        <v>4</v>
      </c>
      <c r="F885" s="312" t="s">
        <v>1482</v>
      </c>
      <c r="G885" s="327"/>
      <c r="H885" s="315">
        <f>(1.4*2+2.375*2)*2.45-2*0.8*2</f>
        <v>15.297500000000003</v>
      </c>
      <c r="I885" s="194">
        <v>0</v>
      </c>
      <c r="L885" s="41"/>
      <c r="M885" s="195"/>
      <c r="N885" s="196"/>
      <c r="O885" s="196"/>
      <c r="P885" s="196"/>
      <c r="Q885" s="196"/>
      <c r="R885" s="196"/>
      <c r="S885" s="196"/>
      <c r="T885" s="197"/>
      <c r="AT885" s="191" t="s">
        <v>145</v>
      </c>
      <c r="AU885" s="191" t="s">
        <v>81</v>
      </c>
      <c r="AV885" s="12" t="s">
        <v>81</v>
      </c>
      <c r="AW885" s="12" t="s">
        <v>35</v>
      </c>
      <c r="AX885" s="12" t="s">
        <v>71</v>
      </c>
      <c r="AY885" s="191" t="s">
        <v>136</v>
      </c>
    </row>
    <row r="886" spans="2:65" s="12" customFormat="1" x14ac:dyDescent="0.3">
      <c r="B886" s="190"/>
      <c r="D886" s="183"/>
      <c r="E886" s="314">
        <v>5</v>
      </c>
      <c r="F886" s="312" t="s">
        <v>1484</v>
      </c>
      <c r="G886" s="327"/>
      <c r="H886" s="315">
        <f>(3.05*2+3.1*2+0.25+0.875*2)*2.45-(0.9*2+0.8*2)</f>
        <v>31.635000000000005</v>
      </c>
      <c r="I886" s="194">
        <v>0</v>
      </c>
      <c r="L886" s="41"/>
      <c r="M886" s="195"/>
      <c r="N886" s="196"/>
      <c r="O886" s="196"/>
      <c r="P886" s="196"/>
      <c r="Q886" s="196"/>
      <c r="R886" s="196"/>
      <c r="S886" s="196"/>
      <c r="T886" s="197"/>
      <c r="AT886" s="191" t="s">
        <v>145</v>
      </c>
      <c r="AU886" s="191" t="s">
        <v>81</v>
      </c>
      <c r="AV886" s="12" t="s">
        <v>81</v>
      </c>
      <c r="AW886" s="12" t="s">
        <v>35</v>
      </c>
      <c r="AX886" s="12" t="s">
        <v>71</v>
      </c>
      <c r="AY886" s="191" t="s">
        <v>136</v>
      </c>
    </row>
    <row r="887" spans="2:65" s="11" customFormat="1" x14ac:dyDescent="0.3">
      <c r="B887" s="182"/>
      <c r="D887" s="183"/>
      <c r="E887" s="184"/>
      <c r="F887" s="312" t="s">
        <v>1485</v>
      </c>
      <c r="G887" s="327"/>
      <c r="H887" s="314"/>
      <c r="I887" s="186">
        <v>0</v>
      </c>
      <c r="L887" s="41"/>
      <c r="M887" s="187"/>
      <c r="N887" s="188"/>
      <c r="O887" s="188"/>
      <c r="P887" s="188"/>
      <c r="Q887" s="188"/>
      <c r="R887" s="188"/>
      <c r="S887" s="188"/>
      <c r="T887" s="189"/>
      <c r="AT887" s="184" t="s">
        <v>145</v>
      </c>
      <c r="AU887" s="184" t="s">
        <v>81</v>
      </c>
      <c r="AV887" s="11" t="s">
        <v>79</v>
      </c>
      <c r="AW887" s="11" t="s">
        <v>35</v>
      </c>
      <c r="AX887" s="11" t="s">
        <v>71</v>
      </c>
      <c r="AY887" s="184" t="s">
        <v>136</v>
      </c>
    </row>
    <row r="888" spans="2:65" s="12" customFormat="1" x14ac:dyDescent="0.3">
      <c r="B888" s="190"/>
      <c r="D888" s="183"/>
      <c r="E888" s="191"/>
      <c r="F888" s="312">
        <v>117.8</v>
      </c>
      <c r="G888" s="327"/>
      <c r="H888" s="315">
        <v>117.8</v>
      </c>
      <c r="I888" s="194">
        <v>0</v>
      </c>
      <c r="L888" s="41"/>
      <c r="M888" s="195"/>
      <c r="N888" s="196"/>
      <c r="O888" s="196"/>
      <c r="P888" s="196"/>
      <c r="Q888" s="196"/>
      <c r="R888" s="196"/>
      <c r="S888" s="196"/>
      <c r="T888" s="197"/>
      <c r="AT888" s="191" t="s">
        <v>145</v>
      </c>
      <c r="AU888" s="191" t="s">
        <v>81</v>
      </c>
      <c r="AV888" s="12" t="s">
        <v>81</v>
      </c>
      <c r="AW888" s="12" t="s">
        <v>35</v>
      </c>
      <c r="AX888" s="12" t="s">
        <v>71</v>
      </c>
      <c r="AY888" s="191" t="s">
        <v>136</v>
      </c>
    </row>
    <row r="889" spans="2:65" s="12" customFormat="1" x14ac:dyDescent="0.3">
      <c r="B889" s="190"/>
      <c r="D889" s="383"/>
      <c r="E889" s="314"/>
      <c r="F889" s="312" t="s">
        <v>1209</v>
      </c>
      <c r="G889" s="327"/>
      <c r="H889" s="315"/>
      <c r="I889" s="194">
        <v>0</v>
      </c>
      <c r="L889" s="41"/>
      <c r="M889" s="195"/>
      <c r="N889" s="196"/>
      <c r="O889" s="196"/>
      <c r="P889" s="196"/>
      <c r="Q889" s="196"/>
      <c r="R889" s="196"/>
      <c r="S889" s="196"/>
      <c r="T889" s="197"/>
      <c r="AT889" s="191" t="s">
        <v>145</v>
      </c>
      <c r="AU889" s="191" t="s">
        <v>81</v>
      </c>
      <c r="AV889" s="12" t="s">
        <v>81</v>
      </c>
      <c r="AW889" s="12" t="s">
        <v>35</v>
      </c>
      <c r="AX889" s="12" t="s">
        <v>71</v>
      </c>
      <c r="AY889" s="191" t="s">
        <v>136</v>
      </c>
    </row>
    <row r="890" spans="2:65" s="12" customFormat="1" ht="40.5" x14ac:dyDescent="0.3">
      <c r="B890" s="190"/>
      <c r="D890" s="383"/>
      <c r="E890" s="314" t="s">
        <v>1487</v>
      </c>
      <c r="F890" s="312" t="s">
        <v>1486</v>
      </c>
      <c r="G890" s="327"/>
      <c r="H890" s="315">
        <f>(1.95*2+2.1*2+4.5*2+6.875*2)*2.45-(1.05*2.19+0.7*2+1*2*2+1*1+1.8*2.44)+(1.8*0.16+2.44*2*0.16+1*3*0.16+1.05*0.16*2.19*2*0.16)</f>
        <v>64.157534400000017</v>
      </c>
      <c r="I890" s="194">
        <v>0</v>
      </c>
      <c r="L890" s="41"/>
      <c r="M890" s="195"/>
      <c r="N890" s="196"/>
      <c r="O890" s="196"/>
      <c r="P890" s="196"/>
      <c r="Q890" s="196"/>
      <c r="R890" s="196"/>
      <c r="S890" s="196"/>
      <c r="T890" s="197"/>
      <c r="AT890" s="191" t="s">
        <v>145</v>
      </c>
      <c r="AU890" s="191" t="s">
        <v>81</v>
      </c>
      <c r="AV890" s="12" t="s">
        <v>81</v>
      </c>
      <c r="AW890" s="12" t="s">
        <v>35</v>
      </c>
      <c r="AX890" s="12" t="s">
        <v>71</v>
      </c>
      <c r="AY890" s="191" t="s">
        <v>136</v>
      </c>
    </row>
    <row r="891" spans="2:65" s="12" customFormat="1" ht="27" x14ac:dyDescent="0.3">
      <c r="B891" s="190"/>
      <c r="D891" s="383"/>
      <c r="E891" s="314" t="s">
        <v>1488</v>
      </c>
      <c r="F891" s="312" t="s">
        <v>1489</v>
      </c>
      <c r="G891" s="327"/>
      <c r="H891" s="315">
        <f>(1.95*2+2.1*2+4.5*2+6.875*2)*2.45-(1.05*2.19+0.7*2+2.7*2.44)+(2.7*0.16+2.44*2*0.16+1.05*0.16+2.19*2*0.16)</f>
        <v>67.37660000000001</v>
      </c>
      <c r="I891" s="194">
        <v>0</v>
      </c>
      <c r="L891" s="41"/>
      <c r="M891" s="195"/>
      <c r="N891" s="196"/>
      <c r="O891" s="196"/>
      <c r="P891" s="196"/>
      <c r="Q891" s="196"/>
      <c r="R891" s="196"/>
      <c r="S891" s="196"/>
      <c r="T891" s="197"/>
      <c r="AT891" s="191" t="s">
        <v>145</v>
      </c>
      <c r="AU891" s="191" t="s">
        <v>81</v>
      </c>
      <c r="AV891" s="12" t="s">
        <v>81</v>
      </c>
      <c r="AW891" s="12" t="s">
        <v>35</v>
      </c>
      <c r="AX891" s="12" t="s">
        <v>71</v>
      </c>
      <c r="AY891" s="191" t="s">
        <v>136</v>
      </c>
    </row>
    <row r="892" spans="2:65" s="12" customFormat="1" ht="27" x14ac:dyDescent="0.3">
      <c r="B892" s="190"/>
      <c r="C892" s="327"/>
      <c r="D892" s="383"/>
      <c r="E892" s="314" t="s">
        <v>1490</v>
      </c>
      <c r="F892" s="312" t="s">
        <v>1491</v>
      </c>
      <c r="G892" s="327"/>
      <c r="H892" s="315">
        <f>(2.12*2+2.1*2+3.75*1+3.4*3.65)*2.45-(1.8*2.44+1.05*2.19+0.9*2*2+0.8*2*2)+(1.8*0.16+2.44*2*0.16+1.05*0.16+2.19*2*0.16)</f>
        <v>48.716100000000012</v>
      </c>
      <c r="I892" s="194">
        <v>0</v>
      </c>
      <c r="L892" s="41"/>
      <c r="M892" s="195"/>
      <c r="N892" s="196"/>
      <c r="O892" s="196"/>
      <c r="P892" s="196"/>
      <c r="Q892" s="196"/>
      <c r="R892" s="196"/>
      <c r="S892" s="196"/>
      <c r="T892" s="197"/>
      <c r="AT892" s="191" t="s">
        <v>145</v>
      </c>
      <c r="AU892" s="191" t="s">
        <v>81</v>
      </c>
      <c r="AV892" s="12" t="s">
        <v>81</v>
      </c>
      <c r="AW892" s="12" t="s">
        <v>35</v>
      </c>
      <c r="AX892" s="12" t="s">
        <v>71</v>
      </c>
      <c r="AY892" s="191" t="s">
        <v>136</v>
      </c>
    </row>
    <row r="893" spans="2:65" s="12" customFormat="1" x14ac:dyDescent="0.3">
      <c r="B893" s="190"/>
      <c r="C893" s="327"/>
      <c r="D893" s="383"/>
      <c r="E893" s="314"/>
      <c r="F893" s="312" t="s">
        <v>1485</v>
      </c>
      <c r="G893" s="327"/>
      <c r="H893" s="315"/>
      <c r="I893" s="194">
        <v>0</v>
      </c>
      <c r="L893" s="41"/>
      <c r="M893" s="195"/>
      <c r="N893" s="328"/>
      <c r="O893" s="328"/>
      <c r="P893" s="328"/>
      <c r="Q893" s="328"/>
      <c r="R893" s="328"/>
      <c r="S893" s="328"/>
      <c r="T893" s="197"/>
      <c r="AT893" s="191"/>
      <c r="AU893" s="191"/>
      <c r="AY893" s="191"/>
    </row>
    <row r="894" spans="2:65" s="12" customFormat="1" x14ac:dyDescent="0.3">
      <c r="B894" s="190"/>
      <c r="C894" s="327"/>
      <c r="D894" s="383"/>
      <c r="E894" s="314"/>
      <c r="F894" s="312" t="s">
        <v>1494</v>
      </c>
      <c r="G894" s="327"/>
      <c r="H894" s="315">
        <f>4.1+4.6+31+4.1+4.6+31+13.5+8+4.3+12.4+2.5</f>
        <v>120.10000000000001</v>
      </c>
      <c r="I894" s="194">
        <v>0</v>
      </c>
      <c r="L894" s="41"/>
      <c r="M894" s="195"/>
      <c r="N894" s="328"/>
      <c r="O894" s="328"/>
      <c r="P894" s="328"/>
      <c r="Q894" s="328"/>
      <c r="R894" s="328"/>
      <c r="S894" s="328"/>
      <c r="T894" s="197"/>
      <c r="AT894" s="191"/>
      <c r="AU894" s="191"/>
      <c r="AY894" s="191"/>
    </row>
    <row r="895" spans="2:65" s="12" customFormat="1" x14ac:dyDescent="0.3">
      <c r="B895" s="190"/>
      <c r="D895" s="183"/>
      <c r="E895" s="314"/>
      <c r="F895" s="312" t="s">
        <v>1214</v>
      </c>
      <c r="H895" s="193"/>
      <c r="I895" s="194">
        <v>0</v>
      </c>
      <c r="L895" s="41"/>
      <c r="M895" s="195"/>
      <c r="N895" s="196"/>
      <c r="O895" s="196"/>
      <c r="P895" s="196"/>
      <c r="Q895" s="196"/>
      <c r="R895" s="196"/>
      <c r="S895" s="196"/>
      <c r="T895" s="197"/>
      <c r="AT895" s="191" t="s">
        <v>145</v>
      </c>
      <c r="AU895" s="191" t="s">
        <v>81</v>
      </c>
      <c r="AV895" s="12" t="s">
        <v>81</v>
      </c>
      <c r="AW895" s="12" t="s">
        <v>35</v>
      </c>
      <c r="AX895" s="12" t="s">
        <v>71</v>
      </c>
      <c r="AY895" s="191" t="s">
        <v>136</v>
      </c>
    </row>
    <row r="896" spans="2:65" s="11" customFormat="1" x14ac:dyDescent="0.3">
      <c r="B896" s="182"/>
      <c r="D896" s="183"/>
      <c r="E896" s="314" t="s">
        <v>1487</v>
      </c>
      <c r="F896" s="312" t="s">
        <v>1492</v>
      </c>
      <c r="H896" s="332">
        <f>(4.5*2+6.875*2)*1.3</f>
        <v>29.574999999999999</v>
      </c>
      <c r="I896" s="186">
        <v>0</v>
      </c>
      <c r="L896" s="41"/>
      <c r="M896" s="187"/>
      <c r="N896" s="188"/>
      <c r="O896" s="188"/>
      <c r="P896" s="188"/>
      <c r="Q896" s="188"/>
      <c r="R896" s="188"/>
      <c r="S896" s="188"/>
      <c r="T896" s="189"/>
      <c r="AT896" s="184" t="s">
        <v>145</v>
      </c>
      <c r="AU896" s="184" t="s">
        <v>81</v>
      </c>
      <c r="AV896" s="11" t="s">
        <v>79</v>
      </c>
      <c r="AW896" s="11" t="s">
        <v>35</v>
      </c>
      <c r="AX896" s="11" t="s">
        <v>71</v>
      </c>
      <c r="AY896" s="184" t="s">
        <v>136</v>
      </c>
    </row>
    <row r="897" spans="2:65" s="12" customFormat="1" ht="27" x14ac:dyDescent="0.3">
      <c r="B897" s="190"/>
      <c r="D897" s="183"/>
      <c r="E897" s="314" t="s">
        <v>1490</v>
      </c>
      <c r="F897" s="312" t="s">
        <v>1493</v>
      </c>
      <c r="H897" s="378">
        <f>(4.5*2+6.875*2)*3-(1.8*2.1+1.8*1.8+1*1*2)+(1*3*0.16*2+1.8*0.16+2.1*2*0.16+1.8*3*0.16)</f>
        <v>62.014000000000003</v>
      </c>
      <c r="I897" s="194">
        <v>0</v>
      </c>
      <c r="L897" s="41"/>
      <c r="M897" s="195"/>
      <c r="N897" s="196"/>
      <c r="O897" s="196"/>
      <c r="P897" s="196"/>
      <c r="Q897" s="196"/>
      <c r="R897" s="196"/>
      <c r="S897" s="196"/>
      <c r="T897" s="197"/>
      <c r="AT897" s="191" t="s">
        <v>145</v>
      </c>
      <c r="AU897" s="191" t="s">
        <v>81</v>
      </c>
      <c r="AV897" s="12" t="s">
        <v>81</v>
      </c>
      <c r="AW897" s="12" t="s">
        <v>35</v>
      </c>
      <c r="AX897" s="12" t="s">
        <v>71</v>
      </c>
      <c r="AY897" s="191" t="s">
        <v>136</v>
      </c>
    </row>
    <row r="898" spans="2:65" s="12" customFormat="1" x14ac:dyDescent="0.3">
      <c r="B898" s="190"/>
      <c r="D898" s="183"/>
      <c r="E898" s="314"/>
      <c r="F898" s="312" t="s">
        <v>1485</v>
      </c>
      <c r="H898" s="378"/>
      <c r="I898" s="194">
        <v>0</v>
      </c>
      <c r="L898" s="41"/>
      <c r="M898" s="195"/>
      <c r="N898" s="328"/>
      <c r="O898" s="328"/>
      <c r="P898" s="328"/>
      <c r="Q898" s="328"/>
      <c r="R898" s="328"/>
      <c r="S898" s="328"/>
      <c r="T898" s="197"/>
      <c r="AT898" s="191"/>
      <c r="AU898" s="191"/>
      <c r="AY898" s="191"/>
    </row>
    <row r="899" spans="2:65" s="12" customFormat="1" x14ac:dyDescent="0.3">
      <c r="B899" s="190"/>
      <c r="D899" s="183"/>
      <c r="E899" s="314"/>
      <c r="F899" s="312" t="s">
        <v>1495</v>
      </c>
      <c r="H899" s="378">
        <f>35.1+1.5+2.77*4.5</f>
        <v>49.064999999999998</v>
      </c>
      <c r="I899" s="194">
        <v>0</v>
      </c>
      <c r="L899" s="41"/>
      <c r="M899" s="195"/>
      <c r="N899" s="328"/>
      <c r="O899" s="328"/>
      <c r="P899" s="328"/>
      <c r="Q899" s="328"/>
      <c r="R899" s="328"/>
      <c r="S899" s="328"/>
      <c r="T899" s="197"/>
      <c r="AT899" s="191"/>
      <c r="AU899" s="191"/>
      <c r="AY899" s="191"/>
    </row>
    <row r="900" spans="2:65" s="10" customFormat="1" ht="37.35" customHeight="1" x14ac:dyDescent="0.35">
      <c r="B900" s="156"/>
      <c r="D900" s="157" t="s">
        <v>70</v>
      </c>
      <c r="E900" s="158" t="s">
        <v>976</v>
      </c>
      <c r="F900" s="158" t="s">
        <v>977</v>
      </c>
      <c r="I900" s="159">
        <v>0</v>
      </c>
      <c r="J900" s="160">
        <f>SUM(J901:J904)</f>
        <v>3051250</v>
      </c>
      <c r="L900" s="41"/>
      <c r="M900" s="161"/>
      <c r="N900" s="162"/>
      <c r="O900" s="162"/>
      <c r="P900" s="163">
        <f>SUM(P901:P904)</f>
        <v>0</v>
      </c>
      <c r="Q900" s="162"/>
      <c r="R900" s="163">
        <f>SUM(R901:R904)</f>
        <v>0</v>
      </c>
      <c r="S900" s="162"/>
      <c r="T900" s="164">
        <f>SUM(T901:T904)</f>
        <v>0</v>
      </c>
      <c r="AR900" s="157" t="s">
        <v>143</v>
      </c>
      <c r="AT900" s="165" t="s">
        <v>70</v>
      </c>
      <c r="AU900" s="165" t="s">
        <v>71</v>
      </c>
      <c r="AY900" s="157" t="s">
        <v>136</v>
      </c>
      <c r="BK900" s="166">
        <f>SUM(BK901:BK904)</f>
        <v>3051250</v>
      </c>
    </row>
    <row r="901" spans="2:65" s="1" customFormat="1" ht="16.5" customHeight="1" x14ac:dyDescent="0.3">
      <c r="B901" s="169"/>
      <c r="C901" s="170" t="s">
        <v>978</v>
      </c>
      <c r="D901" s="170" t="s">
        <v>138</v>
      </c>
      <c r="E901" s="171" t="s">
        <v>979</v>
      </c>
      <c r="F901" s="172" t="s">
        <v>980</v>
      </c>
      <c r="G901" s="173" t="s">
        <v>844</v>
      </c>
      <c r="H901" s="319">
        <v>1</v>
      </c>
      <c r="I901" s="175">
        <v>402499.99999999994</v>
      </c>
      <c r="J901" s="176">
        <f t="shared" ref="J901:J904" si="20">ROUND(I901*H901,2)</f>
        <v>402500</v>
      </c>
      <c r="K901" s="172" t="s">
        <v>5</v>
      </c>
      <c r="L901" s="41"/>
      <c r="M901" s="177" t="s">
        <v>5</v>
      </c>
      <c r="N901" s="178" t="s">
        <v>42</v>
      </c>
      <c r="O901" s="42"/>
      <c r="P901" s="179">
        <f t="shared" ref="P901:P904" si="21">O901*H901</f>
        <v>0</v>
      </c>
      <c r="Q901" s="179">
        <v>0</v>
      </c>
      <c r="R901" s="179">
        <f>Q901*H901</f>
        <v>0</v>
      </c>
      <c r="S901" s="179">
        <v>0</v>
      </c>
      <c r="T901" s="180">
        <f>S901*H901</f>
        <v>0</v>
      </c>
      <c r="AR901" s="24" t="s">
        <v>981</v>
      </c>
      <c r="AT901" s="24" t="s">
        <v>138</v>
      </c>
      <c r="AU901" s="24" t="s">
        <v>79</v>
      </c>
      <c r="AY901" s="24" t="s">
        <v>136</v>
      </c>
      <c r="BE901" s="181">
        <f>IF(N901="základní",J901,0)</f>
        <v>402500</v>
      </c>
      <c r="BF901" s="181">
        <f>IF(N901="snížená",J901,0)</f>
        <v>0</v>
      </c>
      <c r="BG901" s="181">
        <f>IF(N901="zákl. přenesená",J901,0)</f>
        <v>0</v>
      </c>
      <c r="BH901" s="181">
        <f>IF(N901="sníž. přenesená",J901,0)</f>
        <v>0</v>
      </c>
      <c r="BI901" s="181">
        <f>IF(N901="nulová",J901,0)</f>
        <v>0</v>
      </c>
      <c r="BJ901" s="24" t="s">
        <v>79</v>
      </c>
      <c r="BK901" s="181">
        <f t="shared" ref="BK901:BK904" si="22">ROUND(I901*H901,2)</f>
        <v>402500</v>
      </c>
      <c r="BL901" s="24" t="s">
        <v>981</v>
      </c>
      <c r="BM901" s="24" t="s">
        <v>982</v>
      </c>
    </row>
    <row r="902" spans="2:65" s="1" customFormat="1" ht="16.5" customHeight="1" x14ac:dyDescent="0.3">
      <c r="B902" s="169"/>
      <c r="C902" s="170" t="s">
        <v>983</v>
      </c>
      <c r="D902" s="170" t="s">
        <v>138</v>
      </c>
      <c r="E902" s="171" t="s">
        <v>984</v>
      </c>
      <c r="F902" s="172" t="s">
        <v>1583</v>
      </c>
      <c r="G902" s="173" t="s">
        <v>844</v>
      </c>
      <c r="H902" s="319">
        <v>1</v>
      </c>
      <c r="I902" s="175">
        <v>1700000</v>
      </c>
      <c r="J902" s="176">
        <f t="shared" si="20"/>
        <v>1700000</v>
      </c>
      <c r="K902" s="172" t="s">
        <v>1585</v>
      </c>
      <c r="L902" s="41"/>
      <c r="M902" s="177" t="s">
        <v>5</v>
      </c>
      <c r="N902" s="178" t="s">
        <v>42</v>
      </c>
      <c r="O902" s="42"/>
      <c r="P902" s="179">
        <f t="shared" si="21"/>
        <v>0</v>
      </c>
      <c r="Q902" s="179">
        <v>0</v>
      </c>
      <c r="R902" s="179">
        <f>Q902*H902</f>
        <v>0</v>
      </c>
      <c r="S902" s="179">
        <v>0</v>
      </c>
      <c r="T902" s="180">
        <f>S902*H902</f>
        <v>0</v>
      </c>
      <c r="AR902" s="24" t="s">
        <v>981</v>
      </c>
      <c r="AT902" s="24" t="s">
        <v>138</v>
      </c>
      <c r="AU902" s="24" t="s">
        <v>79</v>
      </c>
      <c r="AY902" s="24" t="s">
        <v>136</v>
      </c>
      <c r="BE902" s="181">
        <f>IF(N902="základní",J902,0)</f>
        <v>1700000</v>
      </c>
      <c r="BF902" s="181">
        <f>IF(N902="snížená",J902,0)</f>
        <v>0</v>
      </c>
      <c r="BG902" s="181">
        <f>IF(N902="zákl. přenesená",J902,0)</f>
        <v>0</v>
      </c>
      <c r="BH902" s="181">
        <f>IF(N902="sníž. přenesená",J902,0)</f>
        <v>0</v>
      </c>
      <c r="BI902" s="181">
        <f>IF(N902="nulová",J902,0)</f>
        <v>0</v>
      </c>
      <c r="BJ902" s="24" t="s">
        <v>79</v>
      </c>
      <c r="BK902" s="181">
        <f t="shared" si="22"/>
        <v>1700000</v>
      </c>
      <c r="BL902" s="24" t="s">
        <v>981</v>
      </c>
      <c r="BM902" s="24" t="s">
        <v>985</v>
      </c>
    </row>
    <row r="903" spans="2:65" s="1" customFormat="1" ht="16.5" customHeight="1" x14ac:dyDescent="0.3">
      <c r="B903" s="169"/>
      <c r="C903" s="170" t="s">
        <v>986</v>
      </c>
      <c r="D903" s="170" t="s">
        <v>138</v>
      </c>
      <c r="E903" s="171" t="s">
        <v>987</v>
      </c>
      <c r="F903" s="172" t="s">
        <v>1586</v>
      </c>
      <c r="G903" s="173" t="s">
        <v>844</v>
      </c>
      <c r="H903" s="319">
        <v>1</v>
      </c>
      <c r="I903" s="175">
        <v>862499.99999999988</v>
      </c>
      <c r="J903" s="176">
        <f t="shared" si="20"/>
        <v>862500</v>
      </c>
      <c r="K903" s="172" t="s">
        <v>5</v>
      </c>
      <c r="L903" s="41"/>
      <c r="M903" s="177" t="s">
        <v>5</v>
      </c>
      <c r="N903" s="178" t="s">
        <v>42</v>
      </c>
      <c r="O903" s="42"/>
      <c r="P903" s="179">
        <f t="shared" si="21"/>
        <v>0</v>
      </c>
      <c r="Q903" s="179">
        <v>0</v>
      </c>
      <c r="R903" s="179">
        <f>Q903*H903</f>
        <v>0</v>
      </c>
      <c r="S903" s="179">
        <v>0</v>
      </c>
      <c r="T903" s="180">
        <f>S903*H903</f>
        <v>0</v>
      </c>
      <c r="AR903" s="24" t="s">
        <v>981</v>
      </c>
      <c r="AT903" s="24" t="s">
        <v>138</v>
      </c>
      <c r="AU903" s="24" t="s">
        <v>79</v>
      </c>
      <c r="AY903" s="24" t="s">
        <v>136</v>
      </c>
      <c r="BE903" s="181">
        <f>IF(N903="základní",J903,0)</f>
        <v>862500</v>
      </c>
      <c r="BF903" s="181">
        <f>IF(N903="snížená",J903,0)</f>
        <v>0</v>
      </c>
      <c r="BG903" s="181">
        <f>IF(N903="zákl. přenesená",J903,0)</f>
        <v>0</v>
      </c>
      <c r="BH903" s="181">
        <f>IF(N903="sníž. přenesená",J903,0)</f>
        <v>0</v>
      </c>
      <c r="BI903" s="181">
        <f>IF(N903="nulová",J903,0)</f>
        <v>0</v>
      </c>
      <c r="BJ903" s="24" t="s">
        <v>79</v>
      </c>
      <c r="BK903" s="181">
        <f t="shared" si="22"/>
        <v>862500</v>
      </c>
      <c r="BL903" s="24" t="s">
        <v>981</v>
      </c>
      <c r="BM903" s="24" t="s">
        <v>988</v>
      </c>
    </row>
    <row r="904" spans="2:65" s="1" customFormat="1" ht="16.5" customHeight="1" x14ac:dyDescent="0.3">
      <c r="B904" s="169"/>
      <c r="C904" s="170" t="s">
        <v>989</v>
      </c>
      <c r="D904" s="170" t="s">
        <v>138</v>
      </c>
      <c r="E904" s="171" t="s">
        <v>990</v>
      </c>
      <c r="F904" s="172" t="s">
        <v>1584</v>
      </c>
      <c r="G904" s="173" t="s">
        <v>844</v>
      </c>
      <c r="H904" s="319">
        <v>1</v>
      </c>
      <c r="I904" s="175">
        <v>86250</v>
      </c>
      <c r="J904" s="176">
        <f t="shared" si="20"/>
        <v>86250</v>
      </c>
      <c r="K904" s="172"/>
      <c r="L904" s="41"/>
      <c r="M904" s="177" t="s">
        <v>5</v>
      </c>
      <c r="N904" s="178" t="s">
        <v>42</v>
      </c>
      <c r="O904" s="42"/>
      <c r="P904" s="179">
        <f t="shared" si="21"/>
        <v>0</v>
      </c>
      <c r="Q904" s="179">
        <v>0</v>
      </c>
      <c r="R904" s="179">
        <f>Q904*H904</f>
        <v>0</v>
      </c>
      <c r="S904" s="179">
        <v>0</v>
      </c>
      <c r="T904" s="180">
        <f>S904*H904</f>
        <v>0</v>
      </c>
      <c r="AR904" s="24" t="s">
        <v>204</v>
      </c>
      <c r="AT904" s="24" t="s">
        <v>138</v>
      </c>
      <c r="AU904" s="24" t="s">
        <v>79</v>
      </c>
      <c r="AY904" s="24" t="s">
        <v>136</v>
      </c>
      <c r="BE904" s="181">
        <f>IF(N904="základní",J904,0)</f>
        <v>86250</v>
      </c>
      <c r="BF904" s="181">
        <f>IF(N904="snížená",J904,0)</f>
        <v>0</v>
      </c>
      <c r="BG904" s="181">
        <f>IF(N904="zákl. přenesená",J904,0)</f>
        <v>0</v>
      </c>
      <c r="BH904" s="181">
        <f>IF(N904="sníž. přenesená",J904,0)</f>
        <v>0</v>
      </c>
      <c r="BI904" s="181">
        <f>IF(N904="nulová",J904,0)</f>
        <v>0</v>
      </c>
      <c r="BJ904" s="24" t="s">
        <v>79</v>
      </c>
      <c r="BK904" s="181">
        <f t="shared" si="22"/>
        <v>86250</v>
      </c>
      <c r="BL904" s="24" t="s">
        <v>204</v>
      </c>
      <c r="BM904" s="24" t="s">
        <v>991</v>
      </c>
    </row>
    <row r="905" spans="2:65" s="10" customFormat="1" ht="37.35" customHeight="1" x14ac:dyDescent="0.35">
      <c r="B905" s="156"/>
      <c r="D905" s="157" t="s">
        <v>70</v>
      </c>
      <c r="E905" s="158" t="s">
        <v>992</v>
      </c>
      <c r="F905" s="158" t="s">
        <v>993</v>
      </c>
      <c r="H905" s="384"/>
      <c r="I905" s="159">
        <v>0</v>
      </c>
      <c r="J905" s="160">
        <f>BK905</f>
        <v>0</v>
      </c>
      <c r="L905" s="41"/>
      <c r="M905" s="161"/>
      <c r="N905" s="162"/>
      <c r="O905" s="162"/>
      <c r="P905" s="163">
        <f>SUM(P906:P908)</f>
        <v>0</v>
      </c>
      <c r="Q905" s="162"/>
      <c r="R905" s="163">
        <f>SUM(R906:R908)</f>
        <v>0</v>
      </c>
      <c r="S905" s="162"/>
      <c r="T905" s="164">
        <f>SUM(T906:T908)</f>
        <v>0</v>
      </c>
      <c r="AR905" s="157" t="s">
        <v>157</v>
      </c>
      <c r="AT905" s="165" t="s">
        <v>70</v>
      </c>
      <c r="AU905" s="165" t="s">
        <v>71</v>
      </c>
      <c r="AY905" s="157" t="s">
        <v>136</v>
      </c>
      <c r="BK905" s="166">
        <f>SUM(BK906:BK908)</f>
        <v>0</v>
      </c>
    </row>
    <row r="906" spans="2:65" s="1" customFormat="1" ht="16.5" customHeight="1" x14ac:dyDescent="0.3">
      <c r="B906" s="169"/>
      <c r="C906" s="170" t="s">
        <v>994</v>
      </c>
      <c r="D906" s="170" t="s">
        <v>138</v>
      </c>
      <c r="E906" s="171" t="s">
        <v>995</v>
      </c>
      <c r="F906" s="172" t="s">
        <v>996</v>
      </c>
      <c r="G906" s="173" t="s">
        <v>844</v>
      </c>
      <c r="H906" s="319">
        <v>1</v>
      </c>
      <c r="I906" s="175">
        <v>0</v>
      </c>
      <c r="J906" s="176">
        <f>ROUND(I906*H906,2)</f>
        <v>0</v>
      </c>
      <c r="K906" s="172" t="s">
        <v>5</v>
      </c>
      <c r="L906" s="41"/>
      <c r="M906" s="177" t="s">
        <v>5</v>
      </c>
      <c r="N906" s="178" t="s">
        <v>42</v>
      </c>
      <c r="O906" s="42"/>
      <c r="P906" s="179">
        <f>O906*H906</f>
        <v>0</v>
      </c>
      <c r="Q906" s="179">
        <v>0</v>
      </c>
      <c r="R906" s="179">
        <f>Q906*H906</f>
        <v>0</v>
      </c>
      <c r="S906" s="179">
        <v>0</v>
      </c>
      <c r="T906" s="180">
        <f>S906*H906</f>
        <v>0</v>
      </c>
      <c r="AR906" s="24" t="s">
        <v>143</v>
      </c>
      <c r="AT906" s="24" t="s">
        <v>138</v>
      </c>
      <c r="AU906" s="24" t="s">
        <v>79</v>
      </c>
      <c r="AY906" s="24" t="s">
        <v>136</v>
      </c>
      <c r="BE906" s="181">
        <f>IF(N906="základní",J906,0)</f>
        <v>0</v>
      </c>
      <c r="BF906" s="181">
        <f>IF(N906="snížená",J906,0)</f>
        <v>0</v>
      </c>
      <c r="BG906" s="181">
        <f>IF(N906="zákl. přenesená",J906,0)</f>
        <v>0</v>
      </c>
      <c r="BH906" s="181">
        <f>IF(N906="sníž. přenesená",J906,0)</f>
        <v>0</v>
      </c>
      <c r="BI906" s="181">
        <f>IF(N906="nulová",J906,0)</f>
        <v>0</v>
      </c>
      <c r="BJ906" s="24" t="s">
        <v>79</v>
      </c>
      <c r="BK906" s="181">
        <f>ROUND(I906*H906,2)</f>
        <v>0</v>
      </c>
      <c r="BL906" s="24" t="s">
        <v>143</v>
      </c>
      <c r="BM906" s="24" t="s">
        <v>997</v>
      </c>
    </row>
    <row r="907" spans="2:65" s="1" customFormat="1" ht="16.5" customHeight="1" x14ac:dyDescent="0.3">
      <c r="B907" s="169"/>
      <c r="C907" s="170" t="s">
        <v>998</v>
      </c>
      <c r="D907" s="170" t="s">
        <v>138</v>
      </c>
      <c r="E907" s="171" t="s">
        <v>999</v>
      </c>
      <c r="F907" s="172" t="s">
        <v>1000</v>
      </c>
      <c r="G907" s="173" t="s">
        <v>844</v>
      </c>
      <c r="H907" s="319">
        <v>1</v>
      </c>
      <c r="I907" s="175">
        <v>0</v>
      </c>
      <c r="J907" s="176">
        <f>ROUND(I907*H907,2)</f>
        <v>0</v>
      </c>
      <c r="K907" s="172" t="s">
        <v>5</v>
      </c>
      <c r="L907" s="41"/>
      <c r="M907" s="177" t="s">
        <v>5</v>
      </c>
      <c r="N907" s="178" t="s">
        <v>42</v>
      </c>
      <c r="O907" s="42"/>
      <c r="P907" s="179">
        <f>O907*H907</f>
        <v>0</v>
      </c>
      <c r="Q907" s="179">
        <v>0</v>
      </c>
      <c r="R907" s="179">
        <f>Q907*H907</f>
        <v>0</v>
      </c>
      <c r="S907" s="179">
        <v>0</v>
      </c>
      <c r="T907" s="180">
        <f>S907*H907</f>
        <v>0</v>
      </c>
      <c r="AR907" s="24" t="s">
        <v>143</v>
      </c>
      <c r="AT907" s="24" t="s">
        <v>138</v>
      </c>
      <c r="AU907" s="24" t="s">
        <v>79</v>
      </c>
      <c r="AY907" s="24" t="s">
        <v>136</v>
      </c>
      <c r="BE907" s="181">
        <f>IF(N907="základní",J907,0)</f>
        <v>0</v>
      </c>
      <c r="BF907" s="181">
        <f>IF(N907="snížená",J907,0)</f>
        <v>0</v>
      </c>
      <c r="BG907" s="181">
        <f>IF(N907="zákl. přenesená",J907,0)</f>
        <v>0</v>
      </c>
      <c r="BH907" s="181">
        <f>IF(N907="sníž. přenesená",J907,0)</f>
        <v>0</v>
      </c>
      <c r="BI907" s="181">
        <f>IF(N907="nulová",J907,0)</f>
        <v>0</v>
      </c>
      <c r="BJ907" s="24" t="s">
        <v>79</v>
      </c>
      <c r="BK907" s="181">
        <f>ROUND(I907*H907,2)</f>
        <v>0</v>
      </c>
      <c r="BL907" s="24" t="s">
        <v>143</v>
      </c>
      <c r="BM907" s="24" t="s">
        <v>1001</v>
      </c>
    </row>
    <row r="908" spans="2:65" s="1" customFormat="1" ht="27" x14ac:dyDescent="0.3">
      <c r="B908" s="41"/>
      <c r="D908" s="183" t="s">
        <v>406</v>
      </c>
      <c r="F908" s="223" t="s">
        <v>1002</v>
      </c>
      <c r="H908" s="317"/>
      <c r="I908" s="224"/>
      <c r="L908" s="41"/>
      <c r="M908" s="225"/>
      <c r="N908" s="42"/>
      <c r="O908" s="42"/>
      <c r="P908" s="42"/>
      <c r="Q908" s="42"/>
      <c r="R908" s="42"/>
      <c r="S908" s="42"/>
      <c r="T908" s="70"/>
      <c r="AT908" s="24" t="s">
        <v>406</v>
      </c>
      <c r="AU908" s="24" t="s">
        <v>79</v>
      </c>
    </row>
    <row r="909" spans="2:65" s="10" customFormat="1" ht="37.35" customHeight="1" x14ac:dyDescent="0.35">
      <c r="B909" s="156"/>
      <c r="D909" s="157" t="s">
        <v>70</v>
      </c>
      <c r="E909" s="158" t="s">
        <v>1003</v>
      </c>
      <c r="F909" s="158" t="s">
        <v>1004</v>
      </c>
      <c r="H909" s="384"/>
      <c r="I909" s="159"/>
      <c r="J909" s="160">
        <f>BK909</f>
        <v>0</v>
      </c>
      <c r="L909" s="156"/>
      <c r="M909" s="161"/>
      <c r="N909" s="162"/>
      <c r="O909" s="162"/>
      <c r="P909" s="163">
        <f>SUM(P910:P911)</f>
        <v>0</v>
      </c>
      <c r="Q909" s="162"/>
      <c r="R909" s="163">
        <f>SUM(R910:R911)</f>
        <v>0</v>
      </c>
      <c r="S909" s="162"/>
      <c r="T909" s="164">
        <f>SUM(T910:T911)</f>
        <v>0</v>
      </c>
      <c r="AR909" s="157" t="s">
        <v>79</v>
      </c>
      <c r="AT909" s="165" t="s">
        <v>70</v>
      </c>
      <c r="AU909" s="165" t="s">
        <v>71</v>
      </c>
      <c r="AY909" s="157" t="s">
        <v>136</v>
      </c>
      <c r="BK909" s="166">
        <f>SUM(BK910:BK911)</f>
        <v>0</v>
      </c>
    </row>
    <row r="910" spans="2:65" s="1" customFormat="1" ht="25.5" customHeight="1" x14ac:dyDescent="0.3">
      <c r="B910" s="169"/>
      <c r="C910" s="170" t="s">
        <v>1005</v>
      </c>
      <c r="D910" s="170" t="s">
        <v>138</v>
      </c>
      <c r="E910" s="171" t="s">
        <v>1004</v>
      </c>
      <c r="F910" s="172" t="s">
        <v>1006</v>
      </c>
      <c r="G910" s="173" t="s">
        <v>554</v>
      </c>
      <c r="H910" s="385">
        <v>0</v>
      </c>
      <c r="I910" s="175">
        <v>0</v>
      </c>
      <c r="J910" s="176">
        <f>ROUND(I910*H910,2)</f>
        <v>0</v>
      </c>
      <c r="K910" s="172" t="s">
        <v>5</v>
      </c>
      <c r="L910" s="41"/>
      <c r="M910" s="177" t="s">
        <v>5</v>
      </c>
      <c r="N910" s="178" t="s">
        <v>42</v>
      </c>
      <c r="O910" s="42"/>
      <c r="P910" s="179">
        <f>O910*H910</f>
        <v>0</v>
      </c>
      <c r="Q910" s="179">
        <v>0</v>
      </c>
      <c r="R910" s="179">
        <f>Q910*H910</f>
        <v>0</v>
      </c>
      <c r="S910" s="179">
        <v>0</v>
      </c>
      <c r="T910" s="180">
        <f>S910*H910</f>
        <v>0</v>
      </c>
      <c r="AR910" s="24" t="s">
        <v>143</v>
      </c>
      <c r="AT910" s="24" t="s">
        <v>138</v>
      </c>
      <c r="AU910" s="24" t="s">
        <v>79</v>
      </c>
      <c r="AY910" s="24" t="s">
        <v>136</v>
      </c>
      <c r="BE910" s="181">
        <f>IF(N910="základní",J910,0)</f>
        <v>0</v>
      </c>
      <c r="BF910" s="181">
        <f>IF(N910="snížená",J910,0)</f>
        <v>0</v>
      </c>
      <c r="BG910" s="181">
        <f>IF(N910="zákl. přenesená",J910,0)</f>
        <v>0</v>
      </c>
      <c r="BH910" s="181">
        <f>IF(N910="sníž. přenesená",J910,0)</f>
        <v>0</v>
      </c>
      <c r="BI910" s="181">
        <f>IF(N910="nulová",J910,0)</f>
        <v>0</v>
      </c>
      <c r="BJ910" s="24" t="s">
        <v>79</v>
      </c>
      <c r="BK910" s="181">
        <f>ROUND(I910*H910,2)</f>
        <v>0</v>
      </c>
      <c r="BL910" s="24" t="s">
        <v>143</v>
      </c>
      <c r="BM910" s="24" t="s">
        <v>1007</v>
      </c>
    </row>
    <row r="911" spans="2:65" s="1" customFormat="1" ht="81" x14ac:dyDescent="0.3">
      <c r="B911" s="41"/>
      <c r="D911" s="183" t="s">
        <v>406</v>
      </c>
      <c r="F911" s="223" t="s">
        <v>1008</v>
      </c>
      <c r="I911" s="224"/>
      <c r="L911" s="41"/>
      <c r="M911" s="227"/>
      <c r="N911" s="228"/>
      <c r="O911" s="228"/>
      <c r="P911" s="228"/>
      <c r="Q911" s="228"/>
      <c r="R911" s="228"/>
      <c r="S911" s="228"/>
      <c r="T911" s="229"/>
      <c r="AT911" s="24" t="s">
        <v>406</v>
      </c>
      <c r="AU911" s="24" t="s">
        <v>79</v>
      </c>
    </row>
    <row r="912" spans="2:65" s="1" customFormat="1" ht="6.95" customHeight="1" x14ac:dyDescent="0.3">
      <c r="B912" s="56"/>
      <c r="C912" s="57"/>
      <c r="D912" s="57"/>
      <c r="E912" s="57"/>
      <c r="F912" s="57"/>
      <c r="G912" s="57"/>
      <c r="H912" s="57"/>
      <c r="I912" s="123"/>
      <c r="J912" s="57"/>
      <c r="K912" s="57"/>
      <c r="L912" s="41"/>
    </row>
  </sheetData>
  <autoFilter ref="C100:K911" xr:uid="{00000000-0009-0000-0000-000001000000}"/>
  <mergeCells count="10">
    <mergeCell ref="J51:J52"/>
    <mergeCell ref="E91:H91"/>
    <mergeCell ref="E93:H93"/>
    <mergeCell ref="G1:H1"/>
    <mergeCell ref="L2:V2"/>
    <mergeCell ref="E7:H7"/>
    <mergeCell ref="E9:H9"/>
    <mergeCell ref="E24:H24"/>
    <mergeCell ref="E45:H45"/>
    <mergeCell ref="E47:H47"/>
  </mergeCells>
  <hyperlinks>
    <hyperlink ref="F1:G1" location="C2" display="1) Krycí list soupisu" xr:uid="{00000000-0004-0000-0100-000000000000}"/>
    <hyperlink ref="G1:H1" location="C54" display="2) Rekapitulace" xr:uid="{00000000-0004-0000-0100-000001000000}"/>
    <hyperlink ref="J1" location="C100" display="3) Soupis prací" xr:uid="{00000000-0004-0000-0100-000002000000}"/>
    <hyperlink ref="L1:V1" location="'Rekapitulace stavby'!C2" display="Rekapitulace stavby" xr:uid="{00000000-0004-0000-0100-000003000000}"/>
  </hyperlinks>
  <pageMargins left="0.58333330000000005" right="0.58333330000000005" top="0.58333330000000005" bottom="0.58333330000000005" header="0" footer="0"/>
  <pageSetup paperSize="9" scale="66" fitToHeight="100" orientation="portrait" blackAndWhite="1" r:id="rId1"/>
  <headerFooter>
    <oddFooter>&amp;CStrana &amp;P z &amp;N</oddFooter>
  </headerFooter>
  <ignoredErrors>
    <ignoredError sqref="H117:H126 H209 H228 H247 H822:H830 H104:H114 H249:H255 H128:H129 H131:H137 H225:H226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16"/>
  <sheetViews>
    <sheetView showGridLines="0" topLeftCell="A169" zoomScaleNormal="100" workbookViewId="0"/>
  </sheetViews>
  <sheetFormatPr defaultRowHeight="13.5" x14ac:dyDescent="0.3"/>
  <cols>
    <col min="1" max="1" width="8.33203125" style="230" customWidth="1"/>
    <col min="2" max="2" width="1.6640625" style="230" customWidth="1"/>
    <col min="3" max="4" width="5" style="230" customWidth="1"/>
    <col min="5" max="5" width="11.6640625" style="230" customWidth="1"/>
    <col min="6" max="6" width="9.1640625" style="230" customWidth="1"/>
    <col min="7" max="7" width="5" style="230" customWidth="1"/>
    <col min="8" max="8" width="77.83203125" style="230" customWidth="1"/>
    <col min="9" max="10" width="20" style="230" customWidth="1"/>
    <col min="11" max="11" width="1.6640625" style="230" customWidth="1"/>
  </cols>
  <sheetData>
    <row r="1" spans="2:11" ht="37.5" customHeight="1" x14ac:dyDescent="0.3"/>
    <row r="2" spans="2:11" ht="7.5" customHeight="1" x14ac:dyDescent="0.3">
      <c r="B2" s="231"/>
      <c r="C2" s="232"/>
      <c r="D2" s="232"/>
      <c r="E2" s="232"/>
      <c r="F2" s="232"/>
      <c r="G2" s="232"/>
      <c r="H2" s="232"/>
      <c r="I2" s="232"/>
      <c r="J2" s="232"/>
      <c r="K2" s="233"/>
    </row>
    <row r="3" spans="2:11" s="15" customFormat="1" ht="45" customHeight="1" x14ac:dyDescent="0.3">
      <c r="B3" s="234"/>
      <c r="C3" s="482" t="s">
        <v>1009</v>
      </c>
      <c r="D3" s="482"/>
      <c r="E3" s="482"/>
      <c r="F3" s="482"/>
      <c r="G3" s="482"/>
      <c r="H3" s="482"/>
      <c r="I3" s="482"/>
      <c r="J3" s="482"/>
      <c r="K3" s="235"/>
    </row>
    <row r="4" spans="2:11" ht="25.5" customHeight="1" x14ac:dyDescent="0.3">
      <c r="B4" s="236"/>
      <c r="C4" s="489" t="s">
        <v>1010</v>
      </c>
      <c r="D4" s="489"/>
      <c r="E4" s="489"/>
      <c r="F4" s="489"/>
      <c r="G4" s="489"/>
      <c r="H4" s="489"/>
      <c r="I4" s="489"/>
      <c r="J4" s="489"/>
      <c r="K4" s="237"/>
    </row>
    <row r="5" spans="2:11" ht="5.25" customHeight="1" x14ac:dyDescent="0.3">
      <c r="B5" s="236"/>
      <c r="C5" s="238"/>
      <c r="D5" s="238"/>
      <c r="E5" s="238"/>
      <c r="F5" s="238"/>
      <c r="G5" s="238"/>
      <c r="H5" s="238"/>
      <c r="I5" s="238"/>
      <c r="J5" s="238"/>
      <c r="K5" s="237"/>
    </row>
    <row r="6" spans="2:11" ht="15" customHeight="1" x14ac:dyDescent="0.3">
      <c r="B6" s="236"/>
      <c r="C6" s="485" t="s">
        <v>1011</v>
      </c>
      <c r="D6" s="485"/>
      <c r="E6" s="485"/>
      <c r="F6" s="485"/>
      <c r="G6" s="485"/>
      <c r="H6" s="485"/>
      <c r="I6" s="485"/>
      <c r="J6" s="485"/>
      <c r="K6" s="237"/>
    </row>
    <row r="7" spans="2:11" ht="15" customHeight="1" x14ac:dyDescent="0.3">
      <c r="B7" s="240"/>
      <c r="C7" s="485" t="s">
        <v>1012</v>
      </c>
      <c r="D7" s="485"/>
      <c r="E7" s="485"/>
      <c r="F7" s="485"/>
      <c r="G7" s="485"/>
      <c r="H7" s="485"/>
      <c r="I7" s="485"/>
      <c r="J7" s="485"/>
      <c r="K7" s="237"/>
    </row>
    <row r="8" spans="2:11" ht="12.75" customHeight="1" x14ac:dyDescent="0.3">
      <c r="B8" s="240"/>
      <c r="C8" s="239"/>
      <c r="D8" s="239"/>
      <c r="E8" s="239"/>
      <c r="F8" s="239"/>
      <c r="G8" s="239"/>
      <c r="H8" s="239"/>
      <c r="I8" s="239"/>
      <c r="J8" s="239"/>
      <c r="K8" s="237"/>
    </row>
    <row r="9" spans="2:11" ht="15" customHeight="1" x14ac:dyDescent="0.3">
      <c r="B9" s="240"/>
      <c r="C9" s="485" t="s">
        <v>1013</v>
      </c>
      <c r="D9" s="485"/>
      <c r="E9" s="485"/>
      <c r="F9" s="485"/>
      <c r="G9" s="485"/>
      <c r="H9" s="485"/>
      <c r="I9" s="485"/>
      <c r="J9" s="485"/>
      <c r="K9" s="237"/>
    </row>
    <row r="10" spans="2:11" ht="15" customHeight="1" x14ac:dyDescent="0.3">
      <c r="B10" s="240"/>
      <c r="C10" s="239"/>
      <c r="D10" s="485" t="s">
        <v>1014</v>
      </c>
      <c r="E10" s="485"/>
      <c r="F10" s="485"/>
      <c r="G10" s="485"/>
      <c r="H10" s="485"/>
      <c r="I10" s="485"/>
      <c r="J10" s="485"/>
      <c r="K10" s="237"/>
    </row>
    <row r="11" spans="2:11" ht="15" customHeight="1" x14ac:dyDescent="0.3">
      <c r="B11" s="240"/>
      <c r="C11" s="241"/>
      <c r="D11" s="485" t="s">
        <v>1015</v>
      </c>
      <c r="E11" s="485"/>
      <c r="F11" s="485"/>
      <c r="G11" s="485"/>
      <c r="H11" s="485"/>
      <c r="I11" s="485"/>
      <c r="J11" s="485"/>
      <c r="K11" s="237"/>
    </row>
    <row r="12" spans="2:11" ht="12.75" customHeight="1" x14ac:dyDescent="0.3">
      <c r="B12" s="240"/>
      <c r="C12" s="241"/>
      <c r="D12" s="241"/>
      <c r="E12" s="241"/>
      <c r="F12" s="241"/>
      <c r="G12" s="241"/>
      <c r="H12" s="241"/>
      <c r="I12" s="241"/>
      <c r="J12" s="241"/>
      <c r="K12" s="237"/>
    </row>
    <row r="13" spans="2:11" ht="15" customHeight="1" x14ac:dyDescent="0.3">
      <c r="B13" s="240"/>
      <c r="C13" s="241"/>
      <c r="D13" s="485" t="s">
        <v>1016</v>
      </c>
      <c r="E13" s="485"/>
      <c r="F13" s="485"/>
      <c r="G13" s="485"/>
      <c r="H13" s="485"/>
      <c r="I13" s="485"/>
      <c r="J13" s="485"/>
      <c r="K13" s="237"/>
    </row>
    <row r="14" spans="2:11" ht="15" customHeight="1" x14ac:dyDescent="0.3">
      <c r="B14" s="240"/>
      <c r="C14" s="241"/>
      <c r="D14" s="485" t="s">
        <v>1017</v>
      </c>
      <c r="E14" s="485"/>
      <c r="F14" s="485"/>
      <c r="G14" s="485"/>
      <c r="H14" s="485"/>
      <c r="I14" s="485"/>
      <c r="J14" s="485"/>
      <c r="K14" s="237"/>
    </row>
    <row r="15" spans="2:11" ht="15" customHeight="1" x14ac:dyDescent="0.3">
      <c r="B15" s="240"/>
      <c r="C15" s="241"/>
      <c r="D15" s="485" t="s">
        <v>1018</v>
      </c>
      <c r="E15" s="485"/>
      <c r="F15" s="485"/>
      <c r="G15" s="485"/>
      <c r="H15" s="485"/>
      <c r="I15" s="485"/>
      <c r="J15" s="485"/>
      <c r="K15" s="237"/>
    </row>
    <row r="16" spans="2:11" ht="15" customHeight="1" x14ac:dyDescent="0.3">
      <c r="B16" s="240"/>
      <c r="C16" s="241"/>
      <c r="D16" s="241"/>
      <c r="E16" s="242" t="s">
        <v>78</v>
      </c>
      <c r="F16" s="485" t="s">
        <v>1019</v>
      </c>
      <c r="G16" s="485"/>
      <c r="H16" s="485"/>
      <c r="I16" s="485"/>
      <c r="J16" s="485"/>
      <c r="K16" s="237"/>
    </row>
    <row r="17" spans="2:11" ht="15" customHeight="1" x14ac:dyDescent="0.3">
      <c r="B17" s="240"/>
      <c r="C17" s="241"/>
      <c r="D17" s="241"/>
      <c r="E17" s="242" t="s">
        <v>1020</v>
      </c>
      <c r="F17" s="485" t="s">
        <v>1021</v>
      </c>
      <c r="G17" s="485"/>
      <c r="H17" s="485"/>
      <c r="I17" s="485"/>
      <c r="J17" s="485"/>
      <c r="K17" s="237"/>
    </row>
    <row r="18" spans="2:11" ht="15" customHeight="1" x14ac:dyDescent="0.3">
      <c r="B18" s="240"/>
      <c r="C18" s="241"/>
      <c r="D18" s="241"/>
      <c r="E18" s="242" t="s">
        <v>1022</v>
      </c>
      <c r="F18" s="485" t="s">
        <v>1023</v>
      </c>
      <c r="G18" s="485"/>
      <c r="H18" s="485"/>
      <c r="I18" s="485"/>
      <c r="J18" s="485"/>
      <c r="K18" s="237"/>
    </row>
    <row r="19" spans="2:11" ht="15" customHeight="1" x14ac:dyDescent="0.3">
      <c r="B19" s="240"/>
      <c r="C19" s="241"/>
      <c r="D19" s="241"/>
      <c r="E19" s="242" t="s">
        <v>1024</v>
      </c>
      <c r="F19" s="485" t="s">
        <v>1025</v>
      </c>
      <c r="G19" s="485"/>
      <c r="H19" s="485"/>
      <c r="I19" s="485"/>
      <c r="J19" s="485"/>
      <c r="K19" s="237"/>
    </row>
    <row r="20" spans="2:11" ht="15" customHeight="1" x14ac:dyDescent="0.3">
      <c r="B20" s="240"/>
      <c r="C20" s="241"/>
      <c r="D20" s="241"/>
      <c r="E20" s="242" t="s">
        <v>1026</v>
      </c>
      <c r="F20" s="485" t="s">
        <v>1027</v>
      </c>
      <c r="G20" s="485"/>
      <c r="H20" s="485"/>
      <c r="I20" s="485"/>
      <c r="J20" s="485"/>
      <c r="K20" s="237"/>
    </row>
    <row r="21" spans="2:11" ht="15" customHeight="1" x14ac:dyDescent="0.3">
      <c r="B21" s="240"/>
      <c r="C21" s="241"/>
      <c r="D21" s="241"/>
      <c r="E21" s="242" t="s">
        <v>1028</v>
      </c>
      <c r="F21" s="485" t="s">
        <v>1029</v>
      </c>
      <c r="G21" s="485"/>
      <c r="H21" s="485"/>
      <c r="I21" s="485"/>
      <c r="J21" s="485"/>
      <c r="K21" s="237"/>
    </row>
    <row r="22" spans="2:11" ht="12.75" customHeight="1" x14ac:dyDescent="0.3">
      <c r="B22" s="240"/>
      <c r="C22" s="241"/>
      <c r="D22" s="241"/>
      <c r="E22" s="241"/>
      <c r="F22" s="241"/>
      <c r="G22" s="241"/>
      <c r="H22" s="241"/>
      <c r="I22" s="241"/>
      <c r="J22" s="241"/>
      <c r="K22" s="237"/>
    </row>
    <row r="23" spans="2:11" ht="15" customHeight="1" x14ac:dyDescent="0.3">
      <c r="B23" s="240"/>
      <c r="C23" s="485" t="s">
        <v>1030</v>
      </c>
      <c r="D23" s="485"/>
      <c r="E23" s="485"/>
      <c r="F23" s="485"/>
      <c r="G23" s="485"/>
      <c r="H23" s="485"/>
      <c r="I23" s="485"/>
      <c r="J23" s="485"/>
      <c r="K23" s="237"/>
    </row>
    <row r="24" spans="2:11" ht="15" customHeight="1" x14ac:dyDescent="0.3">
      <c r="B24" s="240"/>
      <c r="C24" s="485" t="s">
        <v>1031</v>
      </c>
      <c r="D24" s="485"/>
      <c r="E24" s="485"/>
      <c r="F24" s="485"/>
      <c r="G24" s="485"/>
      <c r="H24" s="485"/>
      <c r="I24" s="485"/>
      <c r="J24" s="485"/>
      <c r="K24" s="237"/>
    </row>
    <row r="25" spans="2:11" ht="15" customHeight="1" x14ac:dyDescent="0.3">
      <c r="B25" s="240"/>
      <c r="C25" s="239"/>
      <c r="D25" s="485" t="s">
        <v>1032</v>
      </c>
      <c r="E25" s="485"/>
      <c r="F25" s="485"/>
      <c r="G25" s="485"/>
      <c r="H25" s="485"/>
      <c r="I25" s="485"/>
      <c r="J25" s="485"/>
      <c r="K25" s="237"/>
    </row>
    <row r="26" spans="2:11" ht="15" customHeight="1" x14ac:dyDescent="0.3">
      <c r="B26" s="240"/>
      <c r="C26" s="241"/>
      <c r="D26" s="485" t="s">
        <v>1033</v>
      </c>
      <c r="E26" s="485"/>
      <c r="F26" s="485"/>
      <c r="G26" s="485"/>
      <c r="H26" s="485"/>
      <c r="I26" s="485"/>
      <c r="J26" s="485"/>
      <c r="K26" s="237"/>
    </row>
    <row r="27" spans="2:11" ht="12.75" customHeight="1" x14ac:dyDescent="0.3">
      <c r="B27" s="240"/>
      <c r="C27" s="241"/>
      <c r="D27" s="241"/>
      <c r="E27" s="241"/>
      <c r="F27" s="241"/>
      <c r="G27" s="241"/>
      <c r="H27" s="241"/>
      <c r="I27" s="241"/>
      <c r="J27" s="241"/>
      <c r="K27" s="237"/>
    </row>
    <row r="28" spans="2:11" ht="15" customHeight="1" x14ac:dyDescent="0.3">
      <c r="B28" s="240"/>
      <c r="C28" s="241"/>
      <c r="D28" s="485" t="s">
        <v>1034</v>
      </c>
      <c r="E28" s="485"/>
      <c r="F28" s="485"/>
      <c r="G28" s="485"/>
      <c r="H28" s="485"/>
      <c r="I28" s="485"/>
      <c r="J28" s="485"/>
      <c r="K28" s="237"/>
    </row>
    <row r="29" spans="2:11" ht="15" customHeight="1" x14ac:dyDescent="0.3">
      <c r="B29" s="240"/>
      <c r="C29" s="241"/>
      <c r="D29" s="485" t="s">
        <v>1035</v>
      </c>
      <c r="E29" s="485"/>
      <c r="F29" s="485"/>
      <c r="G29" s="485"/>
      <c r="H29" s="485"/>
      <c r="I29" s="485"/>
      <c r="J29" s="485"/>
      <c r="K29" s="237"/>
    </row>
    <row r="30" spans="2:11" ht="12.75" customHeight="1" x14ac:dyDescent="0.3">
      <c r="B30" s="240"/>
      <c r="C30" s="241"/>
      <c r="D30" s="241"/>
      <c r="E30" s="241"/>
      <c r="F30" s="241"/>
      <c r="G30" s="241"/>
      <c r="H30" s="241"/>
      <c r="I30" s="241"/>
      <c r="J30" s="241"/>
      <c r="K30" s="237"/>
    </row>
    <row r="31" spans="2:11" ht="15" customHeight="1" x14ac:dyDescent="0.3">
      <c r="B31" s="240"/>
      <c r="C31" s="241"/>
      <c r="D31" s="485" t="s">
        <v>1036</v>
      </c>
      <c r="E31" s="485"/>
      <c r="F31" s="485"/>
      <c r="G31" s="485"/>
      <c r="H31" s="485"/>
      <c r="I31" s="485"/>
      <c r="J31" s="485"/>
      <c r="K31" s="237"/>
    </row>
    <row r="32" spans="2:11" ht="15" customHeight="1" x14ac:dyDescent="0.3">
      <c r="B32" s="240"/>
      <c r="C32" s="241"/>
      <c r="D32" s="485" t="s">
        <v>1037</v>
      </c>
      <c r="E32" s="485"/>
      <c r="F32" s="485"/>
      <c r="G32" s="485"/>
      <c r="H32" s="485"/>
      <c r="I32" s="485"/>
      <c r="J32" s="485"/>
      <c r="K32" s="237"/>
    </row>
    <row r="33" spans="2:11" ht="15" customHeight="1" x14ac:dyDescent="0.3">
      <c r="B33" s="240"/>
      <c r="C33" s="241"/>
      <c r="D33" s="485" t="s">
        <v>1038</v>
      </c>
      <c r="E33" s="485"/>
      <c r="F33" s="485"/>
      <c r="G33" s="485"/>
      <c r="H33" s="485"/>
      <c r="I33" s="485"/>
      <c r="J33" s="485"/>
      <c r="K33" s="237"/>
    </row>
    <row r="34" spans="2:11" ht="15" customHeight="1" x14ac:dyDescent="0.3">
      <c r="B34" s="240"/>
      <c r="C34" s="241"/>
      <c r="D34" s="239"/>
      <c r="E34" s="243" t="s">
        <v>121</v>
      </c>
      <c r="F34" s="239"/>
      <c r="G34" s="485" t="s">
        <v>1039</v>
      </c>
      <c r="H34" s="485"/>
      <c r="I34" s="485"/>
      <c r="J34" s="485"/>
      <c r="K34" s="237"/>
    </row>
    <row r="35" spans="2:11" ht="30.75" customHeight="1" x14ac:dyDescent="0.3">
      <c r="B35" s="240"/>
      <c r="C35" s="241"/>
      <c r="D35" s="239"/>
      <c r="E35" s="243" t="s">
        <v>1040</v>
      </c>
      <c r="F35" s="239"/>
      <c r="G35" s="485" t="s">
        <v>1041</v>
      </c>
      <c r="H35" s="485"/>
      <c r="I35" s="485"/>
      <c r="J35" s="485"/>
      <c r="K35" s="237"/>
    </row>
    <row r="36" spans="2:11" ht="15" customHeight="1" x14ac:dyDescent="0.3">
      <c r="B36" s="240"/>
      <c r="C36" s="241"/>
      <c r="D36" s="239"/>
      <c r="E36" s="243" t="s">
        <v>52</v>
      </c>
      <c r="F36" s="239"/>
      <c r="G36" s="485" t="s">
        <v>1042</v>
      </c>
      <c r="H36" s="485"/>
      <c r="I36" s="485"/>
      <c r="J36" s="485"/>
      <c r="K36" s="237"/>
    </row>
    <row r="37" spans="2:11" ht="15" customHeight="1" x14ac:dyDescent="0.3">
      <c r="B37" s="240"/>
      <c r="C37" s="241"/>
      <c r="D37" s="239"/>
      <c r="E37" s="243" t="s">
        <v>122</v>
      </c>
      <c r="F37" s="239"/>
      <c r="G37" s="485" t="s">
        <v>1043</v>
      </c>
      <c r="H37" s="485"/>
      <c r="I37" s="485"/>
      <c r="J37" s="485"/>
      <c r="K37" s="237"/>
    </row>
    <row r="38" spans="2:11" ht="15" customHeight="1" x14ac:dyDescent="0.3">
      <c r="B38" s="240"/>
      <c r="C38" s="241"/>
      <c r="D38" s="239"/>
      <c r="E38" s="243" t="s">
        <v>123</v>
      </c>
      <c r="F38" s="239"/>
      <c r="G38" s="485" t="s">
        <v>1044</v>
      </c>
      <c r="H38" s="485"/>
      <c r="I38" s="485"/>
      <c r="J38" s="485"/>
      <c r="K38" s="237"/>
    </row>
    <row r="39" spans="2:11" ht="15" customHeight="1" x14ac:dyDescent="0.3">
      <c r="B39" s="240"/>
      <c r="C39" s="241"/>
      <c r="D39" s="239"/>
      <c r="E39" s="243" t="s">
        <v>124</v>
      </c>
      <c r="F39" s="239"/>
      <c r="G39" s="485" t="s">
        <v>1045</v>
      </c>
      <c r="H39" s="485"/>
      <c r="I39" s="485"/>
      <c r="J39" s="485"/>
      <c r="K39" s="237"/>
    </row>
    <row r="40" spans="2:11" ht="15" customHeight="1" x14ac:dyDescent="0.3">
      <c r="B40" s="240"/>
      <c r="C40" s="241"/>
      <c r="D40" s="239"/>
      <c r="E40" s="243" t="s">
        <v>1046</v>
      </c>
      <c r="F40" s="239"/>
      <c r="G40" s="485" t="s">
        <v>1047</v>
      </c>
      <c r="H40" s="485"/>
      <c r="I40" s="485"/>
      <c r="J40" s="485"/>
      <c r="K40" s="237"/>
    </row>
    <row r="41" spans="2:11" ht="15" customHeight="1" x14ac:dyDescent="0.3">
      <c r="B41" s="240"/>
      <c r="C41" s="241"/>
      <c r="D41" s="239"/>
      <c r="E41" s="243"/>
      <c r="F41" s="239"/>
      <c r="G41" s="485" t="s">
        <v>1048</v>
      </c>
      <c r="H41" s="485"/>
      <c r="I41" s="485"/>
      <c r="J41" s="485"/>
      <c r="K41" s="237"/>
    </row>
    <row r="42" spans="2:11" ht="15" customHeight="1" x14ac:dyDescent="0.3">
      <c r="B42" s="240"/>
      <c r="C42" s="241"/>
      <c r="D42" s="239"/>
      <c r="E42" s="243" t="s">
        <v>1049</v>
      </c>
      <c r="F42" s="239"/>
      <c r="G42" s="485" t="s">
        <v>1050</v>
      </c>
      <c r="H42" s="485"/>
      <c r="I42" s="485"/>
      <c r="J42" s="485"/>
      <c r="K42" s="237"/>
    </row>
    <row r="43" spans="2:11" ht="15" customHeight="1" x14ac:dyDescent="0.3">
      <c r="B43" s="240"/>
      <c r="C43" s="241"/>
      <c r="D43" s="239"/>
      <c r="E43" s="243" t="s">
        <v>126</v>
      </c>
      <c r="F43" s="239"/>
      <c r="G43" s="485" t="s">
        <v>1051</v>
      </c>
      <c r="H43" s="485"/>
      <c r="I43" s="485"/>
      <c r="J43" s="485"/>
      <c r="K43" s="237"/>
    </row>
    <row r="44" spans="2:11" ht="12.75" customHeight="1" x14ac:dyDescent="0.3">
      <c r="B44" s="240"/>
      <c r="C44" s="241"/>
      <c r="D44" s="239"/>
      <c r="E44" s="239"/>
      <c r="F44" s="239"/>
      <c r="G44" s="239"/>
      <c r="H44" s="239"/>
      <c r="I44" s="239"/>
      <c r="J44" s="239"/>
      <c r="K44" s="237"/>
    </row>
    <row r="45" spans="2:11" ht="15" customHeight="1" x14ac:dyDescent="0.3">
      <c r="B45" s="240"/>
      <c r="C45" s="241"/>
      <c r="D45" s="485" t="s">
        <v>1052</v>
      </c>
      <c r="E45" s="485"/>
      <c r="F45" s="485"/>
      <c r="G45" s="485"/>
      <c r="H45" s="485"/>
      <c r="I45" s="485"/>
      <c r="J45" s="485"/>
      <c r="K45" s="237"/>
    </row>
    <row r="46" spans="2:11" ht="15" customHeight="1" x14ac:dyDescent="0.3">
      <c r="B46" s="240"/>
      <c r="C46" s="241"/>
      <c r="D46" s="241"/>
      <c r="E46" s="485" t="s">
        <v>1053</v>
      </c>
      <c r="F46" s="485"/>
      <c r="G46" s="485"/>
      <c r="H46" s="485"/>
      <c r="I46" s="485"/>
      <c r="J46" s="485"/>
      <c r="K46" s="237"/>
    </row>
    <row r="47" spans="2:11" ht="15" customHeight="1" x14ac:dyDescent="0.3">
      <c r="B47" s="240"/>
      <c r="C47" s="241"/>
      <c r="D47" s="241"/>
      <c r="E47" s="485" t="s">
        <v>1054</v>
      </c>
      <c r="F47" s="485"/>
      <c r="G47" s="485"/>
      <c r="H47" s="485"/>
      <c r="I47" s="485"/>
      <c r="J47" s="485"/>
      <c r="K47" s="237"/>
    </row>
    <row r="48" spans="2:11" ht="15" customHeight="1" x14ac:dyDescent="0.3">
      <c r="B48" s="240"/>
      <c r="C48" s="241"/>
      <c r="D48" s="241"/>
      <c r="E48" s="485" t="s">
        <v>1055</v>
      </c>
      <c r="F48" s="485"/>
      <c r="G48" s="485"/>
      <c r="H48" s="485"/>
      <c r="I48" s="485"/>
      <c r="J48" s="485"/>
      <c r="K48" s="237"/>
    </row>
    <row r="49" spans="2:11" ht="15" customHeight="1" x14ac:dyDescent="0.3">
      <c r="B49" s="240"/>
      <c r="C49" s="241"/>
      <c r="D49" s="485" t="s">
        <v>1056</v>
      </c>
      <c r="E49" s="485"/>
      <c r="F49" s="485"/>
      <c r="G49" s="485"/>
      <c r="H49" s="485"/>
      <c r="I49" s="485"/>
      <c r="J49" s="485"/>
      <c r="K49" s="237"/>
    </row>
    <row r="50" spans="2:11" ht="25.5" customHeight="1" x14ac:dyDescent="0.3">
      <c r="B50" s="236"/>
      <c r="C50" s="489" t="s">
        <v>1057</v>
      </c>
      <c r="D50" s="489"/>
      <c r="E50" s="489"/>
      <c r="F50" s="489"/>
      <c r="G50" s="489"/>
      <c r="H50" s="489"/>
      <c r="I50" s="489"/>
      <c r="J50" s="489"/>
      <c r="K50" s="237"/>
    </row>
    <row r="51" spans="2:11" ht="5.25" customHeight="1" x14ac:dyDescent="0.3">
      <c r="B51" s="236"/>
      <c r="C51" s="238"/>
      <c r="D51" s="238"/>
      <c r="E51" s="238"/>
      <c r="F51" s="238"/>
      <c r="G51" s="238"/>
      <c r="H51" s="238"/>
      <c r="I51" s="238"/>
      <c r="J51" s="238"/>
      <c r="K51" s="237"/>
    </row>
    <row r="52" spans="2:11" ht="15" customHeight="1" x14ac:dyDescent="0.3">
      <c r="B52" s="236"/>
      <c r="C52" s="485" t="s">
        <v>1058</v>
      </c>
      <c r="D52" s="485"/>
      <c r="E52" s="485"/>
      <c r="F52" s="485"/>
      <c r="G52" s="485"/>
      <c r="H52" s="485"/>
      <c r="I52" s="485"/>
      <c r="J52" s="485"/>
      <c r="K52" s="237"/>
    </row>
    <row r="53" spans="2:11" ht="15" customHeight="1" x14ac:dyDescent="0.3">
      <c r="B53" s="236"/>
      <c r="C53" s="485" t="s">
        <v>1059</v>
      </c>
      <c r="D53" s="485"/>
      <c r="E53" s="485"/>
      <c r="F53" s="485"/>
      <c r="G53" s="485"/>
      <c r="H53" s="485"/>
      <c r="I53" s="485"/>
      <c r="J53" s="485"/>
      <c r="K53" s="237"/>
    </row>
    <row r="54" spans="2:11" ht="12.75" customHeight="1" x14ac:dyDescent="0.3">
      <c r="B54" s="236"/>
      <c r="C54" s="239"/>
      <c r="D54" s="239"/>
      <c r="E54" s="239"/>
      <c r="F54" s="239"/>
      <c r="G54" s="239"/>
      <c r="H54" s="239"/>
      <c r="I54" s="239"/>
      <c r="J54" s="239"/>
      <c r="K54" s="237"/>
    </row>
    <row r="55" spans="2:11" ht="15" customHeight="1" x14ac:dyDescent="0.3">
      <c r="B55" s="236"/>
      <c r="C55" s="485" t="s">
        <v>1060</v>
      </c>
      <c r="D55" s="485"/>
      <c r="E55" s="485"/>
      <c r="F55" s="485"/>
      <c r="G55" s="485"/>
      <c r="H55" s="485"/>
      <c r="I55" s="485"/>
      <c r="J55" s="485"/>
      <c r="K55" s="237"/>
    </row>
    <row r="56" spans="2:11" ht="15" customHeight="1" x14ac:dyDescent="0.3">
      <c r="B56" s="236"/>
      <c r="C56" s="241"/>
      <c r="D56" s="485" t="s">
        <v>1061</v>
      </c>
      <c r="E56" s="485"/>
      <c r="F56" s="485"/>
      <c r="G56" s="485"/>
      <c r="H56" s="485"/>
      <c r="I56" s="485"/>
      <c r="J56" s="485"/>
      <c r="K56" s="237"/>
    </row>
    <row r="57" spans="2:11" ht="15" customHeight="1" x14ac:dyDescent="0.3">
      <c r="B57" s="236"/>
      <c r="C57" s="241"/>
      <c r="D57" s="485" t="s">
        <v>1062</v>
      </c>
      <c r="E57" s="485"/>
      <c r="F57" s="485"/>
      <c r="G57" s="485"/>
      <c r="H57" s="485"/>
      <c r="I57" s="485"/>
      <c r="J57" s="485"/>
      <c r="K57" s="237"/>
    </row>
    <row r="58" spans="2:11" ht="15" customHeight="1" x14ac:dyDescent="0.3">
      <c r="B58" s="236"/>
      <c r="C58" s="241"/>
      <c r="D58" s="485" t="s">
        <v>1063</v>
      </c>
      <c r="E58" s="485"/>
      <c r="F58" s="485"/>
      <c r="G58" s="485"/>
      <c r="H58" s="485"/>
      <c r="I58" s="485"/>
      <c r="J58" s="485"/>
      <c r="K58" s="237"/>
    </row>
    <row r="59" spans="2:11" ht="15" customHeight="1" x14ac:dyDescent="0.3">
      <c r="B59" s="236"/>
      <c r="C59" s="241"/>
      <c r="D59" s="485" t="s">
        <v>1064</v>
      </c>
      <c r="E59" s="485"/>
      <c r="F59" s="485"/>
      <c r="G59" s="485"/>
      <c r="H59" s="485"/>
      <c r="I59" s="485"/>
      <c r="J59" s="485"/>
      <c r="K59" s="237"/>
    </row>
    <row r="60" spans="2:11" ht="15" customHeight="1" x14ac:dyDescent="0.3">
      <c r="B60" s="236"/>
      <c r="C60" s="241"/>
      <c r="D60" s="486" t="s">
        <v>1065</v>
      </c>
      <c r="E60" s="486"/>
      <c r="F60" s="486"/>
      <c r="G60" s="486"/>
      <c r="H60" s="486"/>
      <c r="I60" s="486"/>
      <c r="J60" s="486"/>
      <c r="K60" s="237"/>
    </row>
    <row r="61" spans="2:11" ht="15" customHeight="1" x14ac:dyDescent="0.3">
      <c r="B61" s="236"/>
      <c r="C61" s="241"/>
      <c r="D61" s="485" t="s">
        <v>1066</v>
      </c>
      <c r="E61" s="485"/>
      <c r="F61" s="485"/>
      <c r="G61" s="485"/>
      <c r="H61" s="485"/>
      <c r="I61" s="485"/>
      <c r="J61" s="485"/>
      <c r="K61" s="237"/>
    </row>
    <row r="62" spans="2:11" ht="12.75" customHeight="1" x14ac:dyDescent="0.3">
      <c r="B62" s="236"/>
      <c r="C62" s="241"/>
      <c r="D62" s="241"/>
      <c r="E62" s="244"/>
      <c r="F62" s="241"/>
      <c r="G62" s="241"/>
      <c r="H62" s="241"/>
      <c r="I62" s="241"/>
      <c r="J62" s="241"/>
      <c r="K62" s="237"/>
    </row>
    <row r="63" spans="2:11" ht="15" customHeight="1" x14ac:dyDescent="0.3">
      <c r="B63" s="236"/>
      <c r="C63" s="241"/>
      <c r="D63" s="485" t="s">
        <v>1067</v>
      </c>
      <c r="E63" s="485"/>
      <c r="F63" s="485"/>
      <c r="G63" s="485"/>
      <c r="H63" s="485"/>
      <c r="I63" s="485"/>
      <c r="J63" s="485"/>
      <c r="K63" s="237"/>
    </row>
    <row r="64" spans="2:11" ht="15" customHeight="1" x14ac:dyDescent="0.3">
      <c r="B64" s="236"/>
      <c r="C64" s="241"/>
      <c r="D64" s="486" t="s">
        <v>1068</v>
      </c>
      <c r="E64" s="486"/>
      <c r="F64" s="486"/>
      <c r="G64" s="486"/>
      <c r="H64" s="486"/>
      <c r="I64" s="486"/>
      <c r="J64" s="486"/>
      <c r="K64" s="237"/>
    </row>
    <row r="65" spans="2:11" ht="15" customHeight="1" x14ac:dyDescent="0.3">
      <c r="B65" s="236"/>
      <c r="C65" s="241"/>
      <c r="D65" s="485" t="s">
        <v>1069</v>
      </c>
      <c r="E65" s="485"/>
      <c r="F65" s="485"/>
      <c r="G65" s="485"/>
      <c r="H65" s="485"/>
      <c r="I65" s="485"/>
      <c r="J65" s="485"/>
      <c r="K65" s="237"/>
    </row>
    <row r="66" spans="2:11" ht="15" customHeight="1" x14ac:dyDescent="0.3">
      <c r="B66" s="236"/>
      <c r="C66" s="241"/>
      <c r="D66" s="485" t="s">
        <v>1070</v>
      </c>
      <c r="E66" s="485"/>
      <c r="F66" s="485"/>
      <c r="G66" s="485"/>
      <c r="H66" s="485"/>
      <c r="I66" s="485"/>
      <c r="J66" s="485"/>
      <c r="K66" s="237"/>
    </row>
    <row r="67" spans="2:11" ht="15" customHeight="1" x14ac:dyDescent="0.3">
      <c r="B67" s="236"/>
      <c r="C67" s="241"/>
      <c r="D67" s="485" t="s">
        <v>1071</v>
      </c>
      <c r="E67" s="485"/>
      <c r="F67" s="485"/>
      <c r="G67" s="485"/>
      <c r="H67" s="485"/>
      <c r="I67" s="485"/>
      <c r="J67" s="485"/>
      <c r="K67" s="237"/>
    </row>
    <row r="68" spans="2:11" ht="15" customHeight="1" x14ac:dyDescent="0.3">
      <c r="B68" s="236"/>
      <c r="C68" s="241"/>
      <c r="D68" s="485" t="s">
        <v>1072</v>
      </c>
      <c r="E68" s="485"/>
      <c r="F68" s="485"/>
      <c r="G68" s="485"/>
      <c r="H68" s="485"/>
      <c r="I68" s="485"/>
      <c r="J68" s="485"/>
      <c r="K68" s="237"/>
    </row>
    <row r="69" spans="2:11" ht="12.75" customHeight="1" x14ac:dyDescent="0.3">
      <c r="B69" s="245"/>
      <c r="C69" s="246"/>
      <c r="D69" s="246"/>
      <c r="E69" s="246"/>
      <c r="F69" s="246"/>
      <c r="G69" s="246"/>
      <c r="H69" s="246"/>
      <c r="I69" s="246"/>
      <c r="J69" s="246"/>
      <c r="K69" s="247"/>
    </row>
    <row r="70" spans="2:11" ht="18.75" customHeight="1" x14ac:dyDescent="0.3">
      <c r="B70" s="248"/>
      <c r="C70" s="248"/>
      <c r="D70" s="248"/>
      <c r="E70" s="248"/>
      <c r="F70" s="248"/>
      <c r="G70" s="248"/>
      <c r="H70" s="248"/>
      <c r="I70" s="248"/>
      <c r="J70" s="248"/>
      <c r="K70" s="249"/>
    </row>
    <row r="71" spans="2:11" ht="18.75" customHeight="1" x14ac:dyDescent="0.3">
      <c r="B71" s="249"/>
      <c r="C71" s="249"/>
      <c r="D71" s="249"/>
      <c r="E71" s="249"/>
      <c r="F71" s="249"/>
      <c r="G71" s="249"/>
      <c r="H71" s="249"/>
      <c r="I71" s="249"/>
      <c r="J71" s="249"/>
      <c r="K71" s="249"/>
    </row>
    <row r="72" spans="2:11" ht="7.5" customHeight="1" x14ac:dyDescent="0.3">
      <c r="B72" s="250"/>
      <c r="C72" s="251"/>
      <c r="D72" s="251"/>
      <c r="E72" s="251"/>
      <c r="F72" s="251"/>
      <c r="G72" s="251"/>
      <c r="H72" s="251"/>
      <c r="I72" s="251"/>
      <c r="J72" s="251"/>
      <c r="K72" s="252"/>
    </row>
    <row r="73" spans="2:11" ht="45" customHeight="1" x14ac:dyDescent="0.3">
      <c r="B73" s="253"/>
      <c r="C73" s="487" t="s">
        <v>86</v>
      </c>
      <c r="D73" s="487"/>
      <c r="E73" s="487"/>
      <c r="F73" s="487"/>
      <c r="G73" s="487"/>
      <c r="H73" s="487"/>
      <c r="I73" s="487"/>
      <c r="J73" s="487"/>
      <c r="K73" s="254"/>
    </row>
    <row r="74" spans="2:11" ht="17.25" customHeight="1" x14ac:dyDescent="0.3">
      <c r="B74" s="253"/>
      <c r="C74" s="255" t="s">
        <v>1073</v>
      </c>
      <c r="D74" s="255"/>
      <c r="E74" s="255"/>
      <c r="F74" s="255" t="s">
        <v>1074</v>
      </c>
      <c r="G74" s="256"/>
      <c r="H74" s="255" t="s">
        <v>122</v>
      </c>
      <c r="I74" s="255" t="s">
        <v>56</v>
      </c>
      <c r="J74" s="255" t="s">
        <v>1075</v>
      </c>
      <c r="K74" s="254"/>
    </row>
    <row r="75" spans="2:11" ht="17.25" customHeight="1" x14ac:dyDescent="0.3">
      <c r="B75" s="253"/>
      <c r="C75" s="257" t="s">
        <v>1076</v>
      </c>
      <c r="D75" s="257"/>
      <c r="E75" s="257"/>
      <c r="F75" s="258" t="s">
        <v>1077</v>
      </c>
      <c r="G75" s="259"/>
      <c r="H75" s="257"/>
      <c r="I75" s="257"/>
      <c r="J75" s="257" t="s">
        <v>1078</v>
      </c>
      <c r="K75" s="254"/>
    </row>
    <row r="76" spans="2:11" ht="5.25" customHeight="1" x14ac:dyDescent="0.3">
      <c r="B76" s="253"/>
      <c r="C76" s="260"/>
      <c r="D76" s="260"/>
      <c r="E76" s="260"/>
      <c r="F76" s="260"/>
      <c r="G76" s="261"/>
      <c r="H76" s="260"/>
      <c r="I76" s="260"/>
      <c r="J76" s="260"/>
      <c r="K76" s="254"/>
    </row>
    <row r="77" spans="2:11" ht="15" customHeight="1" x14ac:dyDescent="0.3">
      <c r="B77" s="253"/>
      <c r="C77" s="243" t="s">
        <v>52</v>
      </c>
      <c r="D77" s="260"/>
      <c r="E77" s="260"/>
      <c r="F77" s="262" t="s">
        <v>1079</v>
      </c>
      <c r="G77" s="261"/>
      <c r="H77" s="243" t="s">
        <v>1080</v>
      </c>
      <c r="I77" s="243" t="s">
        <v>1081</v>
      </c>
      <c r="J77" s="243">
        <v>20</v>
      </c>
      <c r="K77" s="254"/>
    </row>
    <row r="78" spans="2:11" ht="15" customHeight="1" x14ac:dyDescent="0.3">
      <c r="B78" s="253"/>
      <c r="C78" s="243" t="s">
        <v>1082</v>
      </c>
      <c r="D78" s="243"/>
      <c r="E78" s="243"/>
      <c r="F78" s="262" t="s">
        <v>1079</v>
      </c>
      <c r="G78" s="261"/>
      <c r="H78" s="243" t="s">
        <v>1083</v>
      </c>
      <c r="I78" s="243" t="s">
        <v>1081</v>
      </c>
      <c r="J78" s="243">
        <v>120</v>
      </c>
      <c r="K78" s="254"/>
    </row>
    <row r="79" spans="2:11" ht="15" customHeight="1" x14ac:dyDescent="0.3">
      <c r="B79" s="263"/>
      <c r="C79" s="243" t="s">
        <v>1084</v>
      </c>
      <c r="D79" s="243"/>
      <c r="E79" s="243"/>
      <c r="F79" s="262" t="s">
        <v>1085</v>
      </c>
      <c r="G79" s="261"/>
      <c r="H79" s="243" t="s">
        <v>1086</v>
      </c>
      <c r="I79" s="243" t="s">
        <v>1081</v>
      </c>
      <c r="J79" s="243">
        <v>50</v>
      </c>
      <c r="K79" s="254"/>
    </row>
    <row r="80" spans="2:11" ht="15" customHeight="1" x14ac:dyDescent="0.3">
      <c r="B80" s="263"/>
      <c r="C80" s="243" t="s">
        <v>1087</v>
      </c>
      <c r="D80" s="243"/>
      <c r="E80" s="243"/>
      <c r="F80" s="262" t="s">
        <v>1079</v>
      </c>
      <c r="G80" s="261"/>
      <c r="H80" s="243" t="s">
        <v>1088</v>
      </c>
      <c r="I80" s="243" t="s">
        <v>1089</v>
      </c>
      <c r="J80" s="243"/>
      <c r="K80" s="254"/>
    </row>
    <row r="81" spans="2:11" ht="15" customHeight="1" x14ac:dyDescent="0.3">
      <c r="B81" s="263"/>
      <c r="C81" s="264" t="s">
        <v>1090</v>
      </c>
      <c r="D81" s="264"/>
      <c r="E81" s="264"/>
      <c r="F81" s="265" t="s">
        <v>1085</v>
      </c>
      <c r="G81" s="264"/>
      <c r="H81" s="264" t="s">
        <v>1091</v>
      </c>
      <c r="I81" s="264" t="s">
        <v>1081</v>
      </c>
      <c r="J81" s="264">
        <v>15</v>
      </c>
      <c r="K81" s="254"/>
    </row>
    <row r="82" spans="2:11" ht="15" customHeight="1" x14ac:dyDescent="0.3">
      <c r="B82" s="263"/>
      <c r="C82" s="264" t="s">
        <v>1092</v>
      </c>
      <c r="D82" s="264"/>
      <c r="E82" s="264"/>
      <c r="F82" s="265" t="s">
        <v>1085</v>
      </c>
      <c r="G82" s="264"/>
      <c r="H82" s="264" t="s">
        <v>1093</v>
      </c>
      <c r="I82" s="264" t="s">
        <v>1081</v>
      </c>
      <c r="J82" s="264">
        <v>15</v>
      </c>
      <c r="K82" s="254"/>
    </row>
    <row r="83" spans="2:11" ht="15" customHeight="1" x14ac:dyDescent="0.3">
      <c r="B83" s="263"/>
      <c r="C83" s="264" t="s">
        <v>1094</v>
      </c>
      <c r="D83" s="264"/>
      <c r="E83" s="264"/>
      <c r="F83" s="265" t="s">
        <v>1085</v>
      </c>
      <c r="G83" s="264"/>
      <c r="H83" s="264" t="s">
        <v>1095</v>
      </c>
      <c r="I83" s="264" t="s">
        <v>1081</v>
      </c>
      <c r="J83" s="264">
        <v>20</v>
      </c>
      <c r="K83" s="254"/>
    </row>
    <row r="84" spans="2:11" ht="15" customHeight="1" x14ac:dyDescent="0.3">
      <c r="B84" s="263"/>
      <c r="C84" s="264" t="s">
        <v>1096</v>
      </c>
      <c r="D84" s="264"/>
      <c r="E84" s="264"/>
      <c r="F84" s="265" t="s">
        <v>1085</v>
      </c>
      <c r="G84" s="264"/>
      <c r="H84" s="264" t="s">
        <v>1097</v>
      </c>
      <c r="I84" s="264" t="s">
        <v>1081</v>
      </c>
      <c r="J84" s="264">
        <v>20</v>
      </c>
      <c r="K84" s="254"/>
    </row>
    <row r="85" spans="2:11" ht="15" customHeight="1" x14ac:dyDescent="0.3">
      <c r="B85" s="263"/>
      <c r="C85" s="243" t="s">
        <v>1098</v>
      </c>
      <c r="D85" s="243"/>
      <c r="E85" s="243"/>
      <c r="F85" s="262" t="s">
        <v>1085</v>
      </c>
      <c r="G85" s="261"/>
      <c r="H85" s="243" t="s">
        <v>1099</v>
      </c>
      <c r="I85" s="243" t="s">
        <v>1081</v>
      </c>
      <c r="J85" s="243">
        <v>50</v>
      </c>
      <c r="K85" s="254"/>
    </row>
    <row r="86" spans="2:11" ht="15" customHeight="1" x14ac:dyDescent="0.3">
      <c r="B86" s="263"/>
      <c r="C86" s="243" t="s">
        <v>1100</v>
      </c>
      <c r="D86" s="243"/>
      <c r="E86" s="243"/>
      <c r="F86" s="262" t="s">
        <v>1085</v>
      </c>
      <c r="G86" s="261"/>
      <c r="H86" s="243" t="s">
        <v>1101</v>
      </c>
      <c r="I86" s="243" t="s">
        <v>1081</v>
      </c>
      <c r="J86" s="243">
        <v>20</v>
      </c>
      <c r="K86" s="254"/>
    </row>
    <row r="87" spans="2:11" ht="15" customHeight="1" x14ac:dyDescent="0.3">
      <c r="B87" s="263"/>
      <c r="C87" s="243" t="s">
        <v>1102</v>
      </c>
      <c r="D87" s="243"/>
      <c r="E87" s="243"/>
      <c r="F87" s="262" t="s">
        <v>1085</v>
      </c>
      <c r="G87" s="261"/>
      <c r="H87" s="243" t="s">
        <v>1103</v>
      </c>
      <c r="I87" s="243" t="s">
        <v>1081</v>
      </c>
      <c r="J87" s="243">
        <v>20</v>
      </c>
      <c r="K87" s="254"/>
    </row>
    <row r="88" spans="2:11" ht="15" customHeight="1" x14ac:dyDescent="0.3">
      <c r="B88" s="263"/>
      <c r="C88" s="243" t="s">
        <v>1104</v>
      </c>
      <c r="D88" s="243"/>
      <c r="E88" s="243"/>
      <c r="F88" s="262" t="s">
        <v>1085</v>
      </c>
      <c r="G88" s="261"/>
      <c r="H88" s="243" t="s">
        <v>1105</v>
      </c>
      <c r="I88" s="243" t="s">
        <v>1081</v>
      </c>
      <c r="J88" s="243">
        <v>50</v>
      </c>
      <c r="K88" s="254"/>
    </row>
    <row r="89" spans="2:11" ht="15" customHeight="1" x14ac:dyDescent="0.3">
      <c r="B89" s="263"/>
      <c r="C89" s="243" t="s">
        <v>1106</v>
      </c>
      <c r="D89" s="243"/>
      <c r="E89" s="243"/>
      <c r="F89" s="262" t="s">
        <v>1085</v>
      </c>
      <c r="G89" s="261"/>
      <c r="H89" s="243" t="s">
        <v>1106</v>
      </c>
      <c r="I89" s="243" t="s">
        <v>1081</v>
      </c>
      <c r="J89" s="243">
        <v>50</v>
      </c>
      <c r="K89" s="254"/>
    </row>
    <row r="90" spans="2:11" ht="15" customHeight="1" x14ac:dyDescent="0.3">
      <c r="B90" s="263"/>
      <c r="C90" s="243" t="s">
        <v>127</v>
      </c>
      <c r="D90" s="243"/>
      <c r="E90" s="243"/>
      <c r="F90" s="262" t="s">
        <v>1085</v>
      </c>
      <c r="G90" s="261"/>
      <c r="H90" s="243" t="s">
        <v>1107</v>
      </c>
      <c r="I90" s="243" t="s">
        <v>1081</v>
      </c>
      <c r="J90" s="243">
        <v>255</v>
      </c>
      <c r="K90" s="254"/>
    </row>
    <row r="91" spans="2:11" ht="15" customHeight="1" x14ac:dyDescent="0.3">
      <c r="B91" s="263"/>
      <c r="C91" s="243" t="s">
        <v>1108</v>
      </c>
      <c r="D91" s="243"/>
      <c r="E91" s="243"/>
      <c r="F91" s="262" t="s">
        <v>1079</v>
      </c>
      <c r="G91" s="261"/>
      <c r="H91" s="243" t="s">
        <v>1109</v>
      </c>
      <c r="I91" s="243" t="s">
        <v>1110</v>
      </c>
      <c r="J91" s="243"/>
      <c r="K91" s="254"/>
    </row>
    <row r="92" spans="2:11" ht="15" customHeight="1" x14ac:dyDescent="0.3">
      <c r="B92" s="263"/>
      <c r="C92" s="243" t="s">
        <v>1111</v>
      </c>
      <c r="D92" s="243"/>
      <c r="E92" s="243"/>
      <c r="F92" s="262" t="s">
        <v>1079</v>
      </c>
      <c r="G92" s="261"/>
      <c r="H92" s="243" t="s">
        <v>1112</v>
      </c>
      <c r="I92" s="243" t="s">
        <v>1113</v>
      </c>
      <c r="J92" s="243"/>
      <c r="K92" s="254"/>
    </row>
    <row r="93" spans="2:11" ht="15" customHeight="1" x14ac:dyDescent="0.3">
      <c r="B93" s="263"/>
      <c r="C93" s="243" t="s">
        <v>1114</v>
      </c>
      <c r="D93" s="243"/>
      <c r="E93" s="243"/>
      <c r="F93" s="262" t="s">
        <v>1079</v>
      </c>
      <c r="G93" s="261"/>
      <c r="H93" s="243" t="s">
        <v>1114</v>
      </c>
      <c r="I93" s="243" t="s">
        <v>1113</v>
      </c>
      <c r="J93" s="243"/>
      <c r="K93" s="254"/>
    </row>
    <row r="94" spans="2:11" ht="15" customHeight="1" x14ac:dyDescent="0.3">
      <c r="B94" s="263"/>
      <c r="C94" s="243" t="s">
        <v>37</v>
      </c>
      <c r="D94" s="243"/>
      <c r="E94" s="243"/>
      <c r="F94" s="262" t="s">
        <v>1079</v>
      </c>
      <c r="G94" s="261"/>
      <c r="H94" s="243" t="s">
        <v>1115</v>
      </c>
      <c r="I94" s="243" t="s">
        <v>1113</v>
      </c>
      <c r="J94" s="243"/>
      <c r="K94" s="254"/>
    </row>
    <row r="95" spans="2:11" ht="15" customHeight="1" x14ac:dyDescent="0.3">
      <c r="B95" s="263"/>
      <c r="C95" s="243" t="s">
        <v>47</v>
      </c>
      <c r="D95" s="243"/>
      <c r="E95" s="243"/>
      <c r="F95" s="262" t="s">
        <v>1079</v>
      </c>
      <c r="G95" s="261"/>
      <c r="H95" s="243" t="s">
        <v>1116</v>
      </c>
      <c r="I95" s="243" t="s">
        <v>1113</v>
      </c>
      <c r="J95" s="243"/>
      <c r="K95" s="254"/>
    </row>
    <row r="96" spans="2:11" ht="15" customHeight="1" x14ac:dyDescent="0.3">
      <c r="B96" s="266"/>
      <c r="C96" s="267"/>
      <c r="D96" s="267"/>
      <c r="E96" s="267"/>
      <c r="F96" s="267"/>
      <c r="G96" s="267"/>
      <c r="H96" s="267"/>
      <c r="I96" s="267"/>
      <c r="J96" s="267"/>
      <c r="K96" s="268"/>
    </row>
    <row r="97" spans="2:11" ht="18.75" customHeight="1" x14ac:dyDescent="0.3">
      <c r="B97" s="269"/>
      <c r="C97" s="270"/>
      <c r="D97" s="270"/>
      <c r="E97" s="270"/>
      <c r="F97" s="270"/>
      <c r="G97" s="270"/>
      <c r="H97" s="270"/>
      <c r="I97" s="270"/>
      <c r="J97" s="270"/>
      <c r="K97" s="269"/>
    </row>
    <row r="98" spans="2:11" ht="18.75" customHeight="1" x14ac:dyDescent="0.3">
      <c r="B98" s="249"/>
      <c r="C98" s="249"/>
      <c r="D98" s="249"/>
      <c r="E98" s="249"/>
      <c r="F98" s="249"/>
      <c r="G98" s="249"/>
      <c r="H98" s="249"/>
      <c r="I98" s="249"/>
      <c r="J98" s="249"/>
      <c r="K98" s="249"/>
    </row>
    <row r="99" spans="2:11" ht="7.5" customHeight="1" x14ac:dyDescent="0.3">
      <c r="B99" s="250"/>
      <c r="C99" s="251"/>
      <c r="D99" s="251"/>
      <c r="E99" s="251"/>
      <c r="F99" s="251"/>
      <c r="G99" s="251"/>
      <c r="H99" s="251"/>
      <c r="I99" s="251"/>
      <c r="J99" s="251"/>
      <c r="K99" s="252"/>
    </row>
    <row r="100" spans="2:11" ht="45" customHeight="1" x14ac:dyDescent="0.3">
      <c r="B100" s="253"/>
      <c r="C100" s="487" t="s">
        <v>1117</v>
      </c>
      <c r="D100" s="487"/>
      <c r="E100" s="487"/>
      <c r="F100" s="487"/>
      <c r="G100" s="487"/>
      <c r="H100" s="487"/>
      <c r="I100" s="487"/>
      <c r="J100" s="487"/>
      <c r="K100" s="254"/>
    </row>
    <row r="101" spans="2:11" ht="17.25" customHeight="1" x14ac:dyDescent="0.3">
      <c r="B101" s="253"/>
      <c r="C101" s="255" t="s">
        <v>1073</v>
      </c>
      <c r="D101" s="255"/>
      <c r="E101" s="255"/>
      <c r="F101" s="255" t="s">
        <v>1074</v>
      </c>
      <c r="G101" s="256"/>
      <c r="H101" s="255" t="s">
        <v>122</v>
      </c>
      <c r="I101" s="255" t="s">
        <v>56</v>
      </c>
      <c r="J101" s="255" t="s">
        <v>1075</v>
      </c>
      <c r="K101" s="254"/>
    </row>
    <row r="102" spans="2:11" ht="17.25" customHeight="1" x14ac:dyDescent="0.3">
      <c r="B102" s="253"/>
      <c r="C102" s="257" t="s">
        <v>1076</v>
      </c>
      <c r="D102" s="257"/>
      <c r="E102" s="257"/>
      <c r="F102" s="258" t="s">
        <v>1077</v>
      </c>
      <c r="G102" s="259"/>
      <c r="H102" s="257"/>
      <c r="I102" s="257"/>
      <c r="J102" s="257" t="s">
        <v>1078</v>
      </c>
      <c r="K102" s="254"/>
    </row>
    <row r="103" spans="2:11" ht="5.25" customHeight="1" x14ac:dyDescent="0.3">
      <c r="B103" s="253"/>
      <c r="C103" s="255"/>
      <c r="D103" s="255"/>
      <c r="E103" s="255"/>
      <c r="F103" s="255"/>
      <c r="G103" s="271"/>
      <c r="H103" s="255"/>
      <c r="I103" s="255"/>
      <c r="J103" s="255"/>
      <c r="K103" s="254"/>
    </row>
    <row r="104" spans="2:11" ht="15" customHeight="1" x14ac:dyDescent="0.3">
      <c r="B104" s="253"/>
      <c r="C104" s="243" t="s">
        <v>52</v>
      </c>
      <c r="D104" s="260"/>
      <c r="E104" s="260"/>
      <c r="F104" s="262" t="s">
        <v>1079</v>
      </c>
      <c r="G104" s="271"/>
      <c r="H104" s="243" t="s">
        <v>1118</v>
      </c>
      <c r="I104" s="243" t="s">
        <v>1081</v>
      </c>
      <c r="J104" s="243">
        <v>20</v>
      </c>
      <c r="K104" s="254"/>
    </row>
    <row r="105" spans="2:11" ht="15" customHeight="1" x14ac:dyDescent="0.3">
      <c r="B105" s="253"/>
      <c r="C105" s="243" t="s">
        <v>1082</v>
      </c>
      <c r="D105" s="243"/>
      <c r="E105" s="243"/>
      <c r="F105" s="262" t="s">
        <v>1079</v>
      </c>
      <c r="G105" s="243"/>
      <c r="H105" s="243" t="s">
        <v>1118</v>
      </c>
      <c r="I105" s="243" t="s">
        <v>1081</v>
      </c>
      <c r="J105" s="243">
        <v>120</v>
      </c>
      <c r="K105" s="254"/>
    </row>
    <row r="106" spans="2:11" ht="15" customHeight="1" x14ac:dyDescent="0.3">
      <c r="B106" s="263"/>
      <c r="C106" s="243" t="s">
        <v>1084</v>
      </c>
      <c r="D106" s="243"/>
      <c r="E106" s="243"/>
      <c r="F106" s="262" t="s">
        <v>1085</v>
      </c>
      <c r="G106" s="243"/>
      <c r="H106" s="243" t="s">
        <v>1118</v>
      </c>
      <c r="I106" s="243" t="s">
        <v>1081</v>
      </c>
      <c r="J106" s="243">
        <v>50</v>
      </c>
      <c r="K106" s="254"/>
    </row>
    <row r="107" spans="2:11" ht="15" customHeight="1" x14ac:dyDescent="0.3">
      <c r="B107" s="263"/>
      <c r="C107" s="243" t="s">
        <v>1087</v>
      </c>
      <c r="D107" s="243"/>
      <c r="E107" s="243"/>
      <c r="F107" s="262" t="s">
        <v>1079</v>
      </c>
      <c r="G107" s="243"/>
      <c r="H107" s="243" t="s">
        <v>1118</v>
      </c>
      <c r="I107" s="243" t="s">
        <v>1089</v>
      </c>
      <c r="J107" s="243"/>
      <c r="K107" s="254"/>
    </row>
    <row r="108" spans="2:11" ht="15" customHeight="1" x14ac:dyDescent="0.3">
      <c r="B108" s="263"/>
      <c r="C108" s="243" t="s">
        <v>1098</v>
      </c>
      <c r="D108" s="243"/>
      <c r="E108" s="243"/>
      <c r="F108" s="262" t="s">
        <v>1085</v>
      </c>
      <c r="G108" s="243"/>
      <c r="H108" s="243" t="s">
        <v>1118</v>
      </c>
      <c r="I108" s="243" t="s">
        <v>1081</v>
      </c>
      <c r="J108" s="243">
        <v>50</v>
      </c>
      <c r="K108" s="254"/>
    </row>
    <row r="109" spans="2:11" ht="15" customHeight="1" x14ac:dyDescent="0.3">
      <c r="B109" s="263"/>
      <c r="C109" s="243" t="s">
        <v>1106</v>
      </c>
      <c r="D109" s="243"/>
      <c r="E109" s="243"/>
      <c r="F109" s="262" t="s">
        <v>1085</v>
      </c>
      <c r="G109" s="243"/>
      <c r="H109" s="243" t="s">
        <v>1118</v>
      </c>
      <c r="I109" s="243" t="s">
        <v>1081</v>
      </c>
      <c r="J109" s="243">
        <v>50</v>
      </c>
      <c r="K109" s="254"/>
    </row>
    <row r="110" spans="2:11" ht="15" customHeight="1" x14ac:dyDescent="0.3">
      <c r="B110" s="263"/>
      <c r="C110" s="243" t="s">
        <v>1104</v>
      </c>
      <c r="D110" s="243"/>
      <c r="E110" s="243"/>
      <c r="F110" s="262" t="s">
        <v>1085</v>
      </c>
      <c r="G110" s="243"/>
      <c r="H110" s="243" t="s">
        <v>1118</v>
      </c>
      <c r="I110" s="243" t="s">
        <v>1081</v>
      </c>
      <c r="J110" s="243">
        <v>50</v>
      </c>
      <c r="K110" s="254"/>
    </row>
    <row r="111" spans="2:11" ht="15" customHeight="1" x14ac:dyDescent="0.3">
      <c r="B111" s="263"/>
      <c r="C111" s="243" t="s">
        <v>52</v>
      </c>
      <c r="D111" s="243"/>
      <c r="E111" s="243"/>
      <c r="F111" s="262" t="s">
        <v>1079</v>
      </c>
      <c r="G111" s="243"/>
      <c r="H111" s="243" t="s">
        <v>1119</v>
      </c>
      <c r="I111" s="243" t="s">
        <v>1081</v>
      </c>
      <c r="J111" s="243">
        <v>20</v>
      </c>
      <c r="K111" s="254"/>
    </row>
    <row r="112" spans="2:11" ht="15" customHeight="1" x14ac:dyDescent="0.3">
      <c r="B112" s="263"/>
      <c r="C112" s="243" t="s">
        <v>1120</v>
      </c>
      <c r="D112" s="243"/>
      <c r="E112" s="243"/>
      <c r="F112" s="262" t="s">
        <v>1079</v>
      </c>
      <c r="G112" s="243"/>
      <c r="H112" s="243" t="s">
        <v>1121</v>
      </c>
      <c r="I112" s="243" t="s">
        <v>1081</v>
      </c>
      <c r="J112" s="243">
        <v>120</v>
      </c>
      <c r="K112" s="254"/>
    </row>
    <row r="113" spans="2:11" ht="15" customHeight="1" x14ac:dyDescent="0.3">
      <c r="B113" s="263"/>
      <c r="C113" s="243" t="s">
        <v>37</v>
      </c>
      <c r="D113" s="243"/>
      <c r="E113" s="243"/>
      <c r="F113" s="262" t="s">
        <v>1079</v>
      </c>
      <c r="G113" s="243"/>
      <c r="H113" s="243" t="s">
        <v>1122</v>
      </c>
      <c r="I113" s="243" t="s">
        <v>1113</v>
      </c>
      <c r="J113" s="243"/>
      <c r="K113" s="254"/>
    </row>
    <row r="114" spans="2:11" ht="15" customHeight="1" x14ac:dyDescent="0.3">
      <c r="B114" s="263"/>
      <c r="C114" s="243" t="s">
        <v>47</v>
      </c>
      <c r="D114" s="243"/>
      <c r="E114" s="243"/>
      <c r="F114" s="262" t="s">
        <v>1079</v>
      </c>
      <c r="G114" s="243"/>
      <c r="H114" s="243" t="s">
        <v>1123</v>
      </c>
      <c r="I114" s="243" t="s">
        <v>1113</v>
      </c>
      <c r="J114" s="243"/>
      <c r="K114" s="254"/>
    </row>
    <row r="115" spans="2:11" ht="15" customHeight="1" x14ac:dyDescent="0.3">
      <c r="B115" s="263"/>
      <c r="C115" s="243" t="s">
        <v>56</v>
      </c>
      <c r="D115" s="243"/>
      <c r="E115" s="243"/>
      <c r="F115" s="262" t="s">
        <v>1079</v>
      </c>
      <c r="G115" s="243"/>
      <c r="H115" s="243" t="s">
        <v>1124</v>
      </c>
      <c r="I115" s="243" t="s">
        <v>1125</v>
      </c>
      <c r="J115" s="243"/>
      <c r="K115" s="254"/>
    </row>
    <row r="116" spans="2:11" ht="15" customHeight="1" x14ac:dyDescent="0.3">
      <c r="B116" s="266"/>
      <c r="C116" s="272"/>
      <c r="D116" s="272"/>
      <c r="E116" s="272"/>
      <c r="F116" s="272"/>
      <c r="G116" s="272"/>
      <c r="H116" s="272"/>
      <c r="I116" s="272"/>
      <c r="J116" s="272"/>
      <c r="K116" s="268"/>
    </row>
    <row r="117" spans="2:11" ht="18.75" customHeight="1" x14ac:dyDescent="0.3">
      <c r="B117" s="273"/>
      <c r="C117" s="239"/>
      <c r="D117" s="239"/>
      <c r="E117" s="239"/>
      <c r="F117" s="274"/>
      <c r="G117" s="239"/>
      <c r="H117" s="239"/>
      <c r="I117" s="239"/>
      <c r="J117" s="239"/>
      <c r="K117" s="273"/>
    </row>
    <row r="118" spans="2:11" ht="18.75" customHeight="1" x14ac:dyDescent="0.3"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</row>
    <row r="119" spans="2:11" ht="7.5" customHeight="1" x14ac:dyDescent="0.3">
      <c r="B119" s="275"/>
      <c r="C119" s="276"/>
      <c r="D119" s="276"/>
      <c r="E119" s="276"/>
      <c r="F119" s="276"/>
      <c r="G119" s="276"/>
      <c r="H119" s="276"/>
      <c r="I119" s="276"/>
      <c r="J119" s="276"/>
      <c r="K119" s="277"/>
    </row>
    <row r="120" spans="2:11" ht="45" customHeight="1" x14ac:dyDescent="0.3">
      <c r="B120" s="278"/>
      <c r="C120" s="482" t="s">
        <v>1126</v>
      </c>
      <c r="D120" s="482"/>
      <c r="E120" s="482"/>
      <c r="F120" s="482"/>
      <c r="G120" s="482"/>
      <c r="H120" s="482"/>
      <c r="I120" s="482"/>
      <c r="J120" s="482"/>
      <c r="K120" s="279"/>
    </row>
    <row r="121" spans="2:11" ht="17.25" customHeight="1" x14ac:dyDescent="0.3">
      <c r="B121" s="280"/>
      <c r="C121" s="255" t="s">
        <v>1073</v>
      </c>
      <c r="D121" s="255"/>
      <c r="E121" s="255"/>
      <c r="F121" s="255" t="s">
        <v>1074</v>
      </c>
      <c r="G121" s="256"/>
      <c r="H121" s="255" t="s">
        <v>122</v>
      </c>
      <c r="I121" s="255" t="s">
        <v>56</v>
      </c>
      <c r="J121" s="255" t="s">
        <v>1075</v>
      </c>
      <c r="K121" s="281"/>
    </row>
    <row r="122" spans="2:11" ht="17.25" customHeight="1" x14ac:dyDescent="0.3">
      <c r="B122" s="280"/>
      <c r="C122" s="257" t="s">
        <v>1076</v>
      </c>
      <c r="D122" s="257"/>
      <c r="E122" s="257"/>
      <c r="F122" s="258" t="s">
        <v>1077</v>
      </c>
      <c r="G122" s="259"/>
      <c r="H122" s="257"/>
      <c r="I122" s="257"/>
      <c r="J122" s="257" t="s">
        <v>1078</v>
      </c>
      <c r="K122" s="281"/>
    </row>
    <row r="123" spans="2:11" ht="5.25" customHeight="1" x14ac:dyDescent="0.3">
      <c r="B123" s="282"/>
      <c r="C123" s="260"/>
      <c r="D123" s="260"/>
      <c r="E123" s="260"/>
      <c r="F123" s="260"/>
      <c r="G123" s="243"/>
      <c r="H123" s="260"/>
      <c r="I123" s="260"/>
      <c r="J123" s="260"/>
      <c r="K123" s="283"/>
    </row>
    <row r="124" spans="2:11" ht="15" customHeight="1" x14ac:dyDescent="0.3">
      <c r="B124" s="282"/>
      <c r="C124" s="243" t="s">
        <v>1082</v>
      </c>
      <c r="D124" s="260"/>
      <c r="E124" s="260"/>
      <c r="F124" s="262" t="s">
        <v>1079</v>
      </c>
      <c r="G124" s="243"/>
      <c r="H124" s="243" t="s">
        <v>1118</v>
      </c>
      <c r="I124" s="243" t="s">
        <v>1081</v>
      </c>
      <c r="J124" s="243">
        <v>120</v>
      </c>
      <c r="K124" s="284"/>
    </row>
    <row r="125" spans="2:11" ht="15" customHeight="1" x14ac:dyDescent="0.3">
      <c r="B125" s="282"/>
      <c r="C125" s="243" t="s">
        <v>1127</v>
      </c>
      <c r="D125" s="243"/>
      <c r="E125" s="243"/>
      <c r="F125" s="262" t="s">
        <v>1079</v>
      </c>
      <c r="G125" s="243"/>
      <c r="H125" s="243" t="s">
        <v>1128</v>
      </c>
      <c r="I125" s="243" t="s">
        <v>1081</v>
      </c>
      <c r="J125" s="243" t="s">
        <v>1129</v>
      </c>
      <c r="K125" s="284"/>
    </row>
    <row r="126" spans="2:11" ht="15" customHeight="1" x14ac:dyDescent="0.3">
      <c r="B126" s="282"/>
      <c r="C126" s="243" t="s">
        <v>1028</v>
      </c>
      <c r="D126" s="243"/>
      <c r="E126" s="243"/>
      <c r="F126" s="262" t="s">
        <v>1079</v>
      </c>
      <c r="G126" s="243"/>
      <c r="H126" s="243" t="s">
        <v>1130</v>
      </c>
      <c r="I126" s="243" t="s">
        <v>1081</v>
      </c>
      <c r="J126" s="243" t="s">
        <v>1129</v>
      </c>
      <c r="K126" s="284"/>
    </row>
    <row r="127" spans="2:11" ht="15" customHeight="1" x14ac:dyDescent="0.3">
      <c r="B127" s="282"/>
      <c r="C127" s="243" t="s">
        <v>1090</v>
      </c>
      <c r="D127" s="243"/>
      <c r="E127" s="243"/>
      <c r="F127" s="262" t="s">
        <v>1085</v>
      </c>
      <c r="G127" s="243"/>
      <c r="H127" s="243" t="s">
        <v>1091</v>
      </c>
      <c r="I127" s="243" t="s">
        <v>1081</v>
      </c>
      <c r="J127" s="243">
        <v>15</v>
      </c>
      <c r="K127" s="284"/>
    </row>
    <row r="128" spans="2:11" ht="15" customHeight="1" x14ac:dyDescent="0.3">
      <c r="B128" s="282"/>
      <c r="C128" s="264" t="s">
        <v>1092</v>
      </c>
      <c r="D128" s="264"/>
      <c r="E128" s="264"/>
      <c r="F128" s="265" t="s">
        <v>1085</v>
      </c>
      <c r="G128" s="264"/>
      <c r="H128" s="264" t="s">
        <v>1093</v>
      </c>
      <c r="I128" s="264" t="s">
        <v>1081</v>
      </c>
      <c r="J128" s="264">
        <v>15</v>
      </c>
      <c r="K128" s="284"/>
    </row>
    <row r="129" spans="2:11" ht="15" customHeight="1" x14ac:dyDescent="0.3">
      <c r="B129" s="282"/>
      <c r="C129" s="264" t="s">
        <v>1094</v>
      </c>
      <c r="D129" s="264"/>
      <c r="E129" s="264"/>
      <c r="F129" s="265" t="s">
        <v>1085</v>
      </c>
      <c r="G129" s="264"/>
      <c r="H129" s="264" t="s">
        <v>1095</v>
      </c>
      <c r="I129" s="264" t="s">
        <v>1081</v>
      </c>
      <c r="J129" s="264">
        <v>20</v>
      </c>
      <c r="K129" s="284"/>
    </row>
    <row r="130" spans="2:11" ht="15" customHeight="1" x14ac:dyDescent="0.3">
      <c r="B130" s="282"/>
      <c r="C130" s="264" t="s">
        <v>1096</v>
      </c>
      <c r="D130" s="264"/>
      <c r="E130" s="264"/>
      <c r="F130" s="265" t="s">
        <v>1085</v>
      </c>
      <c r="G130" s="264"/>
      <c r="H130" s="264" t="s">
        <v>1097</v>
      </c>
      <c r="I130" s="264" t="s">
        <v>1081</v>
      </c>
      <c r="J130" s="264">
        <v>20</v>
      </c>
      <c r="K130" s="284"/>
    </row>
    <row r="131" spans="2:11" ht="15" customHeight="1" x14ac:dyDescent="0.3">
      <c r="B131" s="282"/>
      <c r="C131" s="243" t="s">
        <v>1084</v>
      </c>
      <c r="D131" s="243"/>
      <c r="E131" s="243"/>
      <c r="F131" s="262" t="s">
        <v>1085</v>
      </c>
      <c r="G131" s="243"/>
      <c r="H131" s="243" t="s">
        <v>1118</v>
      </c>
      <c r="I131" s="243" t="s">
        <v>1081</v>
      </c>
      <c r="J131" s="243">
        <v>50</v>
      </c>
      <c r="K131" s="284"/>
    </row>
    <row r="132" spans="2:11" ht="15" customHeight="1" x14ac:dyDescent="0.3">
      <c r="B132" s="282"/>
      <c r="C132" s="243" t="s">
        <v>1098</v>
      </c>
      <c r="D132" s="243"/>
      <c r="E132" s="243"/>
      <c r="F132" s="262" t="s">
        <v>1085</v>
      </c>
      <c r="G132" s="243"/>
      <c r="H132" s="243" t="s">
        <v>1118</v>
      </c>
      <c r="I132" s="243" t="s">
        <v>1081</v>
      </c>
      <c r="J132" s="243">
        <v>50</v>
      </c>
      <c r="K132" s="284"/>
    </row>
    <row r="133" spans="2:11" ht="15" customHeight="1" x14ac:dyDescent="0.3">
      <c r="B133" s="282"/>
      <c r="C133" s="243" t="s">
        <v>1104</v>
      </c>
      <c r="D133" s="243"/>
      <c r="E133" s="243"/>
      <c r="F133" s="262" t="s">
        <v>1085</v>
      </c>
      <c r="G133" s="243"/>
      <c r="H133" s="243" t="s">
        <v>1118</v>
      </c>
      <c r="I133" s="243" t="s">
        <v>1081</v>
      </c>
      <c r="J133" s="243">
        <v>50</v>
      </c>
      <c r="K133" s="284"/>
    </row>
    <row r="134" spans="2:11" ht="15" customHeight="1" x14ac:dyDescent="0.3">
      <c r="B134" s="282"/>
      <c r="C134" s="243" t="s">
        <v>1106</v>
      </c>
      <c r="D134" s="243"/>
      <c r="E134" s="243"/>
      <c r="F134" s="262" t="s">
        <v>1085</v>
      </c>
      <c r="G134" s="243"/>
      <c r="H134" s="243" t="s">
        <v>1118</v>
      </c>
      <c r="I134" s="243" t="s">
        <v>1081</v>
      </c>
      <c r="J134" s="243">
        <v>50</v>
      </c>
      <c r="K134" s="284"/>
    </row>
    <row r="135" spans="2:11" ht="15" customHeight="1" x14ac:dyDescent="0.3">
      <c r="B135" s="282"/>
      <c r="C135" s="243" t="s">
        <v>127</v>
      </c>
      <c r="D135" s="243"/>
      <c r="E135" s="243"/>
      <c r="F135" s="262" t="s">
        <v>1085</v>
      </c>
      <c r="G135" s="243"/>
      <c r="H135" s="243" t="s">
        <v>1131</v>
      </c>
      <c r="I135" s="243" t="s">
        <v>1081</v>
      </c>
      <c r="J135" s="243">
        <v>255</v>
      </c>
      <c r="K135" s="284"/>
    </row>
    <row r="136" spans="2:11" ht="15" customHeight="1" x14ac:dyDescent="0.3">
      <c r="B136" s="282"/>
      <c r="C136" s="243" t="s">
        <v>1108</v>
      </c>
      <c r="D136" s="243"/>
      <c r="E136" s="243"/>
      <c r="F136" s="262" t="s">
        <v>1079</v>
      </c>
      <c r="G136" s="243"/>
      <c r="H136" s="243" t="s">
        <v>1132</v>
      </c>
      <c r="I136" s="243" t="s">
        <v>1110</v>
      </c>
      <c r="J136" s="243"/>
      <c r="K136" s="284"/>
    </row>
    <row r="137" spans="2:11" ht="15" customHeight="1" x14ac:dyDescent="0.3">
      <c r="B137" s="282"/>
      <c r="C137" s="243" t="s">
        <v>1111</v>
      </c>
      <c r="D137" s="243"/>
      <c r="E137" s="243"/>
      <c r="F137" s="262" t="s">
        <v>1079</v>
      </c>
      <c r="G137" s="243"/>
      <c r="H137" s="243" t="s">
        <v>1133</v>
      </c>
      <c r="I137" s="243" t="s">
        <v>1113</v>
      </c>
      <c r="J137" s="243"/>
      <c r="K137" s="284"/>
    </row>
    <row r="138" spans="2:11" ht="15" customHeight="1" x14ac:dyDescent="0.3">
      <c r="B138" s="282"/>
      <c r="C138" s="243" t="s">
        <v>1114</v>
      </c>
      <c r="D138" s="243"/>
      <c r="E138" s="243"/>
      <c r="F138" s="262" t="s">
        <v>1079</v>
      </c>
      <c r="G138" s="243"/>
      <c r="H138" s="243" t="s">
        <v>1114</v>
      </c>
      <c r="I138" s="243" t="s">
        <v>1113</v>
      </c>
      <c r="J138" s="243"/>
      <c r="K138" s="284"/>
    </row>
    <row r="139" spans="2:11" ht="15" customHeight="1" x14ac:dyDescent="0.3">
      <c r="B139" s="282"/>
      <c r="C139" s="243" t="s">
        <v>37</v>
      </c>
      <c r="D139" s="243"/>
      <c r="E139" s="243"/>
      <c r="F139" s="262" t="s">
        <v>1079</v>
      </c>
      <c r="G139" s="243"/>
      <c r="H139" s="243" t="s">
        <v>1134</v>
      </c>
      <c r="I139" s="243" t="s">
        <v>1113</v>
      </c>
      <c r="J139" s="243"/>
      <c r="K139" s="284"/>
    </row>
    <row r="140" spans="2:11" ht="15" customHeight="1" x14ac:dyDescent="0.3">
      <c r="B140" s="282"/>
      <c r="C140" s="243" t="s">
        <v>1135</v>
      </c>
      <c r="D140" s="243"/>
      <c r="E140" s="243"/>
      <c r="F140" s="262" t="s">
        <v>1079</v>
      </c>
      <c r="G140" s="243"/>
      <c r="H140" s="243" t="s">
        <v>1136</v>
      </c>
      <c r="I140" s="243" t="s">
        <v>1113</v>
      </c>
      <c r="J140" s="243"/>
      <c r="K140" s="284"/>
    </row>
    <row r="141" spans="2:11" ht="15" customHeight="1" x14ac:dyDescent="0.3">
      <c r="B141" s="285"/>
      <c r="C141" s="286"/>
      <c r="D141" s="286"/>
      <c r="E141" s="286"/>
      <c r="F141" s="286"/>
      <c r="G141" s="286"/>
      <c r="H141" s="286"/>
      <c r="I141" s="286"/>
      <c r="J141" s="286"/>
      <c r="K141" s="287"/>
    </row>
    <row r="142" spans="2:11" ht="18.75" customHeight="1" x14ac:dyDescent="0.3">
      <c r="B142" s="239"/>
      <c r="C142" s="239"/>
      <c r="D142" s="239"/>
      <c r="E142" s="239"/>
      <c r="F142" s="274"/>
      <c r="G142" s="239"/>
      <c r="H142" s="239"/>
      <c r="I142" s="239"/>
      <c r="J142" s="239"/>
      <c r="K142" s="239"/>
    </row>
    <row r="143" spans="2:11" ht="18.75" customHeight="1" x14ac:dyDescent="0.3"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</row>
    <row r="144" spans="2:11" ht="7.5" customHeight="1" x14ac:dyDescent="0.3">
      <c r="B144" s="250"/>
      <c r="C144" s="251"/>
      <c r="D144" s="251"/>
      <c r="E144" s="251"/>
      <c r="F144" s="251"/>
      <c r="G144" s="251"/>
      <c r="H144" s="251"/>
      <c r="I144" s="251"/>
      <c r="J144" s="251"/>
      <c r="K144" s="252"/>
    </row>
    <row r="145" spans="2:11" ht="45" customHeight="1" x14ac:dyDescent="0.3">
      <c r="B145" s="253"/>
      <c r="C145" s="487" t="s">
        <v>1137</v>
      </c>
      <c r="D145" s="487"/>
      <c r="E145" s="487"/>
      <c r="F145" s="487"/>
      <c r="G145" s="487"/>
      <c r="H145" s="487"/>
      <c r="I145" s="487"/>
      <c r="J145" s="487"/>
      <c r="K145" s="254"/>
    </row>
    <row r="146" spans="2:11" ht="17.25" customHeight="1" x14ac:dyDescent="0.3">
      <c r="B146" s="253"/>
      <c r="C146" s="255" t="s">
        <v>1073</v>
      </c>
      <c r="D146" s="255"/>
      <c r="E146" s="255"/>
      <c r="F146" s="255" t="s">
        <v>1074</v>
      </c>
      <c r="G146" s="256"/>
      <c r="H146" s="255" t="s">
        <v>122</v>
      </c>
      <c r="I146" s="255" t="s">
        <v>56</v>
      </c>
      <c r="J146" s="255" t="s">
        <v>1075</v>
      </c>
      <c r="K146" s="254"/>
    </row>
    <row r="147" spans="2:11" ht="17.25" customHeight="1" x14ac:dyDescent="0.3">
      <c r="B147" s="253"/>
      <c r="C147" s="257" t="s">
        <v>1076</v>
      </c>
      <c r="D147" s="257"/>
      <c r="E147" s="257"/>
      <c r="F147" s="258" t="s">
        <v>1077</v>
      </c>
      <c r="G147" s="259"/>
      <c r="H147" s="257"/>
      <c r="I147" s="257"/>
      <c r="J147" s="257" t="s">
        <v>1078</v>
      </c>
      <c r="K147" s="254"/>
    </row>
    <row r="148" spans="2:11" ht="5.25" customHeight="1" x14ac:dyDescent="0.3">
      <c r="B148" s="263"/>
      <c r="C148" s="260"/>
      <c r="D148" s="260"/>
      <c r="E148" s="260"/>
      <c r="F148" s="260"/>
      <c r="G148" s="261"/>
      <c r="H148" s="260"/>
      <c r="I148" s="260"/>
      <c r="J148" s="260"/>
      <c r="K148" s="284"/>
    </row>
    <row r="149" spans="2:11" ht="15" customHeight="1" x14ac:dyDescent="0.3">
      <c r="B149" s="263"/>
      <c r="C149" s="288" t="s">
        <v>1082</v>
      </c>
      <c r="D149" s="243"/>
      <c r="E149" s="243"/>
      <c r="F149" s="289" t="s">
        <v>1079</v>
      </c>
      <c r="G149" s="243"/>
      <c r="H149" s="288" t="s">
        <v>1118</v>
      </c>
      <c r="I149" s="288" t="s">
        <v>1081</v>
      </c>
      <c r="J149" s="288">
        <v>120</v>
      </c>
      <c r="K149" s="284"/>
    </row>
    <row r="150" spans="2:11" ht="15" customHeight="1" x14ac:dyDescent="0.3">
      <c r="B150" s="263"/>
      <c r="C150" s="288" t="s">
        <v>1127</v>
      </c>
      <c r="D150" s="243"/>
      <c r="E150" s="243"/>
      <c r="F150" s="289" t="s">
        <v>1079</v>
      </c>
      <c r="G150" s="243"/>
      <c r="H150" s="288" t="s">
        <v>1138</v>
      </c>
      <c r="I150" s="288" t="s">
        <v>1081</v>
      </c>
      <c r="J150" s="288" t="s">
        <v>1129</v>
      </c>
      <c r="K150" s="284"/>
    </row>
    <row r="151" spans="2:11" ht="15" customHeight="1" x14ac:dyDescent="0.3">
      <c r="B151" s="263"/>
      <c r="C151" s="288" t="s">
        <v>1028</v>
      </c>
      <c r="D151" s="243"/>
      <c r="E151" s="243"/>
      <c r="F151" s="289" t="s">
        <v>1079</v>
      </c>
      <c r="G151" s="243"/>
      <c r="H151" s="288" t="s">
        <v>1139</v>
      </c>
      <c r="I151" s="288" t="s">
        <v>1081</v>
      </c>
      <c r="J151" s="288" t="s">
        <v>1129</v>
      </c>
      <c r="K151" s="284"/>
    </row>
    <row r="152" spans="2:11" ht="15" customHeight="1" x14ac:dyDescent="0.3">
      <c r="B152" s="263"/>
      <c r="C152" s="288" t="s">
        <v>1084</v>
      </c>
      <c r="D152" s="243"/>
      <c r="E152" s="243"/>
      <c r="F152" s="289" t="s">
        <v>1085</v>
      </c>
      <c r="G152" s="243"/>
      <c r="H152" s="288" t="s">
        <v>1118</v>
      </c>
      <c r="I152" s="288" t="s">
        <v>1081</v>
      </c>
      <c r="J152" s="288">
        <v>50</v>
      </c>
      <c r="K152" s="284"/>
    </row>
    <row r="153" spans="2:11" ht="15" customHeight="1" x14ac:dyDescent="0.3">
      <c r="B153" s="263"/>
      <c r="C153" s="288" t="s">
        <v>1087</v>
      </c>
      <c r="D153" s="243"/>
      <c r="E153" s="243"/>
      <c r="F153" s="289" t="s">
        <v>1079</v>
      </c>
      <c r="G153" s="243"/>
      <c r="H153" s="288" t="s">
        <v>1118</v>
      </c>
      <c r="I153" s="288" t="s">
        <v>1089</v>
      </c>
      <c r="J153" s="288"/>
      <c r="K153" s="284"/>
    </row>
    <row r="154" spans="2:11" ht="15" customHeight="1" x14ac:dyDescent="0.3">
      <c r="B154" s="263"/>
      <c r="C154" s="288" t="s">
        <v>1098</v>
      </c>
      <c r="D154" s="243"/>
      <c r="E154" s="243"/>
      <c r="F154" s="289" t="s">
        <v>1085</v>
      </c>
      <c r="G154" s="243"/>
      <c r="H154" s="288" t="s">
        <v>1118</v>
      </c>
      <c r="I154" s="288" t="s">
        <v>1081</v>
      </c>
      <c r="J154" s="288">
        <v>50</v>
      </c>
      <c r="K154" s="284"/>
    </row>
    <row r="155" spans="2:11" ht="15" customHeight="1" x14ac:dyDescent="0.3">
      <c r="B155" s="263"/>
      <c r="C155" s="288" t="s">
        <v>1106</v>
      </c>
      <c r="D155" s="243"/>
      <c r="E155" s="243"/>
      <c r="F155" s="289" t="s">
        <v>1085</v>
      </c>
      <c r="G155" s="243"/>
      <c r="H155" s="288" t="s">
        <v>1118</v>
      </c>
      <c r="I155" s="288" t="s">
        <v>1081</v>
      </c>
      <c r="J155" s="288">
        <v>50</v>
      </c>
      <c r="K155" s="284"/>
    </row>
    <row r="156" spans="2:11" ht="15" customHeight="1" x14ac:dyDescent="0.3">
      <c r="B156" s="263"/>
      <c r="C156" s="288" t="s">
        <v>1104</v>
      </c>
      <c r="D156" s="243"/>
      <c r="E156" s="243"/>
      <c r="F156" s="289" t="s">
        <v>1085</v>
      </c>
      <c r="G156" s="243"/>
      <c r="H156" s="288" t="s">
        <v>1118</v>
      </c>
      <c r="I156" s="288" t="s">
        <v>1081</v>
      </c>
      <c r="J156" s="288">
        <v>50</v>
      </c>
      <c r="K156" s="284"/>
    </row>
    <row r="157" spans="2:11" ht="15" customHeight="1" x14ac:dyDescent="0.3">
      <c r="B157" s="263"/>
      <c r="C157" s="288" t="s">
        <v>91</v>
      </c>
      <c r="D157" s="243"/>
      <c r="E157" s="243"/>
      <c r="F157" s="289" t="s">
        <v>1079</v>
      </c>
      <c r="G157" s="243"/>
      <c r="H157" s="288" t="s">
        <v>1140</v>
      </c>
      <c r="I157" s="288" t="s">
        <v>1081</v>
      </c>
      <c r="J157" s="288" t="s">
        <v>1141</v>
      </c>
      <c r="K157" s="284"/>
    </row>
    <row r="158" spans="2:11" ht="15" customHeight="1" x14ac:dyDescent="0.3">
      <c r="B158" s="263"/>
      <c r="C158" s="288" t="s">
        <v>1142</v>
      </c>
      <c r="D158" s="243"/>
      <c r="E158" s="243"/>
      <c r="F158" s="289" t="s">
        <v>1079</v>
      </c>
      <c r="G158" s="243"/>
      <c r="H158" s="288" t="s">
        <v>1143</v>
      </c>
      <c r="I158" s="288" t="s">
        <v>1113</v>
      </c>
      <c r="J158" s="288"/>
      <c r="K158" s="284"/>
    </row>
    <row r="159" spans="2:11" ht="15" customHeight="1" x14ac:dyDescent="0.3">
      <c r="B159" s="290"/>
      <c r="C159" s="272"/>
      <c r="D159" s="272"/>
      <c r="E159" s="272"/>
      <c r="F159" s="272"/>
      <c r="G159" s="272"/>
      <c r="H159" s="272"/>
      <c r="I159" s="272"/>
      <c r="J159" s="272"/>
      <c r="K159" s="291"/>
    </row>
    <row r="160" spans="2:11" ht="18.75" customHeight="1" x14ac:dyDescent="0.3">
      <c r="B160" s="239"/>
      <c r="C160" s="243"/>
      <c r="D160" s="243"/>
      <c r="E160" s="243"/>
      <c r="F160" s="262"/>
      <c r="G160" s="243"/>
      <c r="H160" s="243"/>
      <c r="I160" s="243"/>
      <c r="J160" s="243"/>
      <c r="K160" s="239"/>
    </row>
    <row r="161" spans="2:11" ht="18.75" customHeight="1" x14ac:dyDescent="0.3"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</row>
    <row r="162" spans="2:11" ht="7.5" customHeight="1" x14ac:dyDescent="0.3">
      <c r="B162" s="231"/>
      <c r="C162" s="232"/>
      <c r="D162" s="232"/>
      <c r="E162" s="232"/>
      <c r="F162" s="232"/>
      <c r="G162" s="232"/>
      <c r="H162" s="232"/>
      <c r="I162" s="232"/>
      <c r="J162" s="232"/>
      <c r="K162" s="233"/>
    </row>
    <row r="163" spans="2:11" ht="45" customHeight="1" x14ac:dyDescent="0.3">
      <c r="B163" s="234"/>
      <c r="C163" s="482" t="s">
        <v>1144</v>
      </c>
      <c r="D163" s="482"/>
      <c r="E163" s="482"/>
      <c r="F163" s="482"/>
      <c r="G163" s="482"/>
      <c r="H163" s="482"/>
      <c r="I163" s="482"/>
      <c r="J163" s="482"/>
      <c r="K163" s="235"/>
    </row>
    <row r="164" spans="2:11" ht="17.25" customHeight="1" x14ac:dyDescent="0.3">
      <c r="B164" s="234"/>
      <c r="C164" s="255" t="s">
        <v>1073</v>
      </c>
      <c r="D164" s="255"/>
      <c r="E164" s="255"/>
      <c r="F164" s="255" t="s">
        <v>1074</v>
      </c>
      <c r="G164" s="292"/>
      <c r="H164" s="293" t="s">
        <v>122</v>
      </c>
      <c r="I164" s="293" t="s">
        <v>56</v>
      </c>
      <c r="J164" s="255" t="s">
        <v>1075</v>
      </c>
      <c r="K164" s="235"/>
    </row>
    <row r="165" spans="2:11" ht="17.25" customHeight="1" x14ac:dyDescent="0.3">
      <c r="B165" s="236"/>
      <c r="C165" s="257" t="s">
        <v>1076</v>
      </c>
      <c r="D165" s="257"/>
      <c r="E165" s="257"/>
      <c r="F165" s="258" t="s">
        <v>1077</v>
      </c>
      <c r="G165" s="294"/>
      <c r="H165" s="295"/>
      <c r="I165" s="295"/>
      <c r="J165" s="257" t="s">
        <v>1078</v>
      </c>
      <c r="K165" s="237"/>
    </row>
    <row r="166" spans="2:11" ht="5.25" customHeight="1" x14ac:dyDescent="0.3">
      <c r="B166" s="263"/>
      <c r="C166" s="260"/>
      <c r="D166" s="260"/>
      <c r="E166" s="260"/>
      <c r="F166" s="260"/>
      <c r="G166" s="261"/>
      <c r="H166" s="260"/>
      <c r="I166" s="260"/>
      <c r="J166" s="260"/>
      <c r="K166" s="284"/>
    </row>
    <row r="167" spans="2:11" ht="15" customHeight="1" x14ac:dyDescent="0.3">
      <c r="B167" s="263"/>
      <c r="C167" s="243" t="s">
        <v>1082</v>
      </c>
      <c r="D167" s="243"/>
      <c r="E167" s="243"/>
      <c r="F167" s="262" t="s">
        <v>1079</v>
      </c>
      <c r="G167" s="243"/>
      <c r="H167" s="243" t="s">
        <v>1118</v>
      </c>
      <c r="I167" s="243" t="s">
        <v>1081</v>
      </c>
      <c r="J167" s="243">
        <v>120</v>
      </c>
      <c r="K167" s="284"/>
    </row>
    <row r="168" spans="2:11" ht="15" customHeight="1" x14ac:dyDescent="0.3">
      <c r="B168" s="263"/>
      <c r="C168" s="243" t="s">
        <v>1127</v>
      </c>
      <c r="D168" s="243"/>
      <c r="E168" s="243"/>
      <c r="F168" s="262" t="s">
        <v>1079</v>
      </c>
      <c r="G168" s="243"/>
      <c r="H168" s="243" t="s">
        <v>1128</v>
      </c>
      <c r="I168" s="243" t="s">
        <v>1081</v>
      </c>
      <c r="J168" s="243" t="s">
        <v>1129</v>
      </c>
      <c r="K168" s="284"/>
    </row>
    <row r="169" spans="2:11" ht="15" customHeight="1" x14ac:dyDescent="0.3">
      <c r="B169" s="263"/>
      <c r="C169" s="243" t="s">
        <v>1028</v>
      </c>
      <c r="D169" s="243"/>
      <c r="E169" s="243"/>
      <c r="F169" s="262" t="s">
        <v>1079</v>
      </c>
      <c r="G169" s="243"/>
      <c r="H169" s="243" t="s">
        <v>1145</v>
      </c>
      <c r="I169" s="243" t="s">
        <v>1081</v>
      </c>
      <c r="J169" s="243" t="s">
        <v>1129</v>
      </c>
      <c r="K169" s="284"/>
    </row>
    <row r="170" spans="2:11" ht="15" customHeight="1" x14ac:dyDescent="0.3">
      <c r="B170" s="263"/>
      <c r="C170" s="243" t="s">
        <v>1084</v>
      </c>
      <c r="D170" s="243"/>
      <c r="E170" s="243"/>
      <c r="F170" s="262" t="s">
        <v>1085</v>
      </c>
      <c r="G170" s="243"/>
      <c r="H170" s="243" t="s">
        <v>1145</v>
      </c>
      <c r="I170" s="243" t="s">
        <v>1081</v>
      </c>
      <c r="J170" s="243">
        <v>50</v>
      </c>
      <c r="K170" s="284"/>
    </row>
    <row r="171" spans="2:11" ht="15" customHeight="1" x14ac:dyDescent="0.3">
      <c r="B171" s="263"/>
      <c r="C171" s="243" t="s">
        <v>1087</v>
      </c>
      <c r="D171" s="243"/>
      <c r="E171" s="243"/>
      <c r="F171" s="262" t="s">
        <v>1079</v>
      </c>
      <c r="G171" s="243"/>
      <c r="H171" s="243" t="s">
        <v>1145</v>
      </c>
      <c r="I171" s="243" t="s">
        <v>1089</v>
      </c>
      <c r="J171" s="243"/>
      <c r="K171" s="284"/>
    </row>
    <row r="172" spans="2:11" ht="15" customHeight="1" x14ac:dyDescent="0.3">
      <c r="B172" s="263"/>
      <c r="C172" s="243" t="s">
        <v>1098</v>
      </c>
      <c r="D172" s="243"/>
      <c r="E172" s="243"/>
      <c r="F172" s="262" t="s">
        <v>1085</v>
      </c>
      <c r="G172" s="243"/>
      <c r="H172" s="243" t="s">
        <v>1145</v>
      </c>
      <c r="I172" s="243" t="s">
        <v>1081</v>
      </c>
      <c r="J172" s="243">
        <v>50</v>
      </c>
      <c r="K172" s="284"/>
    </row>
    <row r="173" spans="2:11" ht="15" customHeight="1" x14ac:dyDescent="0.3">
      <c r="B173" s="263"/>
      <c r="C173" s="243" t="s">
        <v>1106</v>
      </c>
      <c r="D173" s="243"/>
      <c r="E173" s="243"/>
      <c r="F173" s="262" t="s">
        <v>1085</v>
      </c>
      <c r="G173" s="243"/>
      <c r="H173" s="243" t="s">
        <v>1145</v>
      </c>
      <c r="I173" s="243" t="s">
        <v>1081</v>
      </c>
      <c r="J173" s="243">
        <v>50</v>
      </c>
      <c r="K173" s="284"/>
    </row>
    <row r="174" spans="2:11" ht="15" customHeight="1" x14ac:dyDescent="0.3">
      <c r="B174" s="263"/>
      <c r="C174" s="243" t="s">
        <v>1104</v>
      </c>
      <c r="D174" s="243"/>
      <c r="E174" s="243"/>
      <c r="F174" s="262" t="s">
        <v>1085</v>
      </c>
      <c r="G174" s="243"/>
      <c r="H174" s="243" t="s">
        <v>1145</v>
      </c>
      <c r="I174" s="243" t="s">
        <v>1081</v>
      </c>
      <c r="J174" s="243">
        <v>50</v>
      </c>
      <c r="K174" s="284"/>
    </row>
    <row r="175" spans="2:11" ht="15" customHeight="1" x14ac:dyDescent="0.3">
      <c r="B175" s="263"/>
      <c r="C175" s="243" t="s">
        <v>121</v>
      </c>
      <c r="D175" s="243"/>
      <c r="E175" s="243"/>
      <c r="F175" s="262" t="s">
        <v>1079</v>
      </c>
      <c r="G175" s="243"/>
      <c r="H175" s="243" t="s">
        <v>1146</v>
      </c>
      <c r="I175" s="243" t="s">
        <v>1147</v>
      </c>
      <c r="J175" s="243"/>
      <c r="K175" s="284"/>
    </row>
    <row r="176" spans="2:11" ht="15" customHeight="1" x14ac:dyDescent="0.3">
      <c r="B176" s="263"/>
      <c r="C176" s="243" t="s">
        <v>56</v>
      </c>
      <c r="D176" s="243"/>
      <c r="E176" s="243"/>
      <c r="F176" s="262" t="s">
        <v>1079</v>
      </c>
      <c r="G176" s="243"/>
      <c r="H176" s="243" t="s">
        <v>1148</v>
      </c>
      <c r="I176" s="243" t="s">
        <v>1149</v>
      </c>
      <c r="J176" s="243">
        <v>1</v>
      </c>
      <c r="K176" s="284"/>
    </row>
    <row r="177" spans="2:11" ht="15" customHeight="1" x14ac:dyDescent="0.3">
      <c r="B177" s="263"/>
      <c r="C177" s="243" t="s">
        <v>52</v>
      </c>
      <c r="D177" s="243"/>
      <c r="E177" s="243"/>
      <c r="F177" s="262" t="s">
        <v>1079</v>
      </c>
      <c r="G177" s="243"/>
      <c r="H177" s="243" t="s">
        <v>1150</v>
      </c>
      <c r="I177" s="243" t="s">
        <v>1081</v>
      </c>
      <c r="J177" s="243">
        <v>20</v>
      </c>
      <c r="K177" s="284"/>
    </row>
    <row r="178" spans="2:11" ht="15" customHeight="1" x14ac:dyDescent="0.3">
      <c r="B178" s="263"/>
      <c r="C178" s="243" t="s">
        <v>122</v>
      </c>
      <c r="D178" s="243"/>
      <c r="E178" s="243"/>
      <c r="F178" s="262" t="s">
        <v>1079</v>
      </c>
      <c r="G178" s="243"/>
      <c r="H178" s="243" t="s">
        <v>1151</v>
      </c>
      <c r="I178" s="243" t="s">
        <v>1081</v>
      </c>
      <c r="J178" s="243">
        <v>255</v>
      </c>
      <c r="K178" s="284"/>
    </row>
    <row r="179" spans="2:11" ht="15" customHeight="1" x14ac:dyDescent="0.3">
      <c r="B179" s="263"/>
      <c r="C179" s="243" t="s">
        <v>123</v>
      </c>
      <c r="D179" s="243"/>
      <c r="E179" s="243"/>
      <c r="F179" s="262" t="s">
        <v>1079</v>
      </c>
      <c r="G179" s="243"/>
      <c r="H179" s="243" t="s">
        <v>1044</v>
      </c>
      <c r="I179" s="243" t="s">
        <v>1081</v>
      </c>
      <c r="J179" s="243">
        <v>10</v>
      </c>
      <c r="K179" s="284"/>
    </row>
    <row r="180" spans="2:11" ht="15" customHeight="1" x14ac:dyDescent="0.3">
      <c r="B180" s="263"/>
      <c r="C180" s="243" t="s">
        <v>124</v>
      </c>
      <c r="D180" s="243"/>
      <c r="E180" s="243"/>
      <c r="F180" s="262" t="s">
        <v>1079</v>
      </c>
      <c r="G180" s="243"/>
      <c r="H180" s="243" t="s">
        <v>1152</v>
      </c>
      <c r="I180" s="243" t="s">
        <v>1113</v>
      </c>
      <c r="J180" s="243"/>
      <c r="K180" s="284"/>
    </row>
    <row r="181" spans="2:11" ht="15" customHeight="1" x14ac:dyDescent="0.3">
      <c r="B181" s="263"/>
      <c r="C181" s="243" t="s">
        <v>1153</v>
      </c>
      <c r="D181" s="243"/>
      <c r="E181" s="243"/>
      <c r="F181" s="262" t="s">
        <v>1079</v>
      </c>
      <c r="G181" s="243"/>
      <c r="H181" s="243" t="s">
        <v>1154</v>
      </c>
      <c r="I181" s="243" t="s">
        <v>1113</v>
      </c>
      <c r="J181" s="243"/>
      <c r="K181" s="284"/>
    </row>
    <row r="182" spans="2:11" ht="15" customHeight="1" x14ac:dyDescent="0.3">
      <c r="B182" s="263"/>
      <c r="C182" s="243" t="s">
        <v>1142</v>
      </c>
      <c r="D182" s="243"/>
      <c r="E182" s="243"/>
      <c r="F182" s="262" t="s">
        <v>1079</v>
      </c>
      <c r="G182" s="243"/>
      <c r="H182" s="243" t="s">
        <v>1155</v>
      </c>
      <c r="I182" s="243" t="s">
        <v>1113</v>
      </c>
      <c r="J182" s="243"/>
      <c r="K182" s="284"/>
    </row>
    <row r="183" spans="2:11" ht="15" customHeight="1" x14ac:dyDescent="0.3">
      <c r="B183" s="263"/>
      <c r="C183" s="243" t="s">
        <v>126</v>
      </c>
      <c r="D183" s="243"/>
      <c r="E183" s="243"/>
      <c r="F183" s="262" t="s">
        <v>1085</v>
      </c>
      <c r="G183" s="243"/>
      <c r="H183" s="243" t="s">
        <v>1156</v>
      </c>
      <c r="I183" s="243" t="s">
        <v>1081</v>
      </c>
      <c r="J183" s="243">
        <v>50</v>
      </c>
      <c r="K183" s="284"/>
    </row>
    <row r="184" spans="2:11" ht="15" customHeight="1" x14ac:dyDescent="0.3">
      <c r="B184" s="263"/>
      <c r="C184" s="243" t="s">
        <v>1157</v>
      </c>
      <c r="D184" s="243"/>
      <c r="E184" s="243"/>
      <c r="F184" s="262" t="s">
        <v>1085</v>
      </c>
      <c r="G184" s="243"/>
      <c r="H184" s="243" t="s">
        <v>1158</v>
      </c>
      <c r="I184" s="243" t="s">
        <v>1159</v>
      </c>
      <c r="J184" s="243"/>
      <c r="K184" s="284"/>
    </row>
    <row r="185" spans="2:11" ht="15" customHeight="1" x14ac:dyDescent="0.3">
      <c r="B185" s="263"/>
      <c r="C185" s="243" t="s">
        <v>1160</v>
      </c>
      <c r="D185" s="243"/>
      <c r="E185" s="243"/>
      <c r="F185" s="262" t="s">
        <v>1085</v>
      </c>
      <c r="G185" s="243"/>
      <c r="H185" s="243" t="s">
        <v>1161</v>
      </c>
      <c r="I185" s="243" t="s">
        <v>1159</v>
      </c>
      <c r="J185" s="243"/>
      <c r="K185" s="284"/>
    </row>
    <row r="186" spans="2:11" ht="15" customHeight="1" x14ac:dyDescent="0.3">
      <c r="B186" s="263"/>
      <c r="C186" s="243" t="s">
        <v>1162</v>
      </c>
      <c r="D186" s="243"/>
      <c r="E186" s="243"/>
      <c r="F186" s="262" t="s">
        <v>1085</v>
      </c>
      <c r="G186" s="243"/>
      <c r="H186" s="243" t="s">
        <v>1163</v>
      </c>
      <c r="I186" s="243" t="s">
        <v>1159</v>
      </c>
      <c r="J186" s="243"/>
      <c r="K186" s="284"/>
    </row>
    <row r="187" spans="2:11" ht="15" customHeight="1" x14ac:dyDescent="0.3">
      <c r="B187" s="263"/>
      <c r="C187" s="296" t="s">
        <v>1164</v>
      </c>
      <c r="D187" s="243"/>
      <c r="E187" s="243"/>
      <c r="F187" s="262" t="s">
        <v>1085</v>
      </c>
      <c r="G187" s="243"/>
      <c r="H187" s="243" t="s">
        <v>1165</v>
      </c>
      <c r="I187" s="243" t="s">
        <v>1166</v>
      </c>
      <c r="J187" s="297" t="s">
        <v>1167</v>
      </c>
      <c r="K187" s="284"/>
    </row>
    <row r="188" spans="2:11" ht="15" customHeight="1" x14ac:dyDescent="0.3">
      <c r="B188" s="263"/>
      <c r="C188" s="248" t="s">
        <v>41</v>
      </c>
      <c r="D188" s="243"/>
      <c r="E188" s="243"/>
      <c r="F188" s="262" t="s">
        <v>1079</v>
      </c>
      <c r="G188" s="243"/>
      <c r="H188" s="239" t="s">
        <v>1168</v>
      </c>
      <c r="I188" s="243" t="s">
        <v>1169</v>
      </c>
      <c r="J188" s="243"/>
      <c r="K188" s="284"/>
    </row>
    <row r="189" spans="2:11" ht="15" customHeight="1" x14ac:dyDescent="0.3">
      <c r="B189" s="263"/>
      <c r="C189" s="248" t="s">
        <v>1170</v>
      </c>
      <c r="D189" s="243"/>
      <c r="E189" s="243"/>
      <c r="F189" s="262" t="s">
        <v>1079</v>
      </c>
      <c r="G189" s="243"/>
      <c r="H189" s="243" t="s">
        <v>1171</v>
      </c>
      <c r="I189" s="243" t="s">
        <v>1113</v>
      </c>
      <c r="J189" s="243"/>
      <c r="K189" s="284"/>
    </row>
    <row r="190" spans="2:11" ht="15" customHeight="1" x14ac:dyDescent="0.3">
      <c r="B190" s="263"/>
      <c r="C190" s="248" t="s">
        <v>1172</v>
      </c>
      <c r="D190" s="243"/>
      <c r="E190" s="243"/>
      <c r="F190" s="262" t="s">
        <v>1079</v>
      </c>
      <c r="G190" s="243"/>
      <c r="H190" s="243" t="s">
        <v>1173</v>
      </c>
      <c r="I190" s="243" t="s">
        <v>1113</v>
      </c>
      <c r="J190" s="243"/>
      <c r="K190" s="284"/>
    </row>
    <row r="191" spans="2:11" ht="15" customHeight="1" x14ac:dyDescent="0.3">
      <c r="B191" s="263"/>
      <c r="C191" s="248" t="s">
        <v>1174</v>
      </c>
      <c r="D191" s="243"/>
      <c r="E191" s="243"/>
      <c r="F191" s="262" t="s">
        <v>1085</v>
      </c>
      <c r="G191" s="243"/>
      <c r="H191" s="243" t="s">
        <v>1175</v>
      </c>
      <c r="I191" s="243" t="s">
        <v>1113</v>
      </c>
      <c r="J191" s="243"/>
      <c r="K191" s="284"/>
    </row>
    <row r="192" spans="2:11" ht="15" customHeight="1" x14ac:dyDescent="0.3">
      <c r="B192" s="290"/>
      <c r="C192" s="298"/>
      <c r="D192" s="272"/>
      <c r="E192" s="272"/>
      <c r="F192" s="272"/>
      <c r="G192" s="272"/>
      <c r="H192" s="272"/>
      <c r="I192" s="272"/>
      <c r="J192" s="272"/>
      <c r="K192" s="291"/>
    </row>
    <row r="193" spans="2:11" ht="18.75" customHeight="1" x14ac:dyDescent="0.3">
      <c r="B193" s="239"/>
      <c r="C193" s="243"/>
      <c r="D193" s="243"/>
      <c r="E193" s="243"/>
      <c r="F193" s="262"/>
      <c r="G193" s="243"/>
      <c r="H193" s="243"/>
      <c r="I193" s="243"/>
      <c r="J193" s="243"/>
      <c r="K193" s="239"/>
    </row>
    <row r="194" spans="2:11" ht="18.75" customHeight="1" x14ac:dyDescent="0.3">
      <c r="B194" s="239"/>
      <c r="C194" s="243"/>
      <c r="D194" s="243"/>
      <c r="E194" s="243"/>
      <c r="F194" s="262"/>
      <c r="G194" s="243"/>
      <c r="H194" s="243"/>
      <c r="I194" s="243"/>
      <c r="J194" s="243"/>
      <c r="K194" s="239"/>
    </row>
    <row r="195" spans="2:11" ht="18.75" customHeight="1" x14ac:dyDescent="0.3"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</row>
    <row r="196" spans="2:11" x14ac:dyDescent="0.3">
      <c r="B196" s="231"/>
      <c r="C196" s="232"/>
      <c r="D196" s="232"/>
      <c r="E196" s="232"/>
      <c r="F196" s="232"/>
      <c r="G196" s="232"/>
      <c r="H196" s="232"/>
      <c r="I196" s="232"/>
      <c r="J196" s="232"/>
      <c r="K196" s="233"/>
    </row>
    <row r="197" spans="2:11" ht="21" x14ac:dyDescent="0.3">
      <c r="B197" s="234"/>
      <c r="C197" s="482" t="s">
        <v>1176</v>
      </c>
      <c r="D197" s="482"/>
      <c r="E197" s="482"/>
      <c r="F197" s="482"/>
      <c r="G197" s="482"/>
      <c r="H197" s="482"/>
      <c r="I197" s="482"/>
      <c r="J197" s="482"/>
      <c r="K197" s="235"/>
    </row>
    <row r="198" spans="2:11" ht="25.5" customHeight="1" x14ac:dyDescent="0.3">
      <c r="B198" s="234"/>
      <c r="C198" s="299" t="s">
        <v>1177</v>
      </c>
      <c r="D198" s="299"/>
      <c r="E198" s="299"/>
      <c r="F198" s="299" t="s">
        <v>1178</v>
      </c>
      <c r="G198" s="300"/>
      <c r="H198" s="488" t="s">
        <v>1179</v>
      </c>
      <c r="I198" s="488"/>
      <c r="J198" s="488"/>
      <c r="K198" s="235"/>
    </row>
    <row r="199" spans="2:11" ht="5.25" customHeight="1" x14ac:dyDescent="0.3">
      <c r="B199" s="263"/>
      <c r="C199" s="260"/>
      <c r="D199" s="260"/>
      <c r="E199" s="260"/>
      <c r="F199" s="260"/>
      <c r="G199" s="243"/>
      <c r="H199" s="260"/>
      <c r="I199" s="260"/>
      <c r="J199" s="260"/>
      <c r="K199" s="284"/>
    </row>
    <row r="200" spans="2:11" ht="15" customHeight="1" x14ac:dyDescent="0.3">
      <c r="B200" s="263"/>
      <c r="C200" s="243" t="s">
        <v>1169</v>
      </c>
      <c r="D200" s="243"/>
      <c r="E200" s="243"/>
      <c r="F200" s="262" t="s">
        <v>42</v>
      </c>
      <c r="G200" s="243"/>
      <c r="H200" s="484" t="s">
        <v>1180</v>
      </c>
      <c r="I200" s="484"/>
      <c r="J200" s="484"/>
      <c r="K200" s="284"/>
    </row>
    <row r="201" spans="2:11" ht="15" customHeight="1" x14ac:dyDescent="0.3">
      <c r="B201" s="263"/>
      <c r="C201" s="269"/>
      <c r="D201" s="243"/>
      <c r="E201" s="243"/>
      <c r="F201" s="262" t="s">
        <v>43</v>
      </c>
      <c r="G201" s="243"/>
      <c r="H201" s="484" t="s">
        <v>1181</v>
      </c>
      <c r="I201" s="484"/>
      <c r="J201" s="484"/>
      <c r="K201" s="284"/>
    </row>
    <row r="202" spans="2:11" ht="15" customHeight="1" x14ac:dyDescent="0.3">
      <c r="B202" s="263"/>
      <c r="C202" s="269"/>
      <c r="D202" s="243"/>
      <c r="E202" s="243"/>
      <c r="F202" s="262" t="s">
        <v>46</v>
      </c>
      <c r="G202" s="243"/>
      <c r="H202" s="484" t="s">
        <v>1182</v>
      </c>
      <c r="I202" s="484"/>
      <c r="J202" s="484"/>
      <c r="K202" s="284"/>
    </row>
    <row r="203" spans="2:11" ht="15" customHeight="1" x14ac:dyDescent="0.3">
      <c r="B203" s="263"/>
      <c r="C203" s="243"/>
      <c r="D203" s="243"/>
      <c r="E203" s="243"/>
      <c r="F203" s="262" t="s">
        <v>44</v>
      </c>
      <c r="G203" s="243"/>
      <c r="H203" s="484" t="s">
        <v>1183</v>
      </c>
      <c r="I203" s="484"/>
      <c r="J203" s="484"/>
      <c r="K203" s="284"/>
    </row>
    <row r="204" spans="2:11" ht="15" customHeight="1" x14ac:dyDescent="0.3">
      <c r="B204" s="263"/>
      <c r="C204" s="243"/>
      <c r="D204" s="243"/>
      <c r="E204" s="243"/>
      <c r="F204" s="262" t="s">
        <v>45</v>
      </c>
      <c r="G204" s="243"/>
      <c r="H204" s="484" t="s">
        <v>1184</v>
      </c>
      <c r="I204" s="484"/>
      <c r="J204" s="484"/>
      <c r="K204" s="284"/>
    </row>
    <row r="205" spans="2:11" ht="15" customHeight="1" x14ac:dyDescent="0.3">
      <c r="B205" s="263"/>
      <c r="C205" s="243"/>
      <c r="D205" s="243"/>
      <c r="E205" s="243"/>
      <c r="F205" s="262"/>
      <c r="G205" s="243"/>
      <c r="H205" s="243"/>
      <c r="I205" s="243"/>
      <c r="J205" s="243"/>
      <c r="K205" s="284"/>
    </row>
    <row r="206" spans="2:11" ht="15" customHeight="1" x14ac:dyDescent="0.3">
      <c r="B206" s="263"/>
      <c r="C206" s="243" t="s">
        <v>1125</v>
      </c>
      <c r="D206" s="243"/>
      <c r="E206" s="243"/>
      <c r="F206" s="262" t="s">
        <v>78</v>
      </c>
      <c r="G206" s="243"/>
      <c r="H206" s="484" t="s">
        <v>1185</v>
      </c>
      <c r="I206" s="484"/>
      <c r="J206" s="484"/>
      <c r="K206" s="284"/>
    </row>
    <row r="207" spans="2:11" ht="15" customHeight="1" x14ac:dyDescent="0.3">
      <c r="B207" s="263"/>
      <c r="C207" s="269"/>
      <c r="D207" s="243"/>
      <c r="E207" s="243"/>
      <c r="F207" s="262" t="s">
        <v>1022</v>
      </c>
      <c r="G207" s="243"/>
      <c r="H207" s="484" t="s">
        <v>1023</v>
      </c>
      <c r="I207" s="484"/>
      <c r="J207" s="484"/>
      <c r="K207" s="284"/>
    </row>
    <row r="208" spans="2:11" ht="15" customHeight="1" x14ac:dyDescent="0.3">
      <c r="B208" s="263"/>
      <c r="C208" s="243"/>
      <c r="D208" s="243"/>
      <c r="E208" s="243"/>
      <c r="F208" s="262" t="s">
        <v>1020</v>
      </c>
      <c r="G208" s="243"/>
      <c r="H208" s="484" t="s">
        <v>1186</v>
      </c>
      <c r="I208" s="484"/>
      <c r="J208" s="484"/>
      <c r="K208" s="284"/>
    </row>
    <row r="209" spans="2:11" ht="15" customHeight="1" x14ac:dyDescent="0.3">
      <c r="B209" s="301"/>
      <c r="C209" s="269"/>
      <c r="D209" s="269"/>
      <c r="E209" s="269"/>
      <c r="F209" s="262" t="s">
        <v>1024</v>
      </c>
      <c r="G209" s="248"/>
      <c r="H209" s="483" t="s">
        <v>1025</v>
      </c>
      <c r="I209" s="483"/>
      <c r="J209" s="483"/>
      <c r="K209" s="302"/>
    </row>
    <row r="210" spans="2:11" ht="15" customHeight="1" x14ac:dyDescent="0.3">
      <c r="B210" s="301"/>
      <c r="C210" s="269"/>
      <c r="D210" s="269"/>
      <c r="E210" s="269"/>
      <c r="F210" s="262" t="s">
        <v>1026</v>
      </c>
      <c r="G210" s="248"/>
      <c r="H210" s="483" t="s">
        <v>1187</v>
      </c>
      <c r="I210" s="483"/>
      <c r="J210" s="483"/>
      <c r="K210" s="302"/>
    </row>
    <row r="211" spans="2:11" ht="15" customHeight="1" x14ac:dyDescent="0.3">
      <c r="B211" s="301"/>
      <c r="C211" s="269"/>
      <c r="D211" s="269"/>
      <c r="E211" s="269"/>
      <c r="F211" s="303"/>
      <c r="G211" s="248"/>
      <c r="H211" s="304"/>
      <c r="I211" s="304"/>
      <c r="J211" s="304"/>
      <c r="K211" s="302"/>
    </row>
    <row r="212" spans="2:11" ht="15" customHeight="1" x14ac:dyDescent="0.3">
      <c r="B212" s="301"/>
      <c r="C212" s="243" t="s">
        <v>1149</v>
      </c>
      <c r="D212" s="269"/>
      <c r="E212" s="269"/>
      <c r="F212" s="262">
        <v>1</v>
      </c>
      <c r="G212" s="248"/>
      <c r="H212" s="483" t="s">
        <v>1188</v>
      </c>
      <c r="I212" s="483"/>
      <c r="J212" s="483"/>
      <c r="K212" s="302"/>
    </row>
    <row r="213" spans="2:11" ht="15" customHeight="1" x14ac:dyDescent="0.3">
      <c r="B213" s="301"/>
      <c r="C213" s="269"/>
      <c r="D213" s="269"/>
      <c r="E213" s="269"/>
      <c r="F213" s="262">
        <v>2</v>
      </c>
      <c r="G213" s="248"/>
      <c r="H213" s="483" t="s">
        <v>1189</v>
      </c>
      <c r="I213" s="483"/>
      <c r="J213" s="483"/>
      <c r="K213" s="302"/>
    </row>
    <row r="214" spans="2:11" ht="15" customHeight="1" x14ac:dyDescent="0.3">
      <c r="B214" s="301"/>
      <c r="C214" s="269"/>
      <c r="D214" s="269"/>
      <c r="E214" s="269"/>
      <c r="F214" s="262">
        <v>3</v>
      </c>
      <c r="G214" s="248"/>
      <c r="H214" s="483" t="s">
        <v>1190</v>
      </c>
      <c r="I214" s="483"/>
      <c r="J214" s="483"/>
      <c r="K214" s="302"/>
    </row>
    <row r="215" spans="2:11" ht="15" customHeight="1" x14ac:dyDescent="0.3">
      <c r="B215" s="301"/>
      <c r="C215" s="269"/>
      <c r="D215" s="269"/>
      <c r="E215" s="269"/>
      <c r="F215" s="262">
        <v>4</v>
      </c>
      <c r="G215" s="248"/>
      <c r="H215" s="483" t="s">
        <v>1191</v>
      </c>
      <c r="I215" s="483"/>
      <c r="J215" s="483"/>
      <c r="K215" s="302"/>
    </row>
    <row r="216" spans="2:11" ht="12.75" customHeight="1" x14ac:dyDescent="0.3">
      <c r="B216" s="305"/>
      <c r="C216" s="306"/>
      <c r="D216" s="306"/>
      <c r="E216" s="306"/>
      <c r="F216" s="306"/>
      <c r="G216" s="306"/>
      <c r="H216" s="306"/>
      <c r="I216" s="306"/>
      <c r="J216" s="306"/>
      <c r="K216" s="307"/>
    </row>
  </sheetData>
  <sheetProtection formatCells="0" formatColumns="0" formatRows="0" insertColumns="0" insertRows="0" insertHyperlinks="0" deleteColumns="0" deleteRows="0" sort="0" autoFilter="0" pivotTables="0"/>
  <mergeCells count="77">
    <mergeCell ref="C3:J3"/>
    <mergeCell ref="C4:J4"/>
    <mergeCell ref="C6:J6"/>
    <mergeCell ref="C7:J7"/>
    <mergeCell ref="D11:J11"/>
    <mergeCell ref="D14:J14"/>
    <mergeCell ref="D15:J15"/>
    <mergeCell ref="F16:J16"/>
    <mergeCell ref="F17:J17"/>
    <mergeCell ref="C9:J9"/>
    <mergeCell ref="D10:J10"/>
    <mergeCell ref="D13:J13"/>
    <mergeCell ref="D31:J31"/>
    <mergeCell ref="C24:J24"/>
    <mergeCell ref="D32:J32"/>
    <mergeCell ref="F18:J18"/>
    <mergeCell ref="F21:J21"/>
    <mergeCell ref="C23:J23"/>
    <mergeCell ref="D25:J25"/>
    <mergeCell ref="D26:J26"/>
    <mergeCell ref="D28:J28"/>
    <mergeCell ref="D29:J29"/>
    <mergeCell ref="F19:J19"/>
    <mergeCell ref="F20:J20"/>
    <mergeCell ref="D33:J33"/>
    <mergeCell ref="G34:J34"/>
    <mergeCell ref="G35:J35"/>
    <mergeCell ref="D49:J49"/>
    <mergeCell ref="E48:J48"/>
    <mergeCell ref="G36:J36"/>
    <mergeCell ref="G37:J37"/>
    <mergeCell ref="D58:J58"/>
    <mergeCell ref="D59:J59"/>
    <mergeCell ref="C50:J50"/>
    <mergeCell ref="G38:J38"/>
    <mergeCell ref="G39:J39"/>
    <mergeCell ref="G40:J40"/>
    <mergeCell ref="G41:J41"/>
    <mergeCell ref="G42:J42"/>
    <mergeCell ref="G43:J43"/>
    <mergeCell ref="D45:J45"/>
    <mergeCell ref="E46:J46"/>
    <mergeCell ref="E47:J47"/>
    <mergeCell ref="C52:J52"/>
    <mergeCell ref="C53:J53"/>
    <mergeCell ref="C55:J55"/>
    <mergeCell ref="D56:J56"/>
    <mergeCell ref="D57:J57"/>
    <mergeCell ref="H200:J200"/>
    <mergeCell ref="D60:J60"/>
    <mergeCell ref="D63:J63"/>
    <mergeCell ref="D64:J64"/>
    <mergeCell ref="D66:J66"/>
    <mergeCell ref="D65:J65"/>
    <mergeCell ref="C100:J100"/>
    <mergeCell ref="D61:J61"/>
    <mergeCell ref="D67:J67"/>
    <mergeCell ref="D68:J68"/>
    <mergeCell ref="C73:J73"/>
    <mergeCell ref="H198:J198"/>
    <mergeCell ref="C163:J163"/>
    <mergeCell ref="C120:J120"/>
    <mergeCell ref="C145:J145"/>
    <mergeCell ref="C197:J197"/>
    <mergeCell ref="H215:J215"/>
    <mergeCell ref="H213:J213"/>
    <mergeCell ref="H210:J210"/>
    <mergeCell ref="H209:J209"/>
    <mergeCell ref="H207:J207"/>
    <mergeCell ref="H208:J208"/>
    <mergeCell ref="H203:J203"/>
    <mergeCell ref="H201:J201"/>
    <mergeCell ref="H212:J212"/>
    <mergeCell ref="H214:J214"/>
    <mergeCell ref="H206:J206"/>
    <mergeCell ref="H204:J204"/>
    <mergeCell ref="H202:J202"/>
  </mergeCells>
  <pageMargins left="0.59027779999999996" right="0.59027779999999996" top="0.59027779999999996" bottom="0.59027779999999996" header="0" footer="0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5</vt:i4>
      </vt:variant>
    </vt:vector>
  </HeadingPairs>
  <TitlesOfParts>
    <vt:vector size="8" baseType="lpstr">
      <vt:lpstr>Rekapitulace stavby</vt:lpstr>
      <vt:lpstr>Bytový dům - Nájemní bydl...</vt:lpstr>
      <vt:lpstr>Pokyny pro vyplnění</vt:lpstr>
      <vt:lpstr>'Bytový dům - Nájemní bydl...'!Názvy_tisku</vt:lpstr>
      <vt:lpstr>'Rekapitulace stavby'!Názvy_tisku</vt:lpstr>
      <vt:lpstr>'Bytový dům - Nájemní bydl...'!Oblast_tisku</vt:lpstr>
      <vt:lpstr>'Pokyny pro vyplnění'!Oblast_tisku</vt:lpstr>
      <vt:lpstr>'Rekapitulace stavby'!Oblast_tisku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MARTINA\Michal</dc:creator>
  <cp:lastModifiedBy>LP staving - Beneš</cp:lastModifiedBy>
  <cp:lastPrinted>2021-12-02T14:33:32Z</cp:lastPrinted>
  <dcterms:created xsi:type="dcterms:W3CDTF">2018-11-02T20:46:27Z</dcterms:created>
  <dcterms:modified xsi:type="dcterms:W3CDTF">2022-01-05T15:32:31Z</dcterms:modified>
</cp:coreProperties>
</file>