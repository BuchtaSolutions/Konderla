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Q:\Nabídky 2025\23368 RC Zone Přerov\04 CN IMOS\1.kolo_doplnění rekapitulace\"/>
    </mc:Choice>
  </mc:AlternateContent>
  <xr:revisionPtr revIDLastSave="0" documentId="13_ncr:1_{75C987A3-692E-451B-9165-D3EBA55B69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rycí list" sheetId="2" r:id="rId1"/>
    <sheet name="Rekapitulace" sheetId="1" r:id="rId2"/>
    <sheet name="Prefa konstrukce hal" sheetId="4" r:id="rId3"/>
  </sheets>
  <definedNames>
    <definedName name="_xlnm._FilterDatabase" localSheetId="2" hidden="1">'Prefa konstrukce hal'!$C$118:$K$147</definedName>
    <definedName name="_xlnm.Print_Titles" localSheetId="2">'Prefa konstrukce hal'!$118:$118</definedName>
    <definedName name="_xlnm.Print_Area" localSheetId="2">'Prefa konstrukce hal'!$C$4:$J$76,'Prefa konstrukce hal'!$C$82:$J$100,'Prefa konstrukce hal'!$C$106:$J$147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4" l="1"/>
  <c r="F33" i="4"/>
  <c r="J119" i="4" l="1"/>
  <c r="J140" i="4"/>
  <c r="J132" i="4"/>
  <c r="J120" i="4"/>
  <c r="J147" i="4" l="1"/>
  <c r="J146" i="4"/>
  <c r="J145" i="4"/>
  <c r="J144" i="4"/>
  <c r="J143" i="4"/>
  <c r="J142" i="4"/>
  <c r="J141" i="4"/>
  <c r="J139" i="4"/>
  <c r="J138" i="4"/>
  <c r="J137" i="4"/>
  <c r="J136" i="4"/>
  <c r="J135" i="4"/>
  <c r="J134" i="4"/>
  <c r="J133" i="4"/>
  <c r="J131" i="4"/>
  <c r="J130" i="4"/>
  <c r="J129" i="4"/>
  <c r="J128" i="4"/>
  <c r="J127" i="4"/>
  <c r="J126" i="4"/>
  <c r="J125" i="4"/>
  <c r="J124" i="4"/>
  <c r="J123" i="4"/>
  <c r="J122" i="4"/>
  <c r="J121" i="4"/>
  <c r="J115" i="4"/>
  <c r="F113" i="4"/>
  <c r="E111" i="4"/>
  <c r="F89" i="4"/>
  <c r="E87" i="4"/>
  <c r="J37" i="4"/>
  <c r="J36" i="4"/>
  <c r="J35" i="4"/>
  <c r="J116" i="4"/>
  <c r="J91" i="4"/>
  <c r="F116" i="4"/>
  <c r="F91" i="4"/>
  <c r="J113" i="4"/>
  <c r="E109" i="4"/>
  <c r="F37" i="4" l="1"/>
  <c r="F35" i="4"/>
  <c r="F36" i="4"/>
  <c r="C133" i="1"/>
  <c r="E85" i="4"/>
  <c r="J89" i="4"/>
  <c r="F115" i="4"/>
  <c r="F92" i="4"/>
  <c r="J92" i="4"/>
  <c r="J98" i="4" l="1"/>
  <c r="C134" i="1"/>
  <c r="C132" i="1" s="1"/>
  <c r="J99" i="4"/>
  <c r="C135" i="1"/>
  <c r="D35" i="2"/>
  <c r="J97" i="4"/>
  <c r="J96" i="4" l="1"/>
  <c r="J30" i="4"/>
  <c r="J39" i="4" s="1"/>
  <c r="A1" i="1"/>
  <c r="A3" i="1" l="1"/>
  <c r="C123" i="1" l="1"/>
  <c r="D34" i="2" s="1"/>
  <c r="C114" i="1"/>
  <c r="D33" i="2" s="1"/>
  <c r="C105" i="1"/>
  <c r="D32" i="2" s="1"/>
  <c r="C94" i="1"/>
  <c r="D31" i="2" s="1"/>
  <c r="C89" i="1" l="1"/>
  <c r="D30" i="2" s="1"/>
  <c r="C82" i="1" l="1"/>
  <c r="D29" i="2" s="1"/>
  <c r="C76" i="1" l="1"/>
  <c r="D28" i="2" s="1"/>
  <c r="C65" i="1" l="1"/>
  <c r="D27" i="2" s="1"/>
  <c r="C52" i="1" l="1"/>
  <c r="D26" i="2" s="1"/>
  <c r="C36" i="1" l="1"/>
  <c r="D25" i="2" s="1"/>
  <c r="C28" i="1"/>
  <c r="D24" i="2" s="1"/>
  <c r="C18" i="1" l="1"/>
  <c r="D23" i="2" s="1"/>
  <c r="C7" i="1"/>
  <c r="C5" i="1" l="1"/>
  <c r="D22" i="2"/>
  <c r="D38" i="2" l="1"/>
</calcChain>
</file>

<file path=xl/sharedStrings.xml><?xml version="1.0" encoding="utf-8"?>
<sst xmlns="http://schemas.openxmlformats.org/spreadsheetml/2006/main" count="379" uniqueCount="230">
  <si>
    <t>Pozice</t>
  </si>
  <si>
    <t>Popis</t>
  </si>
  <si>
    <t>Cena</t>
  </si>
  <si>
    <t>Poznámky</t>
  </si>
  <si>
    <t>Venkovní objekty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</si>
  <si>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</si>
  <si>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</si>
  <si>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</si>
  <si>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</si>
  <si>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</si>
  <si>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</si>
  <si>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</si>
  <si>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</si>
  <si>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</si>
  <si>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Opláštění</t>
  </si>
  <si>
    <t>SHZ</t>
  </si>
  <si>
    <t>Demolice a přípava staveniště</t>
  </si>
  <si>
    <t>Příprava podloží / pláně</t>
  </si>
  <si>
    <t>Sanace podloží pod objekty, komunikacemi a zpev. plochami</t>
  </si>
  <si>
    <t>Odvodnění pláně</t>
  </si>
  <si>
    <t>Zhutněný násyp pod objektem (zeminová deska)</t>
  </si>
  <si>
    <t>Dočasně zpevněné manipulační plochy</t>
  </si>
  <si>
    <t>Tepelná izolace</t>
  </si>
  <si>
    <t>Chráničky</t>
  </si>
  <si>
    <t>Ostatní</t>
  </si>
  <si>
    <t>Komunikace</t>
  </si>
  <si>
    <r>
      <t xml:space="preserve">Komunikace a zpevněné plochy - část 1 </t>
    </r>
    <r>
      <rPr>
        <b/>
        <sz val="12"/>
        <color theme="1"/>
        <rFont val="Arial"/>
        <family val="2"/>
        <charset val="238"/>
      </rPr>
      <t>(SO 1100.1)</t>
    </r>
  </si>
  <si>
    <r>
      <t xml:space="preserve">Komunikace a zpevněné plochy - část 2 </t>
    </r>
    <r>
      <rPr>
        <b/>
        <sz val="12"/>
        <color theme="1"/>
        <rFont val="Arial"/>
        <family val="2"/>
        <charset val="238"/>
      </rPr>
      <t>(SO 1100.2)</t>
    </r>
  </si>
  <si>
    <r>
      <t xml:space="preserve">Komunikace a zpevněné plochy - část 3 </t>
    </r>
    <r>
      <rPr>
        <b/>
        <sz val="12"/>
        <color theme="1"/>
        <rFont val="Arial"/>
        <family val="2"/>
        <charset val="238"/>
      </rPr>
      <t>(SO 1100.3)</t>
    </r>
  </si>
  <si>
    <r>
      <t xml:space="preserve">Komunikace a zpevněné plochy - část 4 </t>
    </r>
    <r>
      <rPr>
        <b/>
        <sz val="12"/>
        <color theme="1"/>
        <rFont val="Arial"/>
        <family val="2"/>
        <charset val="238"/>
      </rPr>
      <t>(SO 1100.4)</t>
    </r>
  </si>
  <si>
    <r>
      <t xml:space="preserve">Komunikace a zpevněné plochy - část 5 </t>
    </r>
    <r>
      <rPr>
        <b/>
        <sz val="12"/>
        <color theme="1"/>
        <rFont val="Arial"/>
        <family val="2"/>
        <charset val="238"/>
      </rPr>
      <t>(SO 1100.5)</t>
    </r>
  </si>
  <si>
    <r>
      <t xml:space="preserve">Komunikace a zpevněné plochy - část 6 </t>
    </r>
    <r>
      <rPr>
        <b/>
        <sz val="12"/>
        <color theme="1"/>
        <rFont val="Arial"/>
        <family val="2"/>
        <charset val="238"/>
      </rPr>
      <t>(SO 1100.6)</t>
    </r>
  </si>
  <si>
    <r>
      <t xml:space="preserve">Komunikace a zpevněné plochy - část 7 </t>
    </r>
    <r>
      <rPr>
        <b/>
        <sz val="12"/>
        <color theme="1"/>
        <rFont val="Arial"/>
        <family val="2"/>
        <charset val="238"/>
      </rPr>
      <t>(SO 1100.7)</t>
    </r>
  </si>
  <si>
    <r>
      <t>Komunikace a zpevněné plochy - část 8</t>
    </r>
    <r>
      <rPr>
        <b/>
        <sz val="12"/>
        <color theme="1"/>
        <rFont val="Arial"/>
        <family val="2"/>
        <charset val="238"/>
      </rPr>
      <t xml:space="preserve"> (SO 1100.8)</t>
    </r>
  </si>
  <si>
    <r>
      <t xml:space="preserve">HTÚ </t>
    </r>
    <r>
      <rPr>
        <b/>
        <sz val="12"/>
        <color theme="1"/>
        <rFont val="Arial"/>
        <family val="2"/>
        <charset val="238"/>
      </rPr>
      <t>(SO 1000)</t>
    </r>
  </si>
  <si>
    <t xml:space="preserve">Splašková kanalizace </t>
  </si>
  <si>
    <r>
      <t xml:space="preserve">Splašková kanalizace - přípojka </t>
    </r>
    <r>
      <rPr>
        <b/>
        <sz val="12"/>
        <color theme="1"/>
        <rFont val="Arial"/>
        <family val="2"/>
        <charset val="238"/>
      </rPr>
      <t>(SO 1200.1)</t>
    </r>
  </si>
  <si>
    <r>
      <t xml:space="preserve">Splašková kanalizace - ČS + výtlak </t>
    </r>
    <r>
      <rPr>
        <b/>
        <sz val="12"/>
        <color theme="1"/>
        <rFont val="Arial"/>
        <family val="2"/>
        <charset val="238"/>
      </rPr>
      <t>(SO 1200.2)</t>
    </r>
  </si>
  <si>
    <r>
      <t xml:space="preserve">Splašková kanalizace - areál PR 01 </t>
    </r>
    <r>
      <rPr>
        <b/>
        <sz val="12"/>
        <color theme="1"/>
        <rFont val="Arial"/>
        <family val="2"/>
        <charset val="238"/>
      </rPr>
      <t>(SO 1200.10)</t>
    </r>
  </si>
  <si>
    <r>
      <t xml:space="preserve">Splašková kanalizace – areál společná </t>
    </r>
    <r>
      <rPr>
        <b/>
        <sz val="12"/>
        <color theme="1"/>
        <rFont val="Arial"/>
        <family val="2"/>
        <charset val="238"/>
      </rPr>
      <t>(SO 1200.3)</t>
    </r>
  </si>
  <si>
    <r>
      <t xml:space="preserve">Splašková kanalizace - areál PR 02 </t>
    </r>
    <r>
      <rPr>
        <b/>
        <sz val="12"/>
        <color theme="1"/>
        <rFont val="Arial"/>
        <family val="2"/>
        <charset val="238"/>
      </rPr>
      <t>(SO 1200.20)</t>
    </r>
  </si>
  <si>
    <r>
      <t xml:space="preserve">Splašková kanalizace - areál PR 03 </t>
    </r>
    <r>
      <rPr>
        <b/>
        <sz val="12"/>
        <color theme="1"/>
        <rFont val="Arial"/>
        <family val="2"/>
        <charset val="238"/>
      </rPr>
      <t>(SO 1200.30)</t>
    </r>
  </si>
  <si>
    <t>Dešťová kanalizace</t>
  </si>
  <si>
    <r>
      <t xml:space="preserve">Dešťová kanalizace – areál PR01 - západ </t>
    </r>
    <r>
      <rPr>
        <b/>
        <sz val="12"/>
        <color theme="1"/>
        <rFont val="Arial"/>
        <family val="2"/>
        <charset val="238"/>
      </rPr>
      <t>(SO 1250.10)</t>
    </r>
  </si>
  <si>
    <r>
      <t xml:space="preserve">Dešťová kanalizace - areál PR 01 - jih </t>
    </r>
    <r>
      <rPr>
        <b/>
        <sz val="12"/>
        <color theme="1"/>
        <rFont val="Arial"/>
        <family val="2"/>
        <charset val="238"/>
      </rPr>
      <t>(SO 1250.11)</t>
    </r>
  </si>
  <si>
    <r>
      <t xml:space="preserve">Dešťová kanalizace - AN PR 01 - jih </t>
    </r>
    <r>
      <rPr>
        <b/>
        <sz val="12"/>
        <color theme="1"/>
        <rFont val="Arial"/>
        <family val="2"/>
        <charset val="238"/>
      </rPr>
      <t>(SO 1250.12)</t>
    </r>
  </si>
  <si>
    <r>
      <t>Dešťová kanalizace - vsak PR 01 - JIH</t>
    </r>
    <r>
      <rPr>
        <b/>
        <sz val="12"/>
        <color theme="1"/>
        <rFont val="Arial"/>
        <family val="2"/>
        <charset val="238"/>
      </rPr>
      <t xml:space="preserve"> (SO 1250.13)</t>
    </r>
  </si>
  <si>
    <r>
      <t>Dešťová kanalizace - areál PR 02</t>
    </r>
    <r>
      <rPr>
        <b/>
        <sz val="12"/>
        <color theme="1"/>
        <rFont val="Arial"/>
        <family val="2"/>
        <charset val="238"/>
      </rPr>
      <t xml:space="preserve"> (SO 1250.20)</t>
    </r>
  </si>
  <si>
    <r>
      <t xml:space="preserve">Dešťová kanalizace - AN PR 02 </t>
    </r>
    <r>
      <rPr>
        <b/>
        <sz val="12"/>
        <color theme="1"/>
        <rFont val="Arial"/>
        <family val="2"/>
        <charset val="238"/>
      </rPr>
      <t>(SO 1250.21)</t>
    </r>
  </si>
  <si>
    <r>
      <t xml:space="preserve">Dešťová kanalizace - RN PR 02 </t>
    </r>
    <r>
      <rPr>
        <b/>
        <sz val="12"/>
        <color theme="1"/>
        <rFont val="Arial"/>
        <family val="2"/>
        <charset val="238"/>
      </rPr>
      <t>(SO 1250.22)</t>
    </r>
  </si>
  <si>
    <r>
      <t xml:space="preserve">Dešťová kanalizace - ČS + výtlak PR 02 </t>
    </r>
    <r>
      <rPr>
        <b/>
        <sz val="12"/>
        <color theme="1"/>
        <rFont val="Arial"/>
        <family val="2"/>
        <charset val="238"/>
      </rPr>
      <t>(SO 1250.23)</t>
    </r>
  </si>
  <si>
    <r>
      <t xml:space="preserve">Dešťová kanalizace - vsak PR 02 </t>
    </r>
    <r>
      <rPr>
        <b/>
        <sz val="12"/>
        <color theme="1"/>
        <rFont val="Arial"/>
        <family val="2"/>
        <charset val="238"/>
      </rPr>
      <t>(SO 1250.24)</t>
    </r>
  </si>
  <si>
    <r>
      <t xml:space="preserve">Dešťová kanalizace - areál PR 03 - východ </t>
    </r>
    <r>
      <rPr>
        <b/>
        <sz val="12"/>
        <color theme="1"/>
        <rFont val="Arial"/>
        <family val="2"/>
        <charset val="238"/>
      </rPr>
      <t>(SO 1250.30)</t>
    </r>
  </si>
  <si>
    <r>
      <t xml:space="preserve">Dešťová kanalizace - vsak PR 03 - východ </t>
    </r>
    <r>
      <rPr>
        <b/>
        <sz val="12"/>
        <color theme="1"/>
        <rFont val="Arial"/>
        <family val="2"/>
        <charset val="238"/>
      </rPr>
      <t>(SO 1250.31)</t>
    </r>
  </si>
  <si>
    <r>
      <t>Dešťová kanalizace - areál PR 03 - západ</t>
    </r>
    <r>
      <rPr>
        <b/>
        <sz val="12"/>
        <color theme="1"/>
        <rFont val="Arial"/>
        <family val="2"/>
        <charset val="238"/>
      </rPr>
      <t xml:space="preserve"> (SO 1250.32)</t>
    </r>
  </si>
  <si>
    <r>
      <t xml:space="preserve">Dešťová kanalizace - AN PR 03 - západ </t>
    </r>
    <r>
      <rPr>
        <b/>
        <sz val="12"/>
        <color theme="1"/>
        <rFont val="Arial"/>
        <family val="2"/>
        <charset val="238"/>
      </rPr>
      <t>(SO 1250.33)</t>
    </r>
  </si>
  <si>
    <r>
      <t xml:space="preserve">Dešťová kanalizace - vsak u PR 03 - západ </t>
    </r>
    <r>
      <rPr>
        <b/>
        <sz val="12"/>
        <color theme="1"/>
        <rFont val="Arial"/>
        <family val="2"/>
        <charset val="238"/>
      </rPr>
      <t>(SO 1250.34)</t>
    </r>
  </si>
  <si>
    <t>Zaolejovaná kanalizace</t>
  </si>
  <si>
    <r>
      <t xml:space="preserve">Zaolejovaná kanalizace - ORL PR 01 </t>
    </r>
    <r>
      <rPr>
        <b/>
        <sz val="12"/>
        <color theme="1"/>
        <rFont val="Arial"/>
        <family val="2"/>
        <charset val="238"/>
      </rPr>
      <t>(SO 1300.11)</t>
    </r>
  </si>
  <si>
    <r>
      <t xml:space="preserve">Zaolejovaná kanalizace - areál PR 02 - jih </t>
    </r>
    <r>
      <rPr>
        <b/>
        <sz val="12"/>
        <color theme="1"/>
        <rFont val="Arial"/>
        <family val="2"/>
        <charset val="238"/>
      </rPr>
      <t>(SO 1300.20)</t>
    </r>
  </si>
  <si>
    <r>
      <t xml:space="preserve">Zaolejovaná kanalizace - ORL PR 02 - jih </t>
    </r>
    <r>
      <rPr>
        <b/>
        <sz val="12"/>
        <color theme="1"/>
        <rFont val="Arial"/>
        <family val="2"/>
        <charset val="238"/>
      </rPr>
      <t>(SO 1300.21)</t>
    </r>
  </si>
  <si>
    <r>
      <t xml:space="preserve">Zaolejovaná kanalizace - areál PR 02 - sever </t>
    </r>
    <r>
      <rPr>
        <b/>
        <sz val="12"/>
        <color theme="1"/>
        <rFont val="Arial"/>
        <family val="2"/>
        <charset val="238"/>
      </rPr>
      <t>(SO 1300.22)</t>
    </r>
  </si>
  <si>
    <r>
      <t xml:space="preserve">Zaolejovaná kanalizace - RN PR 02 - sever </t>
    </r>
    <r>
      <rPr>
        <b/>
        <sz val="12"/>
        <color theme="1"/>
        <rFont val="Arial"/>
        <family val="2"/>
        <charset val="238"/>
      </rPr>
      <t>(SO 1300.24)</t>
    </r>
  </si>
  <si>
    <r>
      <t xml:space="preserve">Zaolejovaná kanalizace - areál PR 03 </t>
    </r>
    <r>
      <rPr>
        <b/>
        <sz val="12"/>
        <color theme="1"/>
        <rFont val="Arial"/>
        <family val="2"/>
        <charset val="238"/>
      </rPr>
      <t>(SO 1300.30)</t>
    </r>
  </si>
  <si>
    <r>
      <t xml:space="preserve">Zaolejovaná kanalizace - ORL PR 03 </t>
    </r>
    <r>
      <rPr>
        <b/>
        <sz val="12"/>
        <color theme="1"/>
        <rFont val="Arial"/>
        <family val="2"/>
        <charset val="238"/>
      </rPr>
      <t>(SO 1300.31)</t>
    </r>
  </si>
  <si>
    <r>
      <t xml:space="preserve">Zaolejovaná kanalizace - ČS + výtlak PR 03 </t>
    </r>
    <r>
      <rPr>
        <b/>
        <sz val="12"/>
        <color theme="1"/>
        <rFont val="Arial"/>
        <family val="2"/>
        <charset val="238"/>
      </rPr>
      <t>(SO 1300.32)</t>
    </r>
  </si>
  <si>
    <t>Vodovod</t>
  </si>
  <si>
    <r>
      <t xml:space="preserve">Vodovod - přeložka - východ </t>
    </r>
    <r>
      <rPr>
        <b/>
        <sz val="12"/>
        <color theme="1"/>
        <rFont val="Arial"/>
        <family val="2"/>
        <charset val="238"/>
      </rPr>
      <t>(SO 1350.1)</t>
    </r>
  </si>
  <si>
    <r>
      <t xml:space="preserve">Vodovod - přeložka - západ </t>
    </r>
    <r>
      <rPr>
        <b/>
        <sz val="12"/>
        <color theme="1"/>
        <rFont val="Arial"/>
        <family val="2"/>
        <charset val="238"/>
      </rPr>
      <t>(SO 1350.2)</t>
    </r>
  </si>
  <si>
    <r>
      <t xml:space="preserve">Vodovod - přípojka </t>
    </r>
    <r>
      <rPr>
        <b/>
        <sz val="12"/>
        <color theme="1"/>
        <rFont val="Arial"/>
        <family val="2"/>
        <charset val="238"/>
      </rPr>
      <t>(SO 1350.3)</t>
    </r>
  </si>
  <si>
    <r>
      <t xml:space="preserve">Vodovod – areálový rozvod - společný </t>
    </r>
    <r>
      <rPr>
        <b/>
        <sz val="12"/>
        <color theme="1"/>
        <rFont val="Arial"/>
        <family val="2"/>
        <charset val="238"/>
      </rPr>
      <t>(SO 1350.4)</t>
    </r>
  </si>
  <si>
    <r>
      <t xml:space="preserve">Vodovod – napojení SHZ </t>
    </r>
    <r>
      <rPr>
        <b/>
        <sz val="12"/>
        <color theme="1"/>
        <rFont val="Arial"/>
        <family val="2"/>
        <charset val="238"/>
      </rPr>
      <t>(SO 1350.5)</t>
    </r>
  </si>
  <si>
    <r>
      <t xml:space="preserve">Vodovod –areálový rozvod - PR 01 </t>
    </r>
    <r>
      <rPr>
        <b/>
        <sz val="12"/>
        <color theme="1"/>
        <rFont val="Arial"/>
        <family val="2"/>
        <charset val="238"/>
      </rPr>
      <t>(SO 1350.10)</t>
    </r>
  </si>
  <si>
    <r>
      <t xml:space="preserve">Vodovod – napojení PR 01 </t>
    </r>
    <r>
      <rPr>
        <b/>
        <sz val="12"/>
        <color theme="1"/>
        <rFont val="Arial"/>
        <family val="2"/>
        <charset val="238"/>
      </rPr>
      <t>(SO 1350.11)</t>
    </r>
  </si>
  <si>
    <r>
      <t xml:space="preserve">Vodovod – napojení PR 02 </t>
    </r>
    <r>
      <rPr>
        <b/>
        <sz val="12"/>
        <color theme="1"/>
        <rFont val="Arial"/>
        <family val="2"/>
        <charset val="238"/>
      </rPr>
      <t>(SO 1350.20)</t>
    </r>
  </si>
  <si>
    <r>
      <t xml:space="preserve">Vodovod – napojení PR 03 </t>
    </r>
    <r>
      <rPr>
        <b/>
        <sz val="12"/>
        <color theme="1"/>
        <rFont val="Arial"/>
        <family val="2"/>
        <charset val="238"/>
      </rPr>
      <t>(SO 1350.30)</t>
    </r>
  </si>
  <si>
    <t>Požární vodovod</t>
  </si>
  <si>
    <r>
      <t xml:space="preserve">Požární vodovod – část společná </t>
    </r>
    <r>
      <rPr>
        <b/>
        <sz val="12"/>
        <color theme="1"/>
        <rFont val="Arial"/>
        <family val="2"/>
        <charset val="238"/>
      </rPr>
      <t>(SO 1650.1)</t>
    </r>
  </si>
  <si>
    <r>
      <t xml:space="preserve">Požární vodovod – část PR 03 </t>
    </r>
    <r>
      <rPr>
        <b/>
        <sz val="12"/>
        <color theme="1"/>
        <rFont val="Arial"/>
        <family val="2"/>
        <charset val="238"/>
      </rPr>
      <t>(SO 1650.30)</t>
    </r>
  </si>
  <si>
    <r>
      <t xml:space="preserve">Požární vodovod – část PR 02 </t>
    </r>
    <r>
      <rPr>
        <b/>
        <sz val="12"/>
        <color theme="1"/>
        <rFont val="Arial"/>
        <family val="2"/>
        <charset val="238"/>
      </rPr>
      <t>(SO 1650.20)</t>
    </r>
  </si>
  <si>
    <r>
      <t>Požární vodovod – část PR 01</t>
    </r>
    <r>
      <rPr>
        <b/>
        <sz val="12"/>
        <color theme="1"/>
        <rFont val="Arial"/>
        <family val="2"/>
        <charset val="238"/>
      </rPr>
      <t xml:space="preserve"> (SO 1650.10)</t>
    </r>
  </si>
  <si>
    <r>
      <t xml:space="preserve">Venkovní elektroinstalace </t>
    </r>
    <r>
      <rPr>
        <b/>
        <sz val="12"/>
        <color theme="1"/>
        <rFont val="Arial"/>
        <family val="2"/>
        <charset val="238"/>
      </rPr>
      <t>(SO 7500)</t>
    </r>
  </si>
  <si>
    <t>Kabely</t>
  </si>
  <si>
    <t>Svítidla</t>
  </si>
  <si>
    <t>Elektroinstalační materiály a kabelové trasy</t>
  </si>
  <si>
    <t>Zemní práce</t>
  </si>
  <si>
    <t>Materiál</t>
  </si>
  <si>
    <r>
      <t xml:space="preserve">Areálové rozvody VN a trafostanice </t>
    </r>
    <r>
      <rPr>
        <b/>
        <sz val="12"/>
        <color theme="1"/>
        <rFont val="Arial"/>
        <family val="2"/>
        <charset val="238"/>
      </rPr>
      <t>(SO 7600)</t>
    </r>
  </si>
  <si>
    <t>Pilotové založení</t>
  </si>
  <si>
    <t>Monolitické dobetonávky</t>
  </si>
  <si>
    <t>Střešní plášť</t>
  </si>
  <si>
    <t>Světlíky</t>
  </si>
  <si>
    <t>Průmyslové vrata</t>
  </si>
  <si>
    <t>Vnitřní příčky</t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</si>
  <si>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7200)</t>
    </r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</si>
  <si>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7000)</t>
    </r>
  </si>
  <si>
    <t>SHZ nádrž</t>
  </si>
  <si>
    <t>CENOVÁ NABÍDKA</t>
  </si>
  <si>
    <t>Zadavatel:</t>
  </si>
  <si>
    <t>Zhotovitel:</t>
  </si>
  <si>
    <t>Vyřizuje:
Tel.:
e-mail:</t>
  </si>
  <si>
    <t>Zpracoval:
Tel.:
e-mail:</t>
  </si>
  <si>
    <t>Tel.:</t>
  </si>
  <si>
    <t>e-mail:</t>
  </si>
  <si>
    <t>Číslo nabídky:</t>
  </si>
  <si>
    <t>Datum:</t>
  </si>
  <si>
    <t>NÁZEV AKCE :</t>
  </si>
  <si>
    <t xml:space="preserve"> </t>
  </si>
  <si>
    <t>REKAPITULACE NÁKLADŮ :</t>
  </si>
  <si>
    <t>CELKEM ZA OBJEKT:</t>
  </si>
  <si>
    <t>POZNÁMKA:</t>
  </si>
  <si>
    <t>PŘÍLOHY:</t>
  </si>
  <si>
    <t>Položkový rozpočet</t>
  </si>
  <si>
    <t>HTÚ</t>
  </si>
  <si>
    <t>Splašková kanalizace</t>
  </si>
  <si>
    <t>Venkovní elektroinstalace</t>
  </si>
  <si>
    <t>Areálové rozvody VN a trafostanice</t>
  </si>
  <si>
    <r>
      <t xml:space="preserve">Zaolejovaná kanalizace - areál PR 01 </t>
    </r>
    <r>
      <rPr>
        <b/>
        <sz val="12"/>
        <color theme="1"/>
        <rFont val="Arial"/>
        <family val="2"/>
        <charset val="238"/>
      </rPr>
      <t>(SO 1300.10)</t>
    </r>
  </si>
  <si>
    <r>
      <t xml:space="preserve">Zaolejovaná kanalizace - RN PR 01 </t>
    </r>
    <r>
      <rPr>
        <b/>
        <sz val="12"/>
        <color theme="1"/>
        <rFont val="Arial"/>
        <family val="2"/>
        <charset val="238"/>
      </rPr>
      <t>(SO 1300.12)</t>
    </r>
  </si>
  <si>
    <r>
      <t xml:space="preserve">Zaolejovaná kanalizace - ORL PR 02 - sever </t>
    </r>
    <r>
      <rPr>
        <b/>
        <sz val="12"/>
        <color theme="1"/>
        <rFont val="Arial"/>
        <family val="2"/>
        <charset val="238"/>
      </rPr>
      <t>(SO 1300.23)</t>
    </r>
  </si>
  <si>
    <t>Hala PR01</t>
  </si>
  <si>
    <t>Hala PR02</t>
  </si>
  <si>
    <t>Hala PR03</t>
  </si>
  <si>
    <t>PD - v rozsahu dle VV</t>
  </si>
  <si>
    <t>VRN - v rozsahu dle VV</t>
  </si>
  <si>
    <t>Roman  Červený</t>
  </si>
  <si>
    <t>cerveny@konderla.eu</t>
  </si>
  <si>
    <t>RC Zone Přerov</t>
  </si>
  <si>
    <t>2</t>
  </si>
  <si>
    <t>KRYCÍ LIST SOUPISU PRACÍ</t>
  </si>
  <si>
    <t>Stavba:</t>
  </si>
  <si>
    <t>Objekt:</t>
  </si>
  <si>
    <t>03 - Prefa konstrukce hala 01, 02, 03</t>
  </si>
  <si>
    <t>KSO:</t>
  </si>
  <si>
    <t/>
  </si>
  <si>
    <t>CC-CZ:</t>
  </si>
  <si>
    <t>Místo:</t>
  </si>
  <si>
    <t>IČ:</t>
  </si>
  <si>
    <t>DIČ:</t>
  </si>
  <si>
    <t>Projektant:</t>
  </si>
  <si>
    <t>Zpracovatel:</t>
  </si>
  <si>
    <t>Poznámka:</t>
  </si>
  <si>
    <t>Cena bez DPH</t>
  </si>
  <si>
    <t>Základ daně</t>
  </si>
  <si>
    <t>Sazba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</si>
  <si>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</si>
  <si>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</si>
  <si>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</si>
  <si>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</si>
  <si>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</si>
  <si>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</si>
  <si>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</si>
  <si>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</si>
  <si>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</si>
  <si>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</si>
  <si>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</si>
  <si>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</si>
  <si>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</si>
  <si>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</si>
  <si>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</si>
  <si>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</si>
  <si>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ČLENĚNÍ SOUPISU PRACÍ</t>
  </si>
  <si>
    <t>Kód dílu - Popis</t>
  </si>
  <si>
    <t>Cena celkem [CZK]</t>
  </si>
  <si>
    <t>Náklady ze soupisu prací</t>
  </si>
  <si>
    <t>D1 - Nosná konstrukce SO 01</t>
  </si>
  <si>
    <t>D2 - Nosná konstrukce SO 02</t>
  </si>
  <si>
    <t>SOUPIS PRACÍ</t>
  </si>
  <si>
    <t>PČ</t>
  </si>
  <si>
    <t>Typ</t>
  </si>
  <si>
    <t>Kód</t>
  </si>
  <si>
    <t>MJ</t>
  </si>
  <si>
    <t>Množství</t>
  </si>
  <si>
    <t>J.cena [CZK]</t>
  </si>
  <si>
    <t>Cenová soustava</t>
  </si>
  <si>
    <t>Náklady soupisu celkem</t>
  </si>
  <si>
    <t>D</t>
  </si>
  <si>
    <t>D1</t>
  </si>
  <si>
    <t>1</t>
  </si>
  <si>
    <t>K</t>
  </si>
  <si>
    <t>sloupy</t>
  </si>
  <si>
    <t>ks</t>
  </si>
  <si>
    <t>4</t>
  </si>
  <si>
    <t>vazníky</t>
  </si>
  <si>
    <t>3</t>
  </si>
  <si>
    <t>vaznice</t>
  </si>
  <si>
    <t>6</t>
  </si>
  <si>
    <t>ztužidla</t>
  </si>
  <si>
    <t>8</t>
  </si>
  <si>
    <t>5</t>
  </si>
  <si>
    <t>základové prahy sendvičové tl. 360mm</t>
  </si>
  <si>
    <t>10</t>
  </si>
  <si>
    <t>základové prahy sendvičové tl. 410mm</t>
  </si>
  <si>
    <t>12</t>
  </si>
  <si>
    <t>7</t>
  </si>
  <si>
    <t>parapetní panely plné tl. 140mm</t>
  </si>
  <si>
    <t>14</t>
  </si>
  <si>
    <t>prvky rampových můstků</t>
  </si>
  <si>
    <t>16</t>
  </si>
  <si>
    <t>9</t>
  </si>
  <si>
    <t>monolitická dna rampových můstků</t>
  </si>
  <si>
    <t>18</t>
  </si>
  <si>
    <t>monolitická pata základových prahů</t>
  </si>
  <si>
    <t>20</t>
  </si>
  <si>
    <t>11</t>
  </si>
  <si>
    <t>stropní dílce budoucího rozšíření</t>
  </si>
  <si>
    <t>22</t>
  </si>
  <si>
    <t>D2</t>
  </si>
  <si>
    <t>24</t>
  </si>
  <si>
    <t>13</t>
  </si>
  <si>
    <t>15</t>
  </si>
  <si>
    <t>17</t>
  </si>
  <si>
    <t>19</t>
  </si>
  <si>
    <t>21</t>
  </si>
  <si>
    <t>23</t>
  </si>
  <si>
    <t>25</t>
  </si>
  <si>
    <t>Nosná konstrukce PR03</t>
  </si>
  <si>
    <t>Nosná konstrukce PR01</t>
  </si>
  <si>
    <t>Nosná konstrukce PR02</t>
  </si>
  <si>
    <t>Prefa konstrukce</t>
  </si>
  <si>
    <t>D3</t>
  </si>
  <si>
    <t>D3 - Nosná konstrukce SO 02</t>
  </si>
  <si>
    <t>RC Zone Přerov - Prefa konstrukce</t>
  </si>
  <si>
    <t>RC Europe</t>
  </si>
  <si>
    <t>Nádražní 238/7</t>
  </si>
  <si>
    <t>682 01 Vyškov, Česká republika</t>
  </si>
  <si>
    <t>IMOS Brno, a.s., závod Ostrava, Varšavská 1583/99,                 709 00 Ostrava</t>
  </si>
  <si>
    <t>David Platzer</t>
  </si>
  <si>
    <t>+420 724 332 996</t>
  </si>
  <si>
    <t>PlatzerDav@imosbrno.eu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</si>
</sst>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[$€-1]_);[Red]\(#,##0\ [$€-1]\)"/>
    <numFmt numFmtId="165" formatCode="#,##0\ &quot;Kč&quot;;[Red]#,##0\ &quot;Kč&quot;"/>
    <numFmt numFmtId="166" formatCode="#,##0\ &quot;Kč&quot;"/>
    <numFmt numFmtId="167" formatCode="dd\.mm\.yyyy"/>
    <numFmt numFmtId="168" formatCode="#,##0.00%"/>
    <numFmt numFmtId="170" formatCode="#,##0.000"/>
  </numFmts>
  <fonts count="39">
    <font>
      <sz val="11"/>
      <color theme="1"/>
      <name val="Aptos Narrow"/>
      <family val="2"/>
      <charset val="238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rgb="FFFF0000"/>
      <name val="Arial"/>
      <family val="2"/>
      <charset val="238"/>
    </font>
    <font>
      <sz val="12"/>
      <name val="formata"/>
      <charset val="238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name val="Arial CE"/>
      <family val="2"/>
      <charset val="238"/>
    </font>
    <font>
      <b/>
      <sz val="28"/>
      <color indexed="55"/>
      <name val="Tahoma"/>
      <family val="2"/>
    </font>
    <font>
      <b/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b/>
      <sz val="11"/>
      <color theme="1"/>
      <name val="Aptos Narrow"/>
      <family val="2"/>
      <charset val="238"/>
      <scheme val="minor"/>
    </font>
    <font>
      <sz val="7"/>
      <color theme="1"/>
      <name val="Arial"/>
      <family val="2"/>
      <charset val="238"/>
    </font>
    <font>
      <b/>
      <sz val="11"/>
      <color theme="1" tint="0.34998626667073579"/>
      <name val="Arial"/>
      <family val="2"/>
      <charset val="238"/>
    </font>
    <font>
      <b/>
      <sz val="10"/>
      <color theme="1" tint="0.34998626667073579"/>
      <name val="Arial"/>
      <family val="2"/>
      <charset val="238"/>
    </font>
    <font>
      <sz val="8"/>
      <name val="Arial CE"/>
      <family val="2"/>
    </font>
    <font>
      <b/>
      <sz val="14"/>
      <name val="Arial CE"/>
    </font>
    <font>
      <sz val="10"/>
      <color rgb="FF969696"/>
      <name val="Arial CE"/>
    </font>
    <font>
      <b/>
      <sz val="11"/>
      <name val="Arial CE"/>
    </font>
    <font>
      <sz val="10"/>
      <name val="Arial CE"/>
    </font>
    <font>
      <b/>
      <sz val="10"/>
      <name val="Arial CE"/>
    </font>
    <font>
      <b/>
      <sz val="12"/>
      <color rgb="FF960000"/>
      <name val="Arial CE"/>
    </font>
    <font>
      <sz val="8"/>
      <color rgb="FF969696"/>
      <name val="Arial CE"/>
    </font>
    <font>
      <b/>
      <sz val="12"/>
      <name val="Arial CE"/>
    </font>
    <font>
      <b/>
      <sz val="10"/>
      <color rgb="FF464646"/>
      <name val="Arial CE"/>
    </font>
    <font>
      <sz val="9"/>
      <name val="Arial CE"/>
    </font>
    <font>
      <b/>
      <sz val="12"/>
      <color rgb="FF800000"/>
      <name val="Arial CE"/>
    </font>
    <font>
      <sz val="12"/>
      <color rgb="FF003366"/>
      <name val="Arial CE"/>
    </font>
    <font>
      <sz val="8"/>
      <color rgb="FF003366"/>
      <name val="Arial CE"/>
    </font>
    <font>
      <sz val="11"/>
      <name val="Calibri Light"/>
      <family val="2"/>
      <charset val="238"/>
    </font>
    <font>
      <u/>
      <sz val="11"/>
      <name val="Aptos Narrow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2D2D2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969696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6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0"/>
    <xf numFmtId="0" fontId="8" fillId="0" borderId="0"/>
    <xf numFmtId="0" fontId="23" fillId="0" borderId="0"/>
  </cellStyleXfs>
  <cellXfs count="222">
    <xf numFmtId="0" fontId="0" fillId="0" borderId="0" xfId="0"/>
    <xf numFmtId="2" fontId="3" fillId="0" borderId="1" xfId="0" applyNumberFormat="1" applyFont="1" applyBorder="1" applyAlignment="1" applyProtection="1">
      <alignment vertical="center"/>
      <protection hidden="1"/>
    </xf>
    <xf numFmtId="49" fontId="1" fillId="3" borderId="1" xfId="0" applyNumberFormat="1" applyFont="1" applyFill="1" applyBorder="1" applyAlignment="1" applyProtection="1">
      <alignment vertical="center"/>
      <protection hidden="1"/>
    </xf>
    <xf numFmtId="165" fontId="1" fillId="3" borderId="1" xfId="0" applyNumberFormat="1" applyFont="1" applyFill="1" applyBorder="1" applyAlignment="1" applyProtection="1">
      <alignment vertical="center"/>
      <protection hidden="1"/>
    </xf>
    <xf numFmtId="49" fontId="3" fillId="0" borderId="1" xfId="0" applyNumberFormat="1" applyFont="1" applyBorder="1" applyAlignment="1" applyProtection="1">
      <alignment vertical="center"/>
      <protection hidden="1"/>
    </xf>
    <xf numFmtId="164" fontId="3" fillId="0" borderId="1" xfId="0" applyNumberFormat="1" applyFont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locked="0"/>
    </xf>
    <xf numFmtId="49" fontId="1" fillId="3" borderId="3" xfId="0" applyNumberFormat="1" applyFont="1" applyFill="1" applyBorder="1" applyAlignment="1" applyProtection="1">
      <alignment vertical="center"/>
      <protection hidden="1"/>
    </xf>
    <xf numFmtId="165" fontId="1" fillId="3" borderId="3" xfId="0" applyNumberFormat="1" applyFont="1" applyFill="1" applyBorder="1" applyAlignment="1" applyProtection="1">
      <alignment vertical="center"/>
      <protection hidden="1"/>
    </xf>
    <xf numFmtId="49" fontId="1" fillId="3" borderId="2" xfId="0" applyNumberFormat="1" applyFont="1" applyFill="1" applyBorder="1" applyAlignment="1" applyProtection="1">
      <alignment horizontal="center" vertical="center"/>
      <protection hidden="1"/>
    </xf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49" fontId="3" fillId="0" borderId="1" xfId="0" applyNumberFormat="1" applyFont="1" applyBorder="1" applyAlignment="1" applyProtection="1">
      <alignment horizontal="right" vertical="center"/>
      <protection hidden="1"/>
    </xf>
    <xf numFmtId="165" fontId="0" fillId="0" borderId="0" xfId="0" applyNumberFormat="1"/>
    <xf numFmtId="49" fontId="3" fillId="0" borderId="1" xfId="0" applyNumberFormat="1" applyFont="1" applyBorder="1" applyAlignment="1" applyProtection="1">
      <alignment horizontal="left" vertical="center"/>
      <protection hidden="1"/>
    </xf>
    <xf numFmtId="165" fontId="5" fillId="2" borderId="1" xfId="0" applyNumberFormat="1" applyFont="1" applyFill="1" applyBorder="1" applyAlignment="1" applyProtection="1">
      <alignment vertical="center"/>
      <protection hidden="1"/>
    </xf>
    <xf numFmtId="0" fontId="13" fillId="4" borderId="10" xfId="3" applyFont="1" applyFill="1" applyBorder="1" applyAlignment="1">
      <alignment horizontal="left" vertical="center" wrapText="1" indent="1"/>
    </xf>
    <xf numFmtId="3" fontId="15" fillId="4" borderId="10" xfId="3" applyNumberFormat="1" applyFont="1" applyFill="1" applyBorder="1" applyAlignment="1">
      <alignment horizontal="left" vertical="center" wrapText="1" indent="1"/>
    </xf>
    <xf numFmtId="3" fontId="15" fillId="4" borderId="13" xfId="3" applyNumberFormat="1" applyFont="1" applyFill="1" applyBorder="1" applyAlignment="1">
      <alignment horizontal="left" vertical="center" wrapText="1" indent="1"/>
    </xf>
    <xf numFmtId="0" fontId="15" fillId="4" borderId="10" xfId="3" applyFont="1" applyFill="1" applyBorder="1" applyAlignment="1">
      <alignment horizontal="left" vertical="center" wrapText="1" indent="1"/>
    </xf>
    <xf numFmtId="0" fontId="9" fillId="4" borderId="13" xfId="2" applyFill="1" applyBorder="1" applyAlignment="1">
      <alignment horizontal="left" vertical="center" wrapText="1" indent="1"/>
    </xf>
    <xf numFmtId="0" fontId="0" fillId="4" borderId="1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6" fillId="0" borderId="2" xfId="3" applyFont="1" applyBorder="1" applyAlignment="1">
      <alignment horizontal="left" vertical="center" wrapText="1"/>
    </xf>
    <xf numFmtId="0" fontId="12" fillId="5" borderId="2" xfId="2" applyFont="1" applyFill="1" applyBorder="1" applyAlignment="1">
      <alignment horizontal="left" vertical="center" wrapText="1" indent="1"/>
    </xf>
    <xf numFmtId="14" fontId="14" fillId="5" borderId="2" xfId="2" applyNumberFormat="1" applyFont="1" applyFill="1" applyBorder="1" applyAlignment="1" applyProtection="1">
      <alignment horizontal="left" vertical="center" wrapText="1" indent="1"/>
    </xf>
    <xf numFmtId="0" fontId="16" fillId="5" borderId="16" xfId="3" applyFont="1" applyFill="1" applyBorder="1" applyAlignment="1">
      <alignment horizontal="left" vertical="center" wrapText="1"/>
    </xf>
    <xf numFmtId="0" fontId="9" fillId="5" borderId="0" xfId="2" applyFill="1" applyAlignment="1">
      <alignment horizontal="left" vertical="center" wrapText="1" indent="1"/>
    </xf>
    <xf numFmtId="0" fontId="16" fillId="5" borderId="0" xfId="3" applyFont="1" applyFill="1" applyAlignment="1">
      <alignment horizontal="left" vertical="center" wrapText="1"/>
    </xf>
    <xf numFmtId="0" fontId="9" fillId="5" borderId="15" xfId="2" applyFill="1" applyBorder="1" applyAlignment="1">
      <alignment horizontal="left" vertical="center" wrapText="1" indent="1"/>
    </xf>
    <xf numFmtId="0" fontId="17" fillId="6" borderId="5" xfId="0" applyFont="1" applyFill="1" applyBorder="1" applyAlignment="1">
      <alignment horizontal="left"/>
    </xf>
    <xf numFmtId="0" fontId="17" fillId="6" borderId="6" xfId="0" applyFont="1" applyFill="1" applyBorder="1" applyAlignment="1">
      <alignment horizontal="left"/>
    </xf>
    <xf numFmtId="0" fontId="10" fillId="0" borderId="13" xfId="3" applyBorder="1" applyAlignment="1">
      <alignment horizontal="right" vertical="top" wrapText="1" indent="1"/>
    </xf>
    <xf numFmtId="166" fontId="10" fillId="0" borderId="13" xfId="3" applyNumberFormat="1" applyBorder="1" applyAlignment="1">
      <alignment horizontal="right" vertical="top" wrapText="1" indent="1"/>
    </xf>
    <xf numFmtId="166" fontId="18" fillId="6" borderId="13" xfId="3" applyNumberFormat="1" applyFont="1" applyFill="1" applyBorder="1" applyAlignment="1">
      <alignment horizontal="right" vertical="center" indent="1"/>
    </xf>
    <xf numFmtId="0" fontId="11" fillId="0" borderId="16" xfId="3" applyFont="1" applyBorder="1" applyAlignment="1">
      <alignment vertical="center"/>
    </xf>
    <xf numFmtId="0" fontId="12" fillId="0" borderId="16" xfId="3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10" fillId="0" borderId="0" xfId="3" applyAlignment="1">
      <alignment wrapText="1"/>
    </xf>
    <xf numFmtId="0" fontId="8" fillId="0" borderId="16" xfId="4" applyBorder="1" applyAlignment="1">
      <alignment vertical="top"/>
    </xf>
    <xf numFmtId="0" fontId="8" fillId="0" borderId="0" xfId="4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12" fillId="0" borderId="7" xfId="3" applyFont="1" applyBorder="1" applyAlignment="1">
      <alignment horizontal="left"/>
    </xf>
    <xf numFmtId="0" fontId="11" fillId="0" borderId="0" xfId="3" applyFont="1" applyAlignment="1">
      <alignment vertical="center"/>
    </xf>
    <xf numFmtId="0" fontId="10" fillId="0" borderId="15" xfId="3" applyBorder="1"/>
    <xf numFmtId="0" fontId="9" fillId="4" borderId="15" xfId="2" applyFill="1" applyBorder="1" applyAlignment="1">
      <alignment horizontal="left" indent="1"/>
    </xf>
    <xf numFmtId="0" fontId="1" fillId="3" borderId="30" xfId="0" applyFont="1" applyFill="1" applyBorder="1" applyAlignment="1" applyProtection="1">
      <alignment horizontal="center" vertical="center"/>
      <protection hidden="1"/>
    </xf>
    <xf numFmtId="164" fontId="1" fillId="3" borderId="31" xfId="0" applyNumberFormat="1" applyFont="1" applyFill="1" applyBorder="1" applyAlignment="1" applyProtection="1">
      <alignment horizontal="center" vertical="center"/>
      <protection hidden="1"/>
    </xf>
    <xf numFmtId="0" fontId="1" fillId="3" borderId="32" xfId="0" applyFont="1" applyFill="1" applyBorder="1" applyAlignment="1" applyProtection="1">
      <alignment vertical="center"/>
      <protection hidden="1"/>
    </xf>
    <xf numFmtId="164" fontId="1" fillId="3" borderId="33" xfId="0" applyNumberFormat="1" applyFont="1" applyFill="1" applyBorder="1" applyAlignment="1" applyProtection="1">
      <alignment vertical="center"/>
      <protection hidden="1"/>
    </xf>
    <xf numFmtId="49" fontId="3" fillId="0" borderId="34" xfId="0" applyNumberFormat="1" applyFont="1" applyBorder="1" applyAlignment="1" applyProtection="1">
      <alignment horizontal="right" vertical="center"/>
      <protection hidden="1"/>
    </xf>
    <xf numFmtId="49" fontId="3" fillId="0" borderId="35" xfId="0" applyNumberFormat="1" applyFont="1" applyBorder="1" applyAlignment="1" applyProtection="1">
      <alignment horizontal="right" vertical="center"/>
      <protection hidden="1"/>
    </xf>
    <xf numFmtId="0" fontId="6" fillId="0" borderId="35" xfId="0" applyFont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hidden="1"/>
    </xf>
    <xf numFmtId="0" fontId="1" fillId="3" borderId="34" xfId="0" applyFont="1" applyFill="1" applyBorder="1" applyAlignment="1" applyProtection="1">
      <alignment vertical="center"/>
      <protection hidden="1"/>
    </xf>
    <xf numFmtId="0" fontId="2" fillId="3" borderId="35" xfId="0" applyFont="1" applyFill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locked="0"/>
    </xf>
    <xf numFmtId="0" fontId="6" fillId="0" borderId="35" xfId="0" applyFont="1" applyBorder="1" applyAlignment="1" applyProtection="1">
      <alignment vertical="center" wrapText="1"/>
      <protection locked="0"/>
    </xf>
    <xf numFmtId="0" fontId="3" fillId="0" borderId="34" xfId="0" applyFont="1" applyBorder="1" applyAlignment="1" applyProtection="1">
      <alignment horizontal="right" vertical="center"/>
      <protection hidden="1"/>
    </xf>
    <xf numFmtId="0" fontId="3" fillId="0" borderId="36" xfId="0" applyFont="1" applyBorder="1" applyAlignment="1" applyProtection="1">
      <alignment horizontal="right" vertical="center"/>
      <protection hidden="1"/>
    </xf>
    <xf numFmtId="49" fontId="3" fillId="0" borderId="37" xfId="0" applyNumberFormat="1" applyFont="1" applyBorder="1" applyAlignment="1" applyProtection="1">
      <alignment vertical="center"/>
      <protection hidden="1"/>
    </xf>
    <xf numFmtId="164" fontId="3" fillId="0" borderId="37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 wrapText="1"/>
      <protection hidden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0" fontId="23" fillId="0" borderId="0" xfId="5"/>
    <xf numFmtId="0" fontId="23" fillId="0" borderId="39" xfId="5" applyBorder="1"/>
    <xf numFmtId="0" fontId="23" fillId="0" borderId="40" xfId="5" applyBorder="1"/>
    <xf numFmtId="0" fontId="23" fillId="0" borderId="41" xfId="5" applyBorder="1"/>
    <xf numFmtId="0" fontId="24" fillId="0" borderId="0" xfId="5" applyFont="1" applyAlignment="1">
      <alignment horizontal="left" vertical="center"/>
    </xf>
    <xf numFmtId="0" fontId="25" fillId="0" borderId="0" xfId="5" applyFont="1" applyAlignment="1">
      <alignment horizontal="left" vertical="center"/>
    </xf>
    <xf numFmtId="0" fontId="23" fillId="0" borderId="0" xfId="5" applyAlignment="1">
      <alignment vertical="center"/>
    </xf>
    <xf numFmtId="0" fontId="23" fillId="0" borderId="41" xfId="5" applyBorder="1" applyAlignment="1">
      <alignment vertical="center"/>
    </xf>
    <xf numFmtId="0" fontId="27" fillId="0" borderId="0" xfId="5" applyFont="1" applyAlignment="1">
      <alignment horizontal="left" vertical="center"/>
    </xf>
    <xf numFmtId="167" fontId="27" fillId="0" borderId="0" xfId="5" applyNumberFormat="1" applyFont="1" applyAlignment="1">
      <alignment horizontal="left" vertical="center"/>
    </xf>
    <xf numFmtId="0" fontId="23" fillId="0" borderId="0" xfId="5" applyAlignment="1">
      <alignment vertical="center" wrapText="1"/>
    </xf>
    <xf numFmtId="0" fontId="23" fillId="0" borderId="41" xfId="5" applyBorder="1" applyAlignment="1">
      <alignment vertical="center" wrapText="1"/>
    </xf>
    <xf numFmtId="0" fontId="23" fillId="0" borderId="42" xfId="5" applyBorder="1" applyAlignment="1">
      <alignment vertical="center"/>
    </xf>
    <xf numFmtId="0" fontId="28" fillId="0" borderId="0" xfId="5" applyFont="1" applyAlignment="1">
      <alignment horizontal="left" vertical="center"/>
    </xf>
    <xf numFmtId="4" fontId="29" fillId="0" borderId="0" xfId="5" applyNumberFormat="1" applyFont="1" applyAlignment="1">
      <alignment vertical="center"/>
    </xf>
    <xf numFmtId="0" fontId="25" fillId="0" borderId="0" xfId="5" applyFont="1" applyAlignment="1">
      <alignment horizontal="right" vertical="center"/>
    </xf>
    <xf numFmtId="0" fontId="30" fillId="0" borderId="0" xfId="5" applyFont="1" applyAlignment="1">
      <alignment horizontal="left" vertical="center"/>
    </xf>
    <xf numFmtId="4" fontId="25" fillId="0" borderId="0" xfId="5" applyNumberFormat="1" applyFont="1" applyAlignment="1">
      <alignment vertical="center"/>
    </xf>
    <xf numFmtId="168" fontId="25" fillId="0" borderId="0" xfId="5" applyNumberFormat="1" applyFont="1" applyAlignment="1">
      <alignment horizontal="right" vertical="center"/>
    </xf>
    <xf numFmtId="0" fontId="23" fillId="8" borderId="0" xfId="5" applyFill="1" applyAlignment="1">
      <alignment vertical="center"/>
    </xf>
    <xf numFmtId="0" fontId="31" fillId="8" borderId="43" xfId="5" applyFont="1" applyFill="1" applyBorder="1" applyAlignment="1">
      <alignment horizontal="left" vertical="center"/>
    </xf>
    <xf numFmtId="0" fontId="23" fillId="8" borderId="44" xfId="5" applyFill="1" applyBorder="1" applyAlignment="1">
      <alignment vertical="center"/>
    </xf>
    <xf numFmtId="0" fontId="31" fillId="8" borderId="44" xfId="5" applyFont="1" applyFill="1" applyBorder="1" applyAlignment="1">
      <alignment horizontal="right" vertical="center"/>
    </xf>
    <xf numFmtId="0" fontId="31" fillId="8" borderId="44" xfId="5" applyFont="1" applyFill="1" applyBorder="1" applyAlignment="1">
      <alignment horizontal="center" vertical="center"/>
    </xf>
    <xf numFmtId="4" fontId="31" fillId="8" borderId="44" xfId="5" applyNumberFormat="1" applyFont="1" applyFill="1" applyBorder="1" applyAlignment="1">
      <alignment vertical="center"/>
    </xf>
    <xf numFmtId="0" fontId="23" fillId="8" borderId="45" xfId="5" applyFill="1" applyBorder="1" applyAlignment="1">
      <alignment vertical="center"/>
    </xf>
    <xf numFmtId="0" fontId="32" fillId="0" borderId="46" xfId="5" applyFont="1" applyBorder="1" applyAlignment="1">
      <alignment horizontal="left" vertical="center"/>
    </xf>
    <xf numFmtId="0" fontId="23" fillId="0" borderId="46" xfId="5" applyBorder="1" applyAlignment="1">
      <alignment vertical="center"/>
    </xf>
    <xf numFmtId="0" fontId="25" fillId="0" borderId="47" xfId="5" applyFont="1" applyBorder="1" applyAlignment="1">
      <alignment horizontal="left" vertical="center"/>
    </xf>
    <xf numFmtId="0" fontId="23" fillId="0" borderId="47" xfId="5" applyBorder="1" applyAlignment="1">
      <alignment vertical="center"/>
    </xf>
    <xf numFmtId="0" fontId="25" fillId="0" borderId="47" xfId="5" applyFont="1" applyBorder="1" applyAlignment="1">
      <alignment horizontal="center" vertical="center"/>
    </xf>
    <xf numFmtId="0" fontId="25" fillId="0" borderId="47" xfId="5" applyFont="1" applyBorder="1" applyAlignment="1">
      <alignment horizontal="right" vertical="center"/>
    </xf>
    <xf numFmtId="0" fontId="23" fillId="0" borderId="48" xfId="5" applyBorder="1" applyAlignment="1">
      <alignment vertical="center"/>
    </xf>
    <xf numFmtId="0" fontId="23" fillId="0" borderId="49" xfId="5" applyBorder="1" applyAlignment="1">
      <alignment vertical="center"/>
    </xf>
    <xf numFmtId="0" fontId="23" fillId="0" borderId="39" xfId="5" applyBorder="1" applyAlignment="1">
      <alignment vertical="center"/>
    </xf>
    <xf numFmtId="0" fontId="23" fillId="0" borderId="40" xfId="5" applyBorder="1" applyAlignment="1">
      <alignment vertical="center"/>
    </xf>
    <xf numFmtId="0" fontId="27" fillId="0" borderId="0" xfId="5" applyFont="1" applyAlignment="1">
      <alignment horizontal="left" vertical="center" wrapText="1"/>
    </xf>
    <xf numFmtId="0" fontId="33" fillId="8" borderId="0" xfId="5" applyFont="1" applyFill="1" applyAlignment="1">
      <alignment horizontal="left" vertical="center"/>
    </xf>
    <xf numFmtId="0" fontId="33" fillId="8" borderId="0" xfId="5" applyFont="1" applyFill="1" applyAlignment="1">
      <alignment horizontal="right" vertical="center"/>
    </xf>
    <xf numFmtId="0" fontId="34" fillId="0" borderId="0" xfId="5" applyFont="1" applyAlignment="1">
      <alignment horizontal="left" vertical="center"/>
    </xf>
    <xf numFmtId="0" fontId="35" fillId="0" borderId="0" xfId="5" applyFont="1" applyAlignment="1">
      <alignment vertical="center"/>
    </xf>
    <xf numFmtId="0" fontId="35" fillId="0" borderId="41" xfId="5" applyFont="1" applyBorder="1" applyAlignment="1">
      <alignment vertical="center"/>
    </xf>
    <xf numFmtId="0" fontId="35" fillId="0" borderId="50" xfId="5" applyFont="1" applyBorder="1" applyAlignment="1">
      <alignment horizontal="left" vertical="center"/>
    </xf>
    <xf numFmtId="0" fontId="35" fillId="0" borderId="50" xfId="5" applyFont="1" applyBorder="1" applyAlignment="1">
      <alignment vertical="center"/>
    </xf>
    <xf numFmtId="4" fontId="35" fillId="0" borderId="50" xfId="5" applyNumberFormat="1" applyFont="1" applyBorder="1" applyAlignment="1">
      <alignment vertical="center"/>
    </xf>
    <xf numFmtId="0" fontId="23" fillId="0" borderId="0" xfId="5" applyAlignment="1">
      <alignment horizontal="center" vertical="center" wrapText="1"/>
    </xf>
    <xf numFmtId="0" fontId="23" fillId="0" borderId="41" xfId="5" applyBorder="1" applyAlignment="1">
      <alignment horizontal="center" vertical="center" wrapText="1"/>
    </xf>
    <xf numFmtId="0" fontId="33" fillId="8" borderId="51" xfId="5" applyFont="1" applyFill="1" applyBorder="1" applyAlignment="1">
      <alignment horizontal="center" vertical="center" wrapText="1"/>
    </xf>
    <xf numFmtId="0" fontId="33" fillId="8" borderId="52" xfId="5" applyFont="1" applyFill="1" applyBorder="1" applyAlignment="1">
      <alignment horizontal="center" vertical="center" wrapText="1"/>
    </xf>
    <xf numFmtId="0" fontId="33" fillId="8" borderId="53" xfId="5" applyFont="1" applyFill="1" applyBorder="1" applyAlignment="1">
      <alignment horizontal="center" vertical="center" wrapText="1"/>
    </xf>
    <xf numFmtId="0" fontId="33" fillId="8" borderId="0" xfId="5" applyFont="1" applyFill="1" applyAlignment="1">
      <alignment horizontal="center" vertical="center" wrapText="1"/>
    </xf>
    <xf numFmtId="0" fontId="29" fillId="0" borderId="0" xfId="5" applyFont="1" applyAlignment="1">
      <alignment horizontal="left" vertical="center"/>
    </xf>
    <xf numFmtId="4" fontId="29" fillId="0" borderId="0" xfId="5" applyNumberFormat="1" applyFont="1"/>
    <xf numFmtId="0" fontId="36" fillId="0" borderId="0" xfId="5" applyFont="1"/>
    <xf numFmtId="0" fontId="36" fillId="0" borderId="41" xfId="5" applyFont="1" applyBorder="1"/>
    <xf numFmtId="0" fontId="36" fillId="0" borderId="0" xfId="5" applyFont="1" applyAlignment="1">
      <alignment horizontal="left"/>
    </xf>
    <xf numFmtId="0" fontId="35" fillId="0" borderId="0" xfId="5" applyFont="1" applyAlignment="1">
      <alignment horizontal="left"/>
    </xf>
    <xf numFmtId="4" fontId="35" fillId="0" borderId="0" xfId="5" applyNumberFormat="1" applyFont="1"/>
    <xf numFmtId="0" fontId="23" fillId="0" borderId="41" xfId="5" applyBorder="1" applyAlignment="1" applyProtection="1">
      <alignment vertical="center"/>
      <protection locked="0"/>
    </xf>
    <xf numFmtId="0" fontId="33" fillId="0" borderId="54" xfId="5" applyFont="1" applyBorder="1" applyAlignment="1" applyProtection="1">
      <alignment horizontal="center" vertical="center"/>
      <protection locked="0"/>
    </xf>
    <xf numFmtId="49" fontId="33" fillId="0" borderId="54" xfId="5" applyNumberFormat="1" applyFont="1" applyBorder="1" applyAlignment="1" applyProtection="1">
      <alignment horizontal="left" vertical="center" wrapText="1"/>
      <protection locked="0"/>
    </xf>
    <xf numFmtId="0" fontId="33" fillId="0" borderId="54" xfId="5" applyFont="1" applyBorder="1" applyAlignment="1" applyProtection="1">
      <alignment horizontal="left" vertical="center" wrapText="1"/>
      <protection locked="0"/>
    </xf>
    <xf numFmtId="0" fontId="33" fillId="0" borderId="54" xfId="5" applyFont="1" applyBorder="1" applyAlignment="1" applyProtection="1">
      <alignment horizontal="center" vertical="center" wrapText="1"/>
      <protection locked="0"/>
    </xf>
    <xf numFmtId="170" fontId="33" fillId="0" borderId="54" xfId="5" applyNumberFormat="1" applyFont="1" applyBorder="1" applyAlignment="1" applyProtection="1">
      <alignment vertical="center"/>
      <protection locked="0"/>
    </xf>
    <xf numFmtId="4" fontId="33" fillId="0" borderId="54" xfId="5" applyNumberFormat="1" applyFont="1" applyBorder="1" applyAlignment="1" applyProtection="1">
      <alignment vertical="center"/>
      <protection locked="0"/>
    </xf>
    <xf numFmtId="0" fontId="23" fillId="0" borderId="54" xfId="5" applyBorder="1" applyAlignment="1" applyProtection="1">
      <alignment vertical="center"/>
      <protection locked="0"/>
    </xf>
    <xf numFmtId="0" fontId="37" fillId="9" borderId="14" xfId="0" applyFont="1" applyFill="1" applyBorder="1"/>
    <xf numFmtId="0" fontId="37" fillId="9" borderId="10" xfId="0" applyFont="1" applyFill="1" applyBorder="1"/>
    <xf numFmtId="0" fontId="38" fillId="9" borderId="13" xfId="2" applyFont="1" applyFill="1" applyBorder="1" applyAlignment="1">
      <alignment vertical="center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16" fontId="10" fillId="0" borderId="11" xfId="3" applyNumberFormat="1" applyBorder="1" applyAlignment="1">
      <alignment horizontal="left" wrapText="1" indent="2"/>
    </xf>
    <xf numFmtId="16" fontId="10" fillId="0" borderId="22" xfId="3" applyNumberFormat="1" applyBorder="1" applyAlignment="1">
      <alignment horizontal="left" wrapText="1" indent="2"/>
    </xf>
    <xf numFmtId="0" fontId="19" fillId="0" borderId="0" xfId="4" applyFont="1" applyAlignment="1">
      <alignment horizontal="center" vertical="top"/>
    </xf>
    <xf numFmtId="0" fontId="19" fillId="0" borderId="15" xfId="4" applyFont="1" applyBorder="1" applyAlignment="1">
      <alignment horizontal="center" vertical="top"/>
    </xf>
    <xf numFmtId="0" fontId="18" fillId="6" borderId="13" xfId="3" applyFont="1" applyFill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1" fillId="0" borderId="16" xfId="3" applyFont="1" applyBorder="1" applyAlignment="1">
      <alignment vertical="center"/>
    </xf>
    <xf numFmtId="0" fontId="0" fillId="0" borderId="0" xfId="0"/>
    <xf numFmtId="0" fontId="0" fillId="0" borderId="15" xfId="0" applyBorder="1"/>
    <xf numFmtId="0" fontId="12" fillId="0" borderId="4" xfId="3" applyFont="1" applyBorder="1" applyAlignment="1">
      <alignment horizontal="left" vertical="top"/>
    </xf>
    <xf numFmtId="0" fontId="12" fillId="0" borderId="16" xfId="3" applyFont="1" applyBorder="1" applyAlignment="1">
      <alignment horizontal="left" vertical="top"/>
    </xf>
    <xf numFmtId="0" fontId="10" fillId="0" borderId="5" xfId="3" applyBorder="1" applyAlignment="1">
      <alignment horizontal="left" vertical="top" wrapText="1"/>
    </xf>
    <xf numFmtId="0" fontId="10" fillId="0" borderId="5" xfId="3" applyBorder="1" applyAlignment="1">
      <alignment horizontal="left" vertical="top"/>
    </xf>
    <xf numFmtId="0" fontId="10" fillId="0" borderId="6" xfId="3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8" fillId="0" borderId="0" xfId="4" applyAlignment="1">
      <alignment horizontal="center" vertical="top"/>
    </xf>
    <xf numFmtId="0" fontId="8" fillId="0" borderId="15" xfId="4" applyBorder="1" applyAlignment="1">
      <alignment horizontal="center" vertical="top"/>
    </xf>
    <xf numFmtId="0" fontId="10" fillId="0" borderId="8" xfId="3" applyBorder="1" applyAlignment="1">
      <alignment horizontal="left"/>
    </xf>
    <xf numFmtId="0" fontId="10" fillId="0" borderId="9" xfId="3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7" fillId="6" borderId="4" xfId="0" applyFont="1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17" fillId="6" borderId="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7" fillId="5" borderId="16" xfId="3" applyFont="1" applyFill="1" applyBorder="1" applyAlignment="1">
      <alignment horizontal="center" wrapText="1"/>
    </xf>
    <xf numFmtId="0" fontId="17" fillId="5" borderId="0" xfId="3" applyFont="1" applyFill="1" applyAlignment="1">
      <alignment horizontal="center" wrapText="1"/>
    </xf>
    <xf numFmtId="0" fontId="17" fillId="5" borderId="15" xfId="3" applyFont="1" applyFill="1" applyBorder="1" applyAlignment="1">
      <alignment horizontal="center" wrapText="1"/>
    </xf>
    <xf numFmtId="0" fontId="17" fillId="5" borderId="7" xfId="3" applyFont="1" applyFill="1" applyBorder="1" applyAlignment="1">
      <alignment horizontal="center" wrapText="1"/>
    </xf>
    <xf numFmtId="0" fontId="17" fillId="5" borderId="8" xfId="3" applyFont="1" applyFill="1" applyBorder="1" applyAlignment="1">
      <alignment horizontal="center" wrapText="1"/>
    </xf>
    <xf numFmtId="0" fontId="17" fillId="5" borderId="9" xfId="3" applyFont="1" applyFill="1" applyBorder="1" applyAlignment="1">
      <alignment horizontal="center" wrapText="1"/>
    </xf>
    <xf numFmtId="0" fontId="17" fillId="4" borderId="17" xfId="3" applyFont="1" applyFill="1" applyBorder="1" applyAlignment="1">
      <alignment horizontal="left" wrapText="1"/>
    </xf>
    <xf numFmtId="0" fontId="17" fillId="4" borderId="18" xfId="3" applyFont="1" applyFill="1" applyBorder="1" applyAlignment="1">
      <alignment horizontal="left" wrapText="1"/>
    </xf>
    <xf numFmtId="0" fontId="17" fillId="4" borderId="19" xfId="3" applyFont="1" applyFill="1" applyBorder="1" applyAlignment="1">
      <alignment horizontal="left" wrapText="1"/>
    </xf>
    <xf numFmtId="16" fontId="10" fillId="0" borderId="20" xfId="3" applyNumberFormat="1" applyBorder="1" applyAlignment="1">
      <alignment horizontal="left" wrapText="1" indent="2"/>
    </xf>
    <xf numFmtId="16" fontId="10" fillId="0" borderId="21" xfId="3" applyNumberFormat="1" applyBorder="1" applyAlignment="1">
      <alignment horizontal="left" wrapText="1" indent="2"/>
    </xf>
    <xf numFmtId="0" fontId="11" fillId="0" borderId="4" xfId="3" applyFont="1" applyBorder="1" applyAlignment="1">
      <alignment horizontal="left"/>
    </xf>
    <xf numFmtId="0" fontId="11" fillId="0" borderId="5" xfId="3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3" applyFont="1" applyBorder="1" applyAlignment="1">
      <alignment horizontal="left" vertical="top"/>
    </xf>
    <xf numFmtId="0" fontId="12" fillId="0" borderId="11" xfId="3" applyFont="1" applyBorder="1" applyAlignment="1">
      <alignment horizontal="left" vertical="top"/>
    </xf>
    <xf numFmtId="0" fontId="14" fillId="0" borderId="8" xfId="3" applyFont="1" applyBorder="1" applyAlignment="1">
      <alignment horizontal="left" vertical="top"/>
    </xf>
    <xf numFmtId="0" fontId="14" fillId="0" borderId="12" xfId="3" applyFont="1" applyBorder="1" applyAlignment="1">
      <alignment horizontal="left" vertical="top"/>
    </xf>
    <xf numFmtId="0" fontId="14" fillId="0" borderId="5" xfId="3" applyFont="1" applyBorder="1" applyAlignment="1">
      <alignment horizontal="left" vertical="top"/>
    </xf>
    <xf numFmtId="0" fontId="16" fillId="0" borderId="14" xfId="3" applyFont="1" applyBorder="1" applyAlignment="1">
      <alignment horizontal="left" vertical="top" wrapText="1"/>
    </xf>
    <xf numFmtId="0" fontId="16" fillId="0" borderId="10" xfId="3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0" borderId="10" xfId="3" applyFont="1" applyBorder="1" applyAlignment="1">
      <alignment horizontal="left" vertical="top" wrapText="1"/>
    </xf>
    <xf numFmtId="0" fontId="16" fillId="0" borderId="13" xfId="3" applyFont="1" applyBorder="1" applyAlignment="1">
      <alignment horizontal="left" vertical="top" wrapText="1"/>
    </xf>
    <xf numFmtId="0" fontId="13" fillId="9" borderId="14" xfId="3" applyFont="1" applyFill="1" applyBorder="1" applyAlignment="1">
      <alignment horizontal="left" vertical="center" wrapText="1"/>
    </xf>
    <xf numFmtId="0" fontId="13" fillId="9" borderId="10" xfId="3" applyFont="1" applyFill="1" applyBorder="1" applyAlignment="1">
      <alignment horizontal="left" vertical="center" wrapText="1"/>
    </xf>
    <xf numFmtId="0" fontId="13" fillId="9" borderId="13" xfId="3" applyFont="1" applyFill="1" applyBorder="1" applyAlignment="1">
      <alignment horizontal="left" vertical="center" wrapText="1"/>
    </xf>
    <xf numFmtId="0" fontId="21" fillId="7" borderId="23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0" fontId="21" fillId="7" borderId="26" xfId="0" applyFont="1" applyFill="1" applyBorder="1" applyAlignment="1">
      <alignment horizontal="left" vertical="center"/>
    </xf>
    <xf numFmtId="0" fontId="22" fillId="7" borderId="25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2" fillId="7" borderId="27" xfId="0" applyFont="1" applyFill="1" applyBorder="1" applyAlignment="1">
      <alignment horizontal="left" vertical="center"/>
    </xf>
    <xf numFmtId="14" fontId="22" fillId="7" borderId="28" xfId="0" applyNumberFormat="1" applyFont="1" applyFill="1" applyBorder="1" applyAlignment="1">
      <alignment horizontal="left" vertical="center"/>
    </xf>
    <xf numFmtId="14" fontId="22" fillId="7" borderId="8" xfId="0" applyNumberFormat="1" applyFont="1" applyFill="1" applyBorder="1" applyAlignment="1">
      <alignment horizontal="left" vertical="center"/>
    </xf>
    <xf numFmtId="14" fontId="22" fillId="7" borderId="29" xfId="0" applyNumberFormat="1" applyFont="1" applyFill="1" applyBorder="1" applyAlignment="1">
      <alignment horizontal="left" vertical="center"/>
    </xf>
    <xf numFmtId="0" fontId="26" fillId="0" borderId="0" xfId="5" applyFont="1" applyAlignment="1">
      <alignment horizontal="left" vertical="center" wrapText="1"/>
    </xf>
    <xf numFmtId="0" fontId="23" fillId="0" borderId="0" xfId="5" applyAlignment="1">
      <alignment vertical="center"/>
    </xf>
    <xf numFmtId="0" fontId="25" fillId="0" borderId="0" xfId="5" applyFont="1" applyAlignment="1">
      <alignment horizontal="left" vertical="center" wrapText="1"/>
    </xf>
    <xf numFmtId="0" fontId="25" fillId="0" borderId="0" xfId="5" applyFont="1" applyAlignment="1">
      <alignment horizontal="left" vertical="center"/>
    </xf>
    <xf numFmtId="0" fontId="27" fillId="0" borderId="0" xfId="5" applyFont="1" applyAlignment="1">
      <alignment horizontal="left" vertical="center"/>
    </xf>
    <xf numFmtId="0" fontId="27" fillId="0" borderId="0" xfId="5" applyFont="1" applyAlignment="1">
      <alignment horizontal="left" vertical="center" wrapText="1"/>
    </xf>
    <xf numFmtId="170" fontId="33" fillId="0" borderId="54" xfId="5" applyNumberFormat="1" applyFont="1" applyFill="1" applyBorder="1" applyAlignment="1" applyProtection="1">
      <alignment vertical="center"/>
      <protection locked="0"/>
    </xf>
    <xf numFmtId="4" fontId="33" fillId="0" borderId="54" xfId="5" applyNumberFormat="1" applyFont="1" applyFill="1" applyBorder="1" applyAlignment="1" applyProtection="1">
      <alignment vertical="center"/>
      <protection locked="0"/>
    </xf>
    <xf numFmtId="0" fontId="36" fillId="0" borderId="0" xfId="5" applyFont="1" applyFill="1"/>
  </cellXfs>
  <cellStyles count="6">
    <cellStyle name="Hypertextový odkaz" xfId="2" builtinId="8"/>
    <cellStyle name="Normální" xfId="0" builtinId="0"/>
    <cellStyle name="Normální 2" xfId="3" xr:uid="{00000000-0005-0000-0000-000002000000}"/>
    <cellStyle name="Normální 3" xfId="4" xr:uid="{00000000-0005-0000-0000-000003000000}"/>
    <cellStyle name="Normální 4" xfId="1" xr:uid="{00000000-0005-0000-0000-000004000000}"/>
    <cellStyle name="Normální 5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latzerDav@imosbrno.eu" TargetMode="External"/><Relationship Id="rId1" Type="http://schemas.openxmlformats.org/officeDocument/2006/relationships/hyperlink" Target="mailto:cerveny@konderla.e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view="pageBreakPreview" topLeftCell="A16" zoomScale="60" zoomScaleNormal="100" workbookViewId="0">
      <selection activeCell="I48" sqref="I48"/>
    </sheetView>
  </sheetViews>
  <sheetFormatPr defaultColWidth="16.85546875" defaultRowHeight="15"/>
  <cols>
    <col min="1" max="1" width="16.7109375" customWidth="1"/>
    <col min="2" max="2" width="29.7109375" customWidth="1"/>
    <col min="3" max="3" width="16.7109375" customWidth="1"/>
    <col min="4" max="4" width="29.7109375" customWidth="1"/>
  </cols>
  <sheetData>
    <row r="1" spans="1:4" ht="54" customHeight="1">
      <c r="A1" s="186" t="s">
        <v>97</v>
      </c>
      <c r="B1" s="187"/>
      <c r="C1" s="187"/>
      <c r="D1" s="188"/>
    </row>
    <row r="2" spans="1:4" ht="7.5" customHeight="1">
      <c r="A2" s="189"/>
      <c r="B2" s="173"/>
      <c r="C2" s="173"/>
      <c r="D2" s="174"/>
    </row>
    <row r="3" spans="1:4" ht="15" customHeight="1">
      <c r="A3" s="190" t="s">
        <v>98</v>
      </c>
      <c r="B3" s="16" t="s">
        <v>223</v>
      </c>
      <c r="C3" s="192" t="s">
        <v>99</v>
      </c>
      <c r="D3" s="201" t="s">
        <v>226</v>
      </c>
    </row>
    <row r="4" spans="1:4" ht="15" customHeight="1">
      <c r="A4" s="191"/>
      <c r="B4" s="17" t="s">
        <v>224</v>
      </c>
      <c r="C4" s="193"/>
      <c r="D4" s="202"/>
    </row>
    <row r="5" spans="1:4" ht="15" customHeight="1">
      <c r="A5" s="150"/>
      <c r="B5" s="18" t="s">
        <v>225</v>
      </c>
      <c r="C5" s="194"/>
      <c r="D5" s="203"/>
    </row>
    <row r="6" spans="1:4" ht="15" customHeight="1">
      <c r="A6" s="195" t="s">
        <v>100</v>
      </c>
      <c r="B6" s="19" t="s">
        <v>125</v>
      </c>
      <c r="C6" s="195" t="s">
        <v>100</v>
      </c>
      <c r="D6" s="134" t="s">
        <v>227</v>
      </c>
    </row>
    <row r="7" spans="1:4" ht="15" customHeight="1">
      <c r="A7" s="196"/>
      <c r="B7" s="17">
        <v>737867716</v>
      </c>
      <c r="C7" s="199"/>
      <c r="D7" s="135" t="s">
        <v>228</v>
      </c>
    </row>
    <row r="8" spans="1:4" ht="15" customHeight="1">
      <c r="A8" s="197"/>
      <c r="B8" s="48" t="s">
        <v>126</v>
      </c>
      <c r="C8" s="200"/>
      <c r="D8" s="136" t="s">
        <v>229</v>
      </c>
    </row>
    <row r="9" spans="1:4" ht="15" customHeight="1">
      <c r="A9" s="197"/>
      <c r="B9" s="21"/>
      <c r="C9" s="195" t="s">
        <v>101</v>
      </c>
      <c r="D9" s="19"/>
    </row>
    <row r="10" spans="1:4" ht="15" customHeight="1">
      <c r="A10" s="197"/>
      <c r="B10" s="21"/>
      <c r="C10" s="199" t="s">
        <v>102</v>
      </c>
      <c r="D10" s="17"/>
    </row>
    <row r="11" spans="1:4" ht="15" customHeight="1">
      <c r="A11" s="198"/>
      <c r="B11" s="22"/>
      <c r="C11" s="200" t="s">
        <v>103</v>
      </c>
      <c r="D11" s="20"/>
    </row>
    <row r="12" spans="1:4" ht="15" customHeight="1">
      <c r="A12" s="23" t="s">
        <v>104</v>
      </c>
      <c r="B12" s="24"/>
      <c r="C12" s="23" t="s">
        <v>105</v>
      </c>
      <c r="D12" s="25">
        <v>45389</v>
      </c>
    </row>
    <row r="13" spans="1:4" ht="15" customHeight="1">
      <c r="A13" s="26"/>
      <c r="B13" s="27"/>
      <c r="C13" s="28"/>
      <c r="D13" s="29"/>
    </row>
    <row r="14" spans="1:4" ht="15" customHeight="1">
      <c r="A14" s="26"/>
      <c r="B14" s="27"/>
      <c r="C14" s="28"/>
      <c r="D14" s="29"/>
    </row>
    <row r="15" spans="1:4" ht="15.75">
      <c r="A15" s="167" t="s">
        <v>106</v>
      </c>
      <c r="B15" s="168"/>
      <c r="C15" s="30"/>
      <c r="D15" s="31"/>
    </row>
    <row r="16" spans="1:4" ht="5.25" customHeight="1">
      <c r="A16" s="169"/>
      <c r="B16" s="170"/>
      <c r="C16" s="170"/>
      <c r="D16" s="171"/>
    </row>
    <row r="17" spans="1:4" ht="15" customHeight="1">
      <c r="A17" s="172" t="s">
        <v>127</v>
      </c>
      <c r="B17" s="173"/>
      <c r="C17" s="173"/>
      <c r="D17" s="174"/>
    </row>
    <row r="18" spans="1:4" ht="15" customHeight="1">
      <c r="A18" s="175" t="s">
        <v>107</v>
      </c>
      <c r="B18" s="176"/>
      <c r="C18" s="176"/>
      <c r="D18" s="177"/>
    </row>
    <row r="19" spans="1:4" ht="15" customHeight="1">
      <c r="A19" s="175"/>
      <c r="B19" s="176"/>
      <c r="C19" s="176"/>
      <c r="D19" s="177"/>
    </row>
    <row r="20" spans="1:4" ht="15" customHeight="1">
      <c r="A20" s="178"/>
      <c r="B20" s="179"/>
      <c r="C20" s="179"/>
      <c r="D20" s="180"/>
    </row>
    <row r="21" spans="1:4" ht="24.75" customHeight="1" thickBot="1">
      <c r="A21" s="181" t="s">
        <v>108</v>
      </c>
      <c r="B21" s="182"/>
      <c r="C21" s="182"/>
      <c r="D21" s="183"/>
    </row>
    <row r="22" spans="1:4" ht="15" customHeight="1" thickTop="1">
      <c r="A22" s="184" t="s">
        <v>113</v>
      </c>
      <c r="B22" s="185"/>
      <c r="C22" s="32"/>
      <c r="D22" s="33">
        <f>Rekapitulace!C7</f>
        <v>56315365.418984763</v>
      </c>
    </row>
    <row r="23" spans="1:4" ht="15" customHeight="1">
      <c r="A23" s="139" t="s">
        <v>25</v>
      </c>
      <c r="B23" s="140"/>
      <c r="C23" s="32"/>
      <c r="D23" s="33">
        <f>Rekapitulace!C18</f>
        <v>50558437.190088473</v>
      </c>
    </row>
    <row r="24" spans="1:4" ht="15" customHeight="1">
      <c r="A24" s="137" t="s">
        <v>114</v>
      </c>
      <c r="B24" s="138"/>
      <c r="C24" s="32"/>
      <c r="D24" s="33">
        <f>Rekapitulace!C28</f>
        <v>8297967.1900000013</v>
      </c>
    </row>
    <row r="25" spans="1:4" ht="15" customHeight="1">
      <c r="A25" s="137" t="s">
        <v>42</v>
      </c>
      <c r="B25" s="138"/>
      <c r="C25" s="32"/>
      <c r="D25" s="33">
        <f>Rekapitulace!C36</f>
        <v>42404417.289999992</v>
      </c>
    </row>
    <row r="26" spans="1:4" ht="15" customHeight="1">
      <c r="A26" s="137" t="s">
        <v>57</v>
      </c>
      <c r="B26" s="138"/>
      <c r="C26" s="32"/>
      <c r="D26" s="33">
        <f>Rekapitulace!C52</f>
        <v>23006569.995808184</v>
      </c>
    </row>
    <row r="27" spans="1:4" ht="15" customHeight="1">
      <c r="A27" s="137" t="s">
        <v>66</v>
      </c>
      <c r="B27" s="138"/>
      <c r="C27" s="32"/>
      <c r="D27" s="33">
        <f>Rekapitulace!C65</f>
        <v>33534707.814443823</v>
      </c>
    </row>
    <row r="28" spans="1:4" ht="15" customHeight="1">
      <c r="A28" s="137" t="s">
        <v>76</v>
      </c>
      <c r="B28" s="138"/>
      <c r="C28" s="33"/>
      <c r="D28" s="33">
        <f>Rekapitulace!C76</f>
        <v>8302349.6602094816</v>
      </c>
    </row>
    <row r="29" spans="1:4" ht="15" customHeight="1">
      <c r="A29" s="137" t="s">
        <v>115</v>
      </c>
      <c r="B29" s="138"/>
      <c r="C29" s="32"/>
      <c r="D29" s="33">
        <f>Rekapitulace!C82</f>
        <v>3993191.4974999996</v>
      </c>
    </row>
    <row r="30" spans="1:4" ht="15" customHeight="1">
      <c r="A30" s="137" t="s">
        <v>116</v>
      </c>
      <c r="B30" s="138"/>
      <c r="C30" s="32"/>
      <c r="D30" s="33">
        <f>Rekapitulace!C89</f>
        <v>11290471.552000001</v>
      </c>
    </row>
    <row r="31" spans="1:4" ht="15" customHeight="1">
      <c r="A31" s="137" t="s">
        <v>120</v>
      </c>
      <c r="B31" s="138"/>
      <c r="C31" s="32"/>
      <c r="D31" s="33">
        <f>Rekapitulace!C94</f>
        <v>82444941.540389463</v>
      </c>
    </row>
    <row r="32" spans="1:4" ht="15" customHeight="1">
      <c r="A32" s="137" t="s">
        <v>121</v>
      </c>
      <c r="B32" s="138"/>
      <c r="C32" s="32"/>
      <c r="D32" s="33">
        <f>Rekapitulace!C105</f>
        <v>74179898.327544942</v>
      </c>
    </row>
    <row r="33" spans="1:6" ht="15" customHeight="1">
      <c r="A33" s="137" t="s">
        <v>122</v>
      </c>
      <c r="B33" s="138"/>
      <c r="C33" s="32"/>
      <c r="D33" s="33">
        <f>Rekapitulace!C114</f>
        <v>53325771.257307179</v>
      </c>
    </row>
    <row r="34" spans="1:6" ht="15.6" customHeight="1">
      <c r="A34" s="137" t="s">
        <v>15</v>
      </c>
      <c r="B34" s="138"/>
      <c r="C34" s="32"/>
      <c r="D34" s="33">
        <f>Rekapitulace!C123</f>
        <v>9560590.7058731075</v>
      </c>
    </row>
    <row r="35" spans="1:6" ht="15.6" customHeight="1">
      <c r="A35" s="66" t="s">
        <v>219</v>
      </c>
      <c r="B35" s="67"/>
      <c r="C35" s="32"/>
      <c r="D35" s="33">
        <f>'Prefa konstrukce hal'!J119</f>
        <v>89864743.729999989</v>
      </c>
    </row>
    <row r="36" spans="1:6" ht="15.6" customHeight="1">
      <c r="A36" s="137" t="s">
        <v>123</v>
      </c>
      <c r="B36" s="138"/>
      <c r="C36" s="32"/>
      <c r="D36" s="33">
        <v>6456150</v>
      </c>
    </row>
    <row r="37" spans="1:6" ht="15" customHeight="1">
      <c r="A37" s="137" t="s">
        <v>124</v>
      </c>
      <c r="B37" s="138"/>
      <c r="C37" s="32"/>
      <c r="D37" s="33">
        <v>17000862.25</v>
      </c>
    </row>
    <row r="38" spans="1:6">
      <c r="A38" s="143" t="s">
        <v>109</v>
      </c>
      <c r="B38" s="143"/>
      <c r="C38" s="143"/>
      <c r="D38" s="34">
        <f>SUM(D22:D37)</f>
        <v>570536435.42014945</v>
      </c>
    </row>
    <row r="39" spans="1:6" ht="15" customHeight="1">
      <c r="A39" s="144"/>
      <c r="B39" s="145"/>
      <c r="C39" s="145"/>
      <c r="D39" s="146"/>
    </row>
    <row r="40" spans="1:6" ht="15" customHeight="1">
      <c r="A40" s="147"/>
      <c r="B40" s="148"/>
      <c r="C40" s="148"/>
      <c r="D40" s="149"/>
    </row>
    <row r="41" spans="1:6" ht="15" customHeight="1">
      <c r="A41" s="150" t="s">
        <v>110</v>
      </c>
      <c r="B41" s="152"/>
      <c r="C41" s="153"/>
      <c r="D41" s="154"/>
    </row>
    <row r="42" spans="1:6" ht="15" customHeight="1">
      <c r="A42" s="151"/>
      <c r="B42" s="155"/>
      <c r="C42" s="155"/>
      <c r="D42" s="156"/>
    </row>
    <row r="43" spans="1:6">
      <c r="A43" s="151"/>
      <c r="B43" s="155"/>
      <c r="C43" s="155"/>
      <c r="D43" s="156"/>
      <c r="F43" s="39"/>
    </row>
    <row r="44" spans="1:6">
      <c r="A44" s="151"/>
      <c r="B44" s="155"/>
      <c r="C44" s="155"/>
      <c r="D44" s="156"/>
    </row>
    <row r="45" spans="1:6">
      <c r="A45" s="151"/>
      <c r="B45" s="155"/>
      <c r="C45" s="155"/>
      <c r="D45" s="156"/>
    </row>
    <row r="46" spans="1:6">
      <c r="A46" s="151"/>
      <c r="B46" s="155"/>
      <c r="C46" s="155"/>
      <c r="D46" s="156"/>
    </row>
    <row r="47" spans="1:6">
      <c r="A47" s="151"/>
      <c r="B47" s="155"/>
      <c r="C47" s="155"/>
      <c r="D47" s="156"/>
    </row>
    <row r="48" spans="1:6">
      <c r="A48" s="151"/>
      <c r="B48" s="155"/>
      <c r="C48" s="155"/>
      <c r="D48" s="156"/>
    </row>
    <row r="49" spans="1:4">
      <c r="A49" s="36"/>
      <c r="B49" s="37"/>
      <c r="C49" s="37"/>
      <c r="D49" s="38"/>
    </row>
    <row r="50" spans="1:4" ht="17.25" customHeight="1">
      <c r="A50" s="40"/>
      <c r="B50" s="41"/>
      <c r="C50" s="141"/>
      <c r="D50" s="142"/>
    </row>
    <row r="51" spans="1:4" ht="17.25" customHeight="1">
      <c r="A51" s="40"/>
      <c r="B51" s="41"/>
      <c r="C51" s="157"/>
      <c r="D51" s="158"/>
    </row>
    <row r="52" spans="1:4" ht="17.25" customHeight="1">
      <c r="A52" s="40"/>
      <c r="B52" s="41"/>
      <c r="C52" s="157"/>
      <c r="D52" s="158"/>
    </row>
    <row r="53" spans="1:4">
      <c r="A53" s="42"/>
      <c r="B53" s="43"/>
      <c r="C53" s="43"/>
      <c r="D53" s="44"/>
    </row>
    <row r="54" spans="1:4" ht="15" customHeight="1">
      <c r="A54" s="45" t="s">
        <v>111</v>
      </c>
      <c r="B54" s="159" t="s">
        <v>112</v>
      </c>
      <c r="C54" s="159"/>
      <c r="D54" s="160"/>
    </row>
    <row r="55" spans="1:4" ht="7.5" customHeight="1">
      <c r="A55" s="35"/>
      <c r="B55" s="46"/>
      <c r="C55" s="46"/>
      <c r="D55" s="47"/>
    </row>
    <row r="56" spans="1:4">
      <c r="A56" s="161"/>
      <c r="B56" s="162"/>
      <c r="C56" s="162"/>
      <c r="D56" s="163"/>
    </row>
    <row r="57" spans="1:4">
      <c r="A57" s="164"/>
      <c r="B57" s="165"/>
      <c r="C57" s="165"/>
      <c r="D57" s="166"/>
    </row>
  </sheetData>
  <mergeCells count="37">
    <mergeCell ref="A1:D2"/>
    <mergeCell ref="A3:A5"/>
    <mergeCell ref="C3:C5"/>
    <mergeCell ref="A6:A11"/>
    <mergeCell ref="C6:C8"/>
    <mergeCell ref="C9:C11"/>
    <mergeCell ref="D3:D5"/>
    <mergeCell ref="A25:B25"/>
    <mergeCell ref="A26:B26"/>
    <mergeCell ref="A27:B27"/>
    <mergeCell ref="A15:B15"/>
    <mergeCell ref="A16:D16"/>
    <mergeCell ref="A17:D17"/>
    <mergeCell ref="A18:D20"/>
    <mergeCell ref="A21:D21"/>
    <mergeCell ref="A22:B22"/>
    <mergeCell ref="C51:D51"/>
    <mergeCell ref="C52:D52"/>
    <mergeCell ref="B54:D54"/>
    <mergeCell ref="A56:D56"/>
    <mergeCell ref="A57:D57"/>
    <mergeCell ref="A32:B32"/>
    <mergeCell ref="A33:B33"/>
    <mergeCell ref="A23:B23"/>
    <mergeCell ref="A36:B36"/>
    <mergeCell ref="C50:D50"/>
    <mergeCell ref="A28:B28"/>
    <mergeCell ref="A34:B34"/>
    <mergeCell ref="A37:B37"/>
    <mergeCell ref="A38:C38"/>
    <mergeCell ref="A39:D40"/>
    <mergeCell ref="A41:A48"/>
    <mergeCell ref="B41:D48"/>
    <mergeCell ref="A29:B29"/>
    <mergeCell ref="A30:B30"/>
    <mergeCell ref="A31:B31"/>
    <mergeCell ref="A24:B24"/>
  </mergeCells>
  <hyperlinks>
    <hyperlink ref="B8" r:id="rId1" xr:uid="{00000000-0004-0000-0000-000000000000}"/>
    <hyperlink ref="D8" r:id="rId2" display="mailto:PlatzerDav@imosbrno.eu" xr:uid="{05ED089C-2612-4CDB-AB9C-7752DCF61073}"/>
  </hyperlinks>
  <pageMargins left="0.7" right="0.7" top="0.78740157499999996" bottom="0.78740157499999996" header="0.3" footer="0.3"/>
  <pageSetup paperSize="9" scale="7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view="pageBreakPreview" zoomScale="60" zoomScaleNormal="85" workbookViewId="0">
      <selection activeCell="D29" sqref="D29"/>
    </sheetView>
  </sheetViews>
  <sheetFormatPr defaultRowHeight="15"/>
  <cols>
    <col min="2" max="2" width="77.5703125" customWidth="1"/>
    <col min="3" max="3" width="19.7109375" customWidth="1"/>
    <col min="4" max="4" width="44.42578125" customWidth="1"/>
    <col min="5" max="5" width="10.5703125" bestFit="1" customWidth="1"/>
  </cols>
  <sheetData>
    <row r="1" spans="1:4">
      <c r="A1" s="204" t="str">
        <f>'Krycí list'!A17</f>
        <v>RC Zone Přerov</v>
      </c>
      <c r="B1" s="205"/>
      <c r="C1" s="205"/>
      <c r="D1" s="206"/>
    </row>
    <row r="2" spans="1:4">
      <c r="A2" s="207"/>
      <c r="B2" s="208"/>
      <c r="C2" s="208"/>
      <c r="D2" s="209"/>
    </row>
    <row r="3" spans="1:4">
      <c r="A3" s="210">
        <f>'Krycí list'!D12</f>
        <v>45389</v>
      </c>
      <c r="B3" s="211"/>
      <c r="C3" s="211"/>
      <c r="D3" s="212"/>
    </row>
    <row r="4" spans="1:4" ht="31.5" customHeight="1">
      <c r="A4" s="49" t="s">
        <v>0</v>
      </c>
      <c r="B4" s="10" t="s">
        <v>1</v>
      </c>
      <c r="C4" s="11" t="s">
        <v>2</v>
      </c>
      <c r="D4" s="50" t="s">
        <v>3</v>
      </c>
    </row>
    <row r="5" spans="1:4" ht="15.75">
      <c r="A5" s="51">
        <v>1</v>
      </c>
      <c r="B5" s="8" t="s">
        <v>4</v>
      </c>
      <c r="C5" s="9">
        <f>C7+C18+C28+C36+C52+C65+C76+C82+C89</f>
        <v>237703477.60903472</v>
      </c>
      <c r="D5" s="52"/>
    </row>
    <row r="6" spans="1:4">
      <c r="A6" s="53"/>
      <c r="B6" s="12"/>
      <c r="C6" s="12"/>
      <c r="D6" s="54"/>
    </row>
    <row r="7" spans="1:4" ht="15.75">
      <c r="A7" s="53" t="s">
        <v>5</v>
      </c>
      <c r="B7" s="14" t="s">
        <v>34</v>
      </c>
      <c r="C7" s="15">
        <f>SUM(C8:C16)</f>
        <v>56315365.418984763</v>
      </c>
      <c r="D7" s="55"/>
    </row>
    <row r="8" spans="1:4">
      <c r="A8" s="53"/>
      <c r="B8" s="1" t="s">
        <v>16</v>
      </c>
      <c r="C8" s="6">
        <v>10540100.257480768</v>
      </c>
      <c r="D8" s="55"/>
    </row>
    <row r="9" spans="1:4">
      <c r="A9" s="53"/>
      <c r="B9" s="4" t="s">
        <v>17</v>
      </c>
      <c r="C9" s="6">
        <v>6166295.5674999999</v>
      </c>
      <c r="D9" s="55"/>
    </row>
    <row r="10" spans="1:4">
      <c r="A10" s="53"/>
      <c r="B10" s="4" t="s">
        <v>18</v>
      </c>
      <c r="C10" s="6">
        <v>14379236.6</v>
      </c>
      <c r="D10" s="55"/>
    </row>
    <row r="11" spans="1:4">
      <c r="A11" s="53"/>
      <c r="B11" s="4" t="s">
        <v>19</v>
      </c>
      <c r="C11" s="6">
        <v>1603449.5999999999</v>
      </c>
      <c r="D11" s="55"/>
    </row>
    <row r="12" spans="1:4">
      <c r="A12" s="53"/>
      <c r="B12" s="4" t="s">
        <v>20</v>
      </c>
      <c r="C12" s="6">
        <v>17134367.910503998</v>
      </c>
      <c r="D12" s="56"/>
    </row>
    <row r="13" spans="1:4">
      <c r="A13" s="53"/>
      <c r="B13" s="4" t="s">
        <v>21</v>
      </c>
      <c r="C13" s="6">
        <v>2277495.65</v>
      </c>
      <c r="D13" s="56"/>
    </row>
    <row r="14" spans="1:4">
      <c r="A14" s="53"/>
      <c r="B14" s="4" t="s">
        <v>22</v>
      </c>
      <c r="C14" s="6">
        <v>205761.32349999997</v>
      </c>
      <c r="D14" s="55"/>
    </row>
    <row r="15" spans="1:4">
      <c r="A15" s="53"/>
      <c r="B15" s="4" t="s">
        <v>23</v>
      </c>
      <c r="C15" s="6">
        <v>7210.5</v>
      </c>
      <c r="D15" s="55"/>
    </row>
    <row r="16" spans="1:4">
      <c r="A16" s="53"/>
      <c r="B16" s="4" t="s">
        <v>24</v>
      </c>
      <c r="C16" s="6">
        <v>4001448.01</v>
      </c>
      <c r="D16" s="55"/>
    </row>
    <row r="17" spans="1:4">
      <c r="A17" s="53"/>
      <c r="B17" s="12"/>
      <c r="C17" s="12"/>
      <c r="D17" s="54"/>
    </row>
    <row r="18" spans="1:4" ht="17.45" customHeight="1">
      <c r="A18" s="53" t="s">
        <v>6</v>
      </c>
      <c r="B18" s="4" t="s">
        <v>25</v>
      </c>
      <c r="C18" s="15">
        <f>SUM(C19:C26)</f>
        <v>50558437.190088473</v>
      </c>
      <c r="D18" s="56"/>
    </row>
    <row r="19" spans="1:4" ht="15.75">
      <c r="A19" s="53"/>
      <c r="B19" s="1" t="s">
        <v>26</v>
      </c>
      <c r="C19" s="6">
        <v>4515460.5585249998</v>
      </c>
      <c r="D19" s="55"/>
    </row>
    <row r="20" spans="1:4" ht="15.75">
      <c r="A20" s="53"/>
      <c r="B20" s="1" t="s">
        <v>27</v>
      </c>
      <c r="C20" s="6">
        <v>2244190.5085</v>
      </c>
      <c r="D20" s="55"/>
    </row>
    <row r="21" spans="1:4" ht="15.75">
      <c r="A21" s="53"/>
      <c r="B21" s="1" t="s">
        <v>28</v>
      </c>
      <c r="C21" s="6">
        <v>5550268.8911249992</v>
      </c>
      <c r="D21" s="55"/>
    </row>
    <row r="22" spans="1:4" ht="15.75">
      <c r="A22" s="53"/>
      <c r="B22" s="1" t="s">
        <v>29</v>
      </c>
      <c r="C22" s="6">
        <v>7596651.1515299985</v>
      </c>
      <c r="D22" s="55"/>
    </row>
    <row r="23" spans="1:4" ht="15.75">
      <c r="A23" s="53"/>
      <c r="B23" s="1" t="s">
        <v>30</v>
      </c>
      <c r="C23" s="6">
        <v>9320863.075721059</v>
      </c>
      <c r="D23" s="56"/>
    </row>
    <row r="24" spans="1:4" ht="15.75">
      <c r="A24" s="53"/>
      <c r="B24" s="1" t="s">
        <v>31</v>
      </c>
      <c r="C24" s="6">
        <v>12179190.828570453</v>
      </c>
      <c r="D24" s="56"/>
    </row>
    <row r="25" spans="1:4" ht="15.75">
      <c r="A25" s="53"/>
      <c r="B25" s="1" t="s">
        <v>32</v>
      </c>
      <c r="C25" s="6">
        <v>8288318.3218669677</v>
      </c>
      <c r="D25" s="55"/>
    </row>
    <row r="26" spans="1:4" ht="15.75">
      <c r="A26" s="53"/>
      <c r="B26" s="1" t="s">
        <v>33</v>
      </c>
      <c r="C26" s="6">
        <v>863493.85424999997</v>
      </c>
      <c r="D26" s="55"/>
    </row>
    <row r="27" spans="1:4">
      <c r="A27" s="53"/>
      <c r="B27" s="12"/>
      <c r="C27" s="12"/>
      <c r="D27" s="54"/>
    </row>
    <row r="28" spans="1:4" ht="15.75">
      <c r="A28" s="53" t="s">
        <v>7</v>
      </c>
      <c r="B28" s="1" t="s">
        <v>35</v>
      </c>
      <c r="C28" s="15">
        <f>SUM(C29:C34)</f>
        <v>8297967.1900000013</v>
      </c>
      <c r="D28" s="55"/>
    </row>
    <row r="29" spans="1:4" ht="15.75">
      <c r="A29" s="53"/>
      <c r="B29" s="1" t="s">
        <v>36</v>
      </c>
      <c r="C29" s="6">
        <v>98601.794999999998</v>
      </c>
      <c r="D29" s="55"/>
    </row>
    <row r="30" spans="1:4" ht="15.75">
      <c r="A30" s="53"/>
      <c r="B30" s="1" t="s">
        <v>37</v>
      </c>
      <c r="C30" s="6">
        <v>3630060.7</v>
      </c>
      <c r="D30" s="55"/>
    </row>
    <row r="31" spans="1:4" ht="15.75">
      <c r="A31" s="53"/>
      <c r="B31" s="1" t="s">
        <v>39</v>
      </c>
      <c r="C31" s="6">
        <v>1756358.02</v>
      </c>
      <c r="D31" s="55"/>
    </row>
    <row r="32" spans="1:4" ht="15.75">
      <c r="A32" s="53"/>
      <c r="B32" s="1" t="s">
        <v>38</v>
      </c>
      <c r="C32" s="6">
        <v>1178545.1499999999</v>
      </c>
      <c r="D32" s="55"/>
    </row>
    <row r="33" spans="1:4" ht="15.75">
      <c r="A33" s="53"/>
      <c r="B33" s="1" t="s">
        <v>40</v>
      </c>
      <c r="C33" s="6">
        <v>426835.86499999999</v>
      </c>
      <c r="D33" s="55"/>
    </row>
    <row r="34" spans="1:4" ht="15.75">
      <c r="A34" s="53"/>
      <c r="B34" s="1" t="s">
        <v>41</v>
      </c>
      <c r="C34" s="6">
        <v>1207565.6600000001</v>
      </c>
      <c r="D34" s="55"/>
    </row>
    <row r="35" spans="1:4">
      <c r="A35" s="53"/>
      <c r="B35" s="12"/>
      <c r="C35" s="12"/>
      <c r="D35" s="54"/>
    </row>
    <row r="36" spans="1:4" ht="15.75">
      <c r="A36" s="53" t="s">
        <v>8</v>
      </c>
      <c r="B36" s="1" t="s">
        <v>42</v>
      </c>
      <c r="C36" s="15">
        <f>SUM(C37:C50)</f>
        <v>42404417.289999992</v>
      </c>
      <c r="D36" s="55"/>
    </row>
    <row r="37" spans="1:4" ht="15.75">
      <c r="A37" s="53"/>
      <c r="B37" s="1" t="s">
        <v>43</v>
      </c>
      <c r="C37" s="6">
        <v>40017.57</v>
      </c>
      <c r="D37" s="55"/>
    </row>
    <row r="38" spans="1:4" ht="15.75">
      <c r="A38" s="53"/>
      <c r="B38" s="1" t="s">
        <v>44</v>
      </c>
      <c r="C38" s="6">
        <v>529896.78</v>
      </c>
      <c r="D38" s="55"/>
    </row>
    <row r="39" spans="1:4" ht="15.75">
      <c r="A39" s="53"/>
      <c r="B39" s="1" t="s">
        <v>45</v>
      </c>
      <c r="C39" s="6">
        <v>1547210.89</v>
      </c>
      <c r="D39" s="55"/>
    </row>
    <row r="40" spans="1:4" ht="15.75">
      <c r="A40" s="53"/>
      <c r="B40" s="1" t="s">
        <v>46</v>
      </c>
      <c r="C40" s="6">
        <v>6726467.5899999999</v>
      </c>
      <c r="D40" s="55"/>
    </row>
    <row r="41" spans="1:4" ht="15.75">
      <c r="A41" s="53"/>
      <c r="B41" s="1" t="s">
        <v>47</v>
      </c>
      <c r="C41" s="6">
        <v>2188885.0700000003</v>
      </c>
      <c r="D41" s="55"/>
    </row>
    <row r="42" spans="1:4" ht="15.75">
      <c r="A42" s="53"/>
      <c r="B42" s="1" t="s">
        <v>48</v>
      </c>
      <c r="C42" s="6">
        <v>1768372.2949999999</v>
      </c>
      <c r="D42" s="55"/>
    </row>
    <row r="43" spans="1:4" ht="15.75">
      <c r="A43" s="53"/>
      <c r="B43" s="1" t="s">
        <v>49</v>
      </c>
      <c r="C43" s="6">
        <v>6162663.5499999998</v>
      </c>
      <c r="D43" s="55"/>
    </row>
    <row r="44" spans="1:4" ht="15.75">
      <c r="A44" s="53"/>
      <c r="B44" s="1" t="s">
        <v>50</v>
      </c>
      <c r="C44" s="6">
        <v>2025003.5049999999</v>
      </c>
      <c r="D44" s="55"/>
    </row>
    <row r="45" spans="1:4" ht="15.75">
      <c r="A45" s="53"/>
      <c r="B45" s="1" t="s">
        <v>51</v>
      </c>
      <c r="C45" s="6">
        <v>9616439.5</v>
      </c>
      <c r="D45" s="55"/>
    </row>
    <row r="46" spans="1:4" ht="15.75">
      <c r="A46" s="53"/>
      <c r="B46" s="1" t="s">
        <v>52</v>
      </c>
      <c r="C46" s="6">
        <v>96311.054999999993</v>
      </c>
      <c r="D46" s="55"/>
    </row>
    <row r="47" spans="1:4" ht="15.75">
      <c r="A47" s="53"/>
      <c r="B47" s="1" t="s">
        <v>53</v>
      </c>
      <c r="C47" s="6">
        <v>3568753.48</v>
      </c>
      <c r="D47" s="55"/>
    </row>
    <row r="48" spans="1:4" ht="15.75">
      <c r="A48" s="53"/>
      <c r="B48" s="1" t="s">
        <v>54</v>
      </c>
      <c r="C48" s="6">
        <v>927380.25</v>
      </c>
      <c r="D48" s="55"/>
    </row>
    <row r="49" spans="1:4" ht="15.75">
      <c r="A49" s="53"/>
      <c r="B49" s="1" t="s">
        <v>55</v>
      </c>
      <c r="C49" s="6">
        <v>883065.98499999999</v>
      </c>
      <c r="D49" s="55"/>
    </row>
    <row r="50" spans="1:4" ht="15.75">
      <c r="A50" s="53"/>
      <c r="B50" s="1" t="s">
        <v>56</v>
      </c>
      <c r="C50" s="6">
        <v>6323949.7699999996</v>
      </c>
      <c r="D50" s="55"/>
    </row>
    <row r="51" spans="1:4">
      <c r="A51" s="53"/>
      <c r="B51" s="12"/>
      <c r="C51" s="12"/>
      <c r="D51" s="54"/>
    </row>
    <row r="52" spans="1:4" ht="15.75">
      <c r="A52" s="53" t="s">
        <v>9</v>
      </c>
      <c r="B52" s="1" t="s">
        <v>57</v>
      </c>
      <c r="C52" s="15">
        <f>SUM(C53:C63)</f>
        <v>23006569.995808184</v>
      </c>
      <c r="D52" s="55"/>
    </row>
    <row r="53" spans="1:4" ht="15.75">
      <c r="A53" s="53"/>
      <c r="B53" s="1" t="s">
        <v>117</v>
      </c>
      <c r="C53" s="6">
        <v>2756666.17</v>
      </c>
      <c r="D53" s="55"/>
    </row>
    <row r="54" spans="1:4" ht="15.75">
      <c r="A54" s="53"/>
      <c r="B54" s="1" t="s">
        <v>58</v>
      </c>
      <c r="C54" s="6">
        <v>454105.20500000002</v>
      </c>
      <c r="D54" s="55"/>
    </row>
    <row r="55" spans="1:4" ht="15.75">
      <c r="A55" s="53"/>
      <c r="B55" s="1" t="s">
        <v>118</v>
      </c>
      <c r="C55" s="6">
        <v>4549456.5449999999</v>
      </c>
      <c r="D55" s="55"/>
    </row>
    <row r="56" spans="1:4" ht="15.75">
      <c r="A56" s="53"/>
      <c r="B56" s="1" t="s">
        <v>59</v>
      </c>
      <c r="C56" s="6">
        <v>1853395.49</v>
      </c>
      <c r="D56" s="55"/>
    </row>
    <row r="57" spans="1:4" ht="15.75">
      <c r="A57" s="53"/>
      <c r="B57" s="1" t="s">
        <v>60</v>
      </c>
      <c r="C57" s="6">
        <v>449552.185</v>
      </c>
      <c r="D57" s="55"/>
    </row>
    <row r="58" spans="1:4" ht="15.75">
      <c r="A58" s="53"/>
      <c r="B58" s="1" t="s">
        <v>61</v>
      </c>
      <c r="C58" s="6">
        <v>3991360.1735637621</v>
      </c>
      <c r="D58" s="55"/>
    </row>
    <row r="59" spans="1:4" ht="15.75">
      <c r="A59" s="53"/>
      <c r="B59" s="1" t="s">
        <v>119</v>
      </c>
      <c r="C59" s="6">
        <v>478197.01132890827</v>
      </c>
      <c r="D59" s="55"/>
    </row>
    <row r="60" spans="1:4" ht="15.75">
      <c r="A60" s="53"/>
      <c r="B60" s="1" t="s">
        <v>62</v>
      </c>
      <c r="C60" s="6">
        <v>2795048.2870302331</v>
      </c>
      <c r="D60" s="55"/>
    </row>
    <row r="61" spans="1:4" ht="15.75">
      <c r="A61" s="53"/>
      <c r="B61" s="1" t="s">
        <v>63</v>
      </c>
      <c r="C61" s="6">
        <v>3014687.8779689567</v>
      </c>
      <c r="D61" s="55"/>
    </row>
    <row r="62" spans="1:4" ht="15.75">
      <c r="A62" s="53"/>
      <c r="B62" s="1" t="s">
        <v>64</v>
      </c>
      <c r="C62" s="6">
        <v>494390.92601388448</v>
      </c>
      <c r="D62" s="55"/>
    </row>
    <row r="63" spans="1:4" ht="15.75">
      <c r="A63" s="53"/>
      <c r="B63" s="1" t="s">
        <v>65</v>
      </c>
      <c r="C63" s="6">
        <v>2169710.1249024421</v>
      </c>
      <c r="D63" s="55"/>
    </row>
    <row r="64" spans="1:4">
      <c r="A64" s="53"/>
      <c r="B64" s="12"/>
      <c r="C64" s="12"/>
      <c r="D64" s="54"/>
    </row>
    <row r="65" spans="1:4" ht="15.75">
      <c r="A65" s="53" t="s">
        <v>10</v>
      </c>
      <c r="B65" s="1" t="s">
        <v>66</v>
      </c>
      <c r="C65" s="15">
        <f>SUM(C66:C74)</f>
        <v>33534707.814443823</v>
      </c>
      <c r="D65" s="55"/>
    </row>
    <row r="66" spans="1:4" ht="15.75">
      <c r="A66" s="53"/>
      <c r="B66" s="1" t="s">
        <v>67</v>
      </c>
      <c r="C66" s="6">
        <v>29668207.026002031</v>
      </c>
      <c r="D66" s="55"/>
    </row>
    <row r="67" spans="1:4" ht="15.75">
      <c r="A67" s="53"/>
      <c r="B67" s="1" t="s">
        <v>68</v>
      </c>
      <c r="C67" s="6">
        <v>981077.99961653037</v>
      </c>
      <c r="D67" s="55"/>
    </row>
    <row r="68" spans="1:4" ht="15.75">
      <c r="A68" s="53"/>
      <c r="B68" s="1" t="s">
        <v>69</v>
      </c>
      <c r="C68" s="6">
        <v>1007788.5421321448</v>
      </c>
      <c r="D68" s="55"/>
    </row>
    <row r="69" spans="1:4" ht="15.75">
      <c r="A69" s="53"/>
      <c r="B69" s="1" t="s">
        <v>70</v>
      </c>
      <c r="C69" s="6">
        <v>793758.86338024552</v>
      </c>
      <c r="D69" s="55"/>
    </row>
    <row r="70" spans="1:4" ht="15.75">
      <c r="A70" s="53"/>
      <c r="B70" s="1" t="s">
        <v>71</v>
      </c>
      <c r="C70" s="6">
        <v>69615.13973372725</v>
      </c>
      <c r="D70" s="55"/>
    </row>
    <row r="71" spans="1:4" ht="15.75">
      <c r="A71" s="53"/>
      <c r="B71" s="1" t="s">
        <v>72</v>
      </c>
      <c r="C71" s="6">
        <v>679662.94033664395</v>
      </c>
      <c r="D71" s="55"/>
    </row>
    <row r="72" spans="1:4" ht="15.75">
      <c r="A72" s="53"/>
      <c r="B72" s="1" t="s">
        <v>73</v>
      </c>
      <c r="C72" s="6">
        <v>116972.40345857306</v>
      </c>
      <c r="D72" s="55"/>
    </row>
    <row r="73" spans="1:4" ht="15.75">
      <c r="A73" s="53"/>
      <c r="B73" s="1" t="s">
        <v>74</v>
      </c>
      <c r="C73" s="6">
        <v>109670.98419350301</v>
      </c>
      <c r="D73" s="55"/>
    </row>
    <row r="74" spans="1:4" ht="15.75">
      <c r="A74" s="53"/>
      <c r="B74" s="4" t="s">
        <v>75</v>
      </c>
      <c r="C74" s="6">
        <v>107953.91559042023</v>
      </c>
      <c r="D74" s="55"/>
    </row>
    <row r="75" spans="1:4">
      <c r="A75" s="53"/>
      <c r="B75" s="12"/>
      <c r="C75" s="12"/>
      <c r="D75" s="54"/>
    </row>
    <row r="76" spans="1:4" ht="15.75">
      <c r="A76" s="53" t="s">
        <v>11</v>
      </c>
      <c r="B76" s="4" t="s">
        <v>76</v>
      </c>
      <c r="C76" s="15">
        <f>SUM(C77:C80)</f>
        <v>8302349.6602094816</v>
      </c>
      <c r="D76" s="55"/>
    </row>
    <row r="77" spans="1:4" ht="15.75">
      <c r="A77" s="53"/>
      <c r="B77" s="4" t="s">
        <v>77</v>
      </c>
      <c r="C77" s="6">
        <v>1510848.9614586793</v>
      </c>
      <c r="D77" s="55"/>
    </row>
    <row r="78" spans="1:4" ht="15.75">
      <c r="A78" s="53"/>
      <c r="B78" s="4" t="s">
        <v>80</v>
      </c>
      <c r="C78" s="6">
        <v>3493700.7900941917</v>
      </c>
      <c r="D78" s="55"/>
    </row>
    <row r="79" spans="1:4" ht="15.75">
      <c r="A79" s="53"/>
      <c r="B79" s="4" t="s">
        <v>79</v>
      </c>
      <c r="C79" s="6">
        <v>459459.63261938217</v>
      </c>
      <c r="D79" s="55"/>
    </row>
    <row r="80" spans="1:4" ht="17.45" customHeight="1">
      <c r="A80" s="53"/>
      <c r="B80" s="4" t="s">
        <v>78</v>
      </c>
      <c r="C80" s="6">
        <v>2838340.2760372292</v>
      </c>
      <c r="D80" s="55"/>
    </row>
    <row r="81" spans="1:6">
      <c r="A81" s="53"/>
      <c r="B81" s="12"/>
      <c r="C81" s="12"/>
      <c r="D81" s="54"/>
    </row>
    <row r="82" spans="1:6" ht="17.45" customHeight="1">
      <c r="A82" s="53" t="s">
        <v>12</v>
      </c>
      <c r="B82" s="4" t="s">
        <v>81</v>
      </c>
      <c r="C82" s="15">
        <f>SUM(C83:C87)</f>
        <v>3993191.4974999996</v>
      </c>
      <c r="D82" s="55"/>
    </row>
    <row r="83" spans="1:6" ht="17.45" customHeight="1">
      <c r="A83" s="53"/>
      <c r="B83" s="4" t="s">
        <v>82</v>
      </c>
      <c r="C83" s="6">
        <v>995831.098</v>
      </c>
      <c r="D83" s="55"/>
    </row>
    <row r="84" spans="1:6" ht="17.45" customHeight="1">
      <c r="A84" s="53"/>
      <c r="B84" s="4" t="s">
        <v>83</v>
      </c>
      <c r="C84" s="6">
        <v>1145579.4999999998</v>
      </c>
      <c r="D84" s="55"/>
    </row>
    <row r="85" spans="1:6" ht="17.45" customHeight="1">
      <c r="A85" s="53"/>
      <c r="B85" s="4" t="s">
        <v>84</v>
      </c>
      <c r="C85" s="6">
        <v>1196854.0194999999</v>
      </c>
      <c r="D85" s="55"/>
    </row>
    <row r="86" spans="1:6">
      <c r="A86" s="53"/>
      <c r="B86" s="4" t="s">
        <v>85</v>
      </c>
      <c r="C86" s="6">
        <v>607331.88000000012</v>
      </c>
      <c r="D86" s="55"/>
    </row>
    <row r="87" spans="1:6">
      <c r="A87" s="53"/>
      <c r="B87" s="4" t="s">
        <v>24</v>
      </c>
      <c r="C87" s="6">
        <v>47595</v>
      </c>
      <c r="D87" s="55"/>
    </row>
    <row r="88" spans="1:6">
      <c r="A88" s="53"/>
      <c r="B88" s="12"/>
      <c r="C88" s="12"/>
      <c r="D88" s="54"/>
    </row>
    <row r="89" spans="1:6" ht="15.75">
      <c r="A89" s="53" t="s">
        <v>13</v>
      </c>
      <c r="B89" s="4" t="s">
        <v>87</v>
      </c>
      <c r="C89" s="15">
        <f>SUM(C90:C92)</f>
        <v>11290471.552000001</v>
      </c>
      <c r="D89" s="55"/>
    </row>
    <row r="90" spans="1:6">
      <c r="A90" s="53"/>
      <c r="B90" s="4" t="s">
        <v>86</v>
      </c>
      <c r="C90" s="6">
        <v>10651497.302000001</v>
      </c>
      <c r="D90" s="55"/>
    </row>
    <row r="91" spans="1:6">
      <c r="A91" s="53"/>
      <c r="B91" s="4" t="s">
        <v>85</v>
      </c>
      <c r="C91" s="6">
        <v>478929.25</v>
      </c>
      <c r="D91" s="55"/>
    </row>
    <row r="92" spans="1:6">
      <c r="A92" s="53"/>
      <c r="B92" s="4" t="s">
        <v>24</v>
      </c>
      <c r="C92" s="6">
        <v>160045</v>
      </c>
      <c r="D92" s="55"/>
    </row>
    <row r="93" spans="1:6">
      <c r="A93" s="53"/>
      <c r="B93" s="12"/>
      <c r="C93" s="12"/>
      <c r="D93" s="54"/>
    </row>
    <row r="94" spans="1:6" ht="15.75">
      <c r="A94" s="57">
        <v>2</v>
      </c>
      <c r="B94" s="2" t="s">
        <v>120</v>
      </c>
      <c r="C94" s="3">
        <f>SUM(C95:C103)</f>
        <v>82444941.540389463</v>
      </c>
      <c r="D94" s="58"/>
      <c r="F94" s="13"/>
    </row>
    <row r="95" spans="1:6">
      <c r="A95" s="53"/>
      <c r="B95" s="4" t="s">
        <v>88</v>
      </c>
      <c r="C95" s="7">
        <v>8114779.8279647976</v>
      </c>
      <c r="D95" s="59"/>
    </row>
    <row r="96" spans="1:6">
      <c r="A96" s="53"/>
      <c r="B96" s="4" t="s">
        <v>89</v>
      </c>
      <c r="C96" s="7">
        <v>258298.92499999999</v>
      </c>
      <c r="D96" s="60"/>
    </row>
    <row r="97" spans="1:6">
      <c r="A97" s="53"/>
      <c r="B97" s="4" t="s">
        <v>90</v>
      </c>
      <c r="C97" s="7">
        <v>32755266.562500004</v>
      </c>
      <c r="D97" s="59"/>
    </row>
    <row r="98" spans="1:6">
      <c r="A98" s="53"/>
      <c r="B98" s="4" t="s">
        <v>14</v>
      </c>
      <c r="C98" s="7">
        <v>21849499.824399676</v>
      </c>
      <c r="D98" s="59"/>
    </row>
    <row r="99" spans="1:6">
      <c r="A99" s="53"/>
      <c r="B99" s="4" t="s">
        <v>91</v>
      </c>
      <c r="C99" s="7">
        <v>3235168.0549999997</v>
      </c>
      <c r="D99" s="60"/>
    </row>
    <row r="100" spans="1:6">
      <c r="A100" s="53"/>
      <c r="B100" s="4" t="s">
        <v>92</v>
      </c>
      <c r="C100" s="7">
        <v>4791757.8557999982</v>
      </c>
      <c r="D100" s="60"/>
      <c r="F100" s="13"/>
    </row>
    <row r="101" spans="1:6">
      <c r="A101" s="53"/>
      <c r="B101" s="4" t="s">
        <v>93</v>
      </c>
      <c r="C101" s="7">
        <v>6065703.5197249986</v>
      </c>
      <c r="D101" s="60"/>
    </row>
    <row r="102" spans="1:6" ht="15.75">
      <c r="A102" s="53"/>
      <c r="B102" s="4" t="s">
        <v>95</v>
      </c>
      <c r="C102" s="7">
        <v>4786500.9939999999</v>
      </c>
      <c r="D102" s="60"/>
    </row>
    <row r="103" spans="1:6" ht="15.75">
      <c r="A103" s="53"/>
      <c r="B103" s="4" t="s">
        <v>94</v>
      </c>
      <c r="C103" s="7">
        <v>587965.97599999991</v>
      </c>
      <c r="D103" s="59"/>
    </row>
    <row r="104" spans="1:6">
      <c r="A104" s="61"/>
      <c r="B104" s="4"/>
      <c r="C104" s="5"/>
      <c r="D104" s="56"/>
    </row>
    <row r="105" spans="1:6" ht="15.75">
      <c r="A105" s="57">
        <v>3</v>
      </c>
      <c r="B105" s="2" t="s">
        <v>121</v>
      </c>
      <c r="C105" s="3">
        <f>SUM(C106:C112)</f>
        <v>74179898.327544942</v>
      </c>
      <c r="D105" s="58"/>
    </row>
    <row r="106" spans="1:6">
      <c r="A106" s="53"/>
      <c r="B106" s="4" t="s">
        <v>88</v>
      </c>
      <c r="C106" s="7">
        <v>8617218.3544449136</v>
      </c>
      <c r="D106" s="59"/>
    </row>
    <row r="107" spans="1:6">
      <c r="A107" s="53"/>
      <c r="B107" s="4" t="s">
        <v>89</v>
      </c>
      <c r="C107" s="7">
        <v>297086.6999999999</v>
      </c>
      <c r="D107" s="60"/>
    </row>
    <row r="108" spans="1:6">
      <c r="A108" s="53"/>
      <c r="B108" s="4" t="s">
        <v>90</v>
      </c>
      <c r="C108" s="7">
        <v>40618025.300000012</v>
      </c>
      <c r="D108" s="59"/>
    </row>
    <row r="109" spans="1:6">
      <c r="A109" s="53"/>
      <c r="B109" s="4" t="s">
        <v>14</v>
      </c>
      <c r="C109" s="7">
        <v>18522866.005100004</v>
      </c>
      <c r="D109" s="59"/>
    </row>
    <row r="110" spans="1:6">
      <c r="A110" s="53"/>
      <c r="B110" s="4" t="s">
        <v>92</v>
      </c>
      <c r="C110" s="7">
        <v>276825.89999999991</v>
      </c>
      <c r="D110" s="60"/>
    </row>
    <row r="111" spans="1:6" ht="15.75">
      <c r="A111" s="53"/>
      <c r="B111" s="4" t="s">
        <v>95</v>
      </c>
      <c r="C111" s="7">
        <v>5217076.1500000004</v>
      </c>
      <c r="D111" s="60"/>
      <c r="F111" s="13"/>
    </row>
    <row r="112" spans="1:6" ht="15.75">
      <c r="A112" s="53"/>
      <c r="B112" s="4" t="s">
        <v>94</v>
      </c>
      <c r="C112" s="7">
        <v>630799.91800000006</v>
      </c>
      <c r="D112" s="60"/>
    </row>
    <row r="113" spans="1:6">
      <c r="A113" s="61"/>
      <c r="B113" s="4"/>
      <c r="C113" s="5"/>
      <c r="D113" s="56"/>
    </row>
    <row r="114" spans="1:6" ht="15.75">
      <c r="A114" s="57">
        <v>4</v>
      </c>
      <c r="B114" s="2" t="s">
        <v>122</v>
      </c>
      <c r="C114" s="3">
        <f>SUM(C115:C121)</f>
        <v>53325771.257307179</v>
      </c>
      <c r="D114" s="58"/>
    </row>
    <row r="115" spans="1:6">
      <c r="A115" s="53"/>
      <c r="B115" s="4" t="s">
        <v>88</v>
      </c>
      <c r="C115" s="7">
        <v>6301695.5957571771</v>
      </c>
      <c r="D115" s="59"/>
    </row>
    <row r="116" spans="1:6">
      <c r="A116" s="53"/>
      <c r="B116" s="4" t="s">
        <v>89</v>
      </c>
      <c r="C116" s="7">
        <v>120691.65000000001</v>
      </c>
      <c r="D116" s="60"/>
    </row>
    <row r="117" spans="1:6">
      <c r="A117" s="53"/>
      <c r="B117" s="4" t="s">
        <v>90</v>
      </c>
      <c r="C117" s="7">
        <v>26380134.550000004</v>
      </c>
      <c r="D117" s="59"/>
    </row>
    <row r="118" spans="1:6">
      <c r="A118" s="53"/>
      <c r="B118" s="4" t="s">
        <v>14</v>
      </c>
      <c r="C118" s="7">
        <v>15844555.523549998</v>
      </c>
      <c r="D118" s="59"/>
    </row>
    <row r="119" spans="1:6">
      <c r="A119" s="53"/>
      <c r="B119" s="4" t="s">
        <v>92</v>
      </c>
      <c r="C119" s="7">
        <v>276825.89999999991</v>
      </c>
      <c r="D119" s="60"/>
    </row>
    <row r="120" spans="1:6" ht="15.75">
      <c r="A120" s="53"/>
      <c r="B120" s="4" t="s">
        <v>95</v>
      </c>
      <c r="C120" s="7">
        <v>3894428.2059999993</v>
      </c>
      <c r="D120" s="60"/>
      <c r="F120" s="13"/>
    </row>
    <row r="121" spans="1:6" ht="15.75">
      <c r="A121" s="53"/>
      <c r="B121" s="4" t="s">
        <v>94</v>
      </c>
      <c r="C121" s="7">
        <v>507439.83199999999</v>
      </c>
      <c r="D121" s="60"/>
    </row>
    <row r="122" spans="1:6">
      <c r="A122" s="61"/>
      <c r="B122" s="4"/>
      <c r="C122" s="5"/>
      <c r="D122" s="56"/>
    </row>
    <row r="123" spans="1:6" ht="15.75">
      <c r="A123" s="57">
        <v>5</v>
      </c>
      <c r="B123" s="2" t="s">
        <v>15</v>
      </c>
      <c r="C123" s="3">
        <f>SUM(C124:C130)</f>
        <v>9560590.7058731075</v>
      </c>
      <c r="D123" s="58"/>
    </row>
    <row r="124" spans="1:6">
      <c r="A124" s="53"/>
      <c r="B124" s="4" t="s">
        <v>88</v>
      </c>
      <c r="C124" s="7">
        <v>441072.22183311032</v>
      </c>
      <c r="D124" s="59"/>
    </row>
    <row r="125" spans="1:6">
      <c r="A125" s="53"/>
      <c r="B125" s="4" t="s">
        <v>89</v>
      </c>
      <c r="C125" s="7">
        <v>983928.61783999996</v>
      </c>
      <c r="D125" s="60"/>
    </row>
    <row r="126" spans="1:6">
      <c r="A126" s="53"/>
      <c r="B126" s="4" t="s">
        <v>90</v>
      </c>
      <c r="C126" s="7">
        <v>679047.70499999984</v>
      </c>
      <c r="D126" s="59"/>
    </row>
    <row r="127" spans="1:6">
      <c r="A127" s="53"/>
      <c r="B127" s="4" t="s">
        <v>14</v>
      </c>
      <c r="C127" s="7">
        <v>603152.54999999993</v>
      </c>
      <c r="D127" s="59"/>
    </row>
    <row r="128" spans="1:6" ht="15.75">
      <c r="A128" s="53"/>
      <c r="B128" s="4" t="s">
        <v>95</v>
      </c>
      <c r="C128" s="7">
        <v>65798.995200000005</v>
      </c>
      <c r="D128" s="60"/>
      <c r="F128" s="13"/>
    </row>
    <row r="129" spans="1:4" ht="15.75">
      <c r="A129" s="53"/>
      <c r="B129" s="4" t="s">
        <v>94</v>
      </c>
      <c r="C129" s="7">
        <v>87590.616000000009</v>
      </c>
      <c r="D129" s="60"/>
    </row>
    <row r="130" spans="1:4">
      <c r="A130" s="53"/>
      <c r="B130" s="4" t="s">
        <v>96</v>
      </c>
      <c r="C130" s="7">
        <v>6699999.9999999981</v>
      </c>
      <c r="D130" s="60"/>
    </row>
    <row r="131" spans="1:4">
      <c r="A131" s="61"/>
      <c r="B131" s="4"/>
      <c r="C131" s="5"/>
      <c r="D131" s="56"/>
    </row>
    <row r="132" spans="1:4" ht="15.75">
      <c r="A132" s="57">
        <v>6</v>
      </c>
      <c r="B132" s="2" t="s">
        <v>219</v>
      </c>
      <c r="C132" s="3">
        <f>SUM(C133:C135)</f>
        <v>89864743.729999989</v>
      </c>
      <c r="D132" s="58"/>
    </row>
    <row r="133" spans="1:4">
      <c r="A133" s="53"/>
      <c r="B133" s="4" t="s">
        <v>120</v>
      </c>
      <c r="C133" s="7">
        <f>'Prefa konstrukce hal'!J120</f>
        <v>31236223.850000001</v>
      </c>
      <c r="D133" s="59"/>
    </row>
    <row r="134" spans="1:4">
      <c r="A134" s="53"/>
      <c r="B134" s="4" t="s">
        <v>120</v>
      </c>
      <c r="C134" s="7">
        <f>'Prefa konstrukce hal'!J132</f>
        <v>35225178.119999997</v>
      </c>
      <c r="D134" s="60"/>
    </row>
    <row r="135" spans="1:4">
      <c r="A135" s="53"/>
      <c r="B135" s="4" t="s">
        <v>120</v>
      </c>
      <c r="C135" s="7">
        <f>'Prefa konstrukce hal'!J140</f>
        <v>23403341.759999998</v>
      </c>
      <c r="D135" s="59"/>
    </row>
    <row r="136" spans="1:4" ht="15.75" thickBot="1">
      <c r="A136" s="62"/>
      <c r="B136" s="63"/>
      <c r="C136" s="64"/>
      <c r="D136" s="65"/>
    </row>
    <row r="137" spans="1:4">
      <c r="C137" s="13"/>
    </row>
  </sheetData>
  <mergeCells count="3">
    <mergeCell ref="A1:D1"/>
    <mergeCell ref="A2:D2"/>
    <mergeCell ref="A3:D3"/>
  </mergeCells>
  <pageMargins left="0.7" right="0.7" top="0.78740157499999996" bottom="0.78740157499999996" header="0.3" footer="0.3"/>
  <pageSetup paperSize="9" scale="57" orientation="portrait" r:id="rId1"/>
  <rowBreaks count="1" manualBreakCount="1">
    <brk id="7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48"/>
  <sheetViews>
    <sheetView showGridLines="0" view="pageBreakPreview" zoomScale="70" zoomScaleNormal="100" zoomScaleSheetLayoutView="70" workbookViewId="0">
      <selection activeCell="Y42" sqref="Y42"/>
    </sheetView>
  </sheetViews>
  <sheetFormatPr defaultColWidth="9" defaultRowHeight="11.25"/>
  <cols>
    <col min="1" max="1" width="6.28515625" style="68" customWidth="1"/>
    <col min="2" max="2" width="0.85546875" style="68" customWidth="1"/>
    <col min="3" max="3" width="3.140625" style="68" customWidth="1"/>
    <col min="4" max="4" width="3.28515625" style="68" customWidth="1"/>
    <col min="5" max="5" width="12.85546875" style="68" customWidth="1"/>
    <col min="6" max="6" width="38.140625" style="68" customWidth="1"/>
    <col min="7" max="7" width="5.5703125" style="68" customWidth="1"/>
    <col min="8" max="8" width="10.42578125" style="68" customWidth="1"/>
    <col min="9" max="9" width="11.85546875" style="68" customWidth="1"/>
    <col min="10" max="10" width="19.140625" style="68" customWidth="1"/>
    <col min="11" max="11" width="16.7109375" style="68" hidden="1" customWidth="1"/>
    <col min="12" max="16384" width="9" style="68"/>
  </cols>
  <sheetData>
    <row r="2" spans="2:11" ht="36.950000000000003" customHeight="1"/>
    <row r="3" spans="2:11" ht="6.95" customHeight="1">
      <c r="B3" s="69"/>
      <c r="C3" s="70"/>
      <c r="D3" s="70"/>
      <c r="E3" s="70"/>
      <c r="F3" s="70"/>
      <c r="G3" s="70"/>
      <c r="H3" s="70"/>
      <c r="I3" s="70"/>
      <c r="J3" s="70"/>
      <c r="K3" s="70"/>
    </row>
    <row r="4" spans="2:11" ht="24.95" customHeight="1">
      <c r="B4" s="71"/>
      <c r="D4" s="72" t="s">
        <v>129</v>
      </c>
    </row>
    <row r="5" spans="2:11" ht="6.95" customHeight="1">
      <c r="B5" s="71"/>
    </row>
    <row r="6" spans="2:11" ht="12" customHeight="1">
      <c r="B6" s="71"/>
      <c r="D6" s="73" t="s">
        <v>130</v>
      </c>
    </row>
    <row r="7" spans="2:11" ht="16.5" customHeight="1">
      <c r="B7" s="71"/>
      <c r="E7" s="215" t="s">
        <v>222</v>
      </c>
      <c r="F7" s="216"/>
      <c r="G7" s="216"/>
      <c r="H7" s="216"/>
    </row>
    <row r="8" spans="2:11" s="74" customFormat="1" ht="12" customHeight="1">
      <c r="B8" s="75"/>
      <c r="D8" s="73" t="s">
        <v>131</v>
      </c>
    </row>
    <row r="9" spans="2:11" s="74" customFormat="1" ht="16.5" customHeight="1">
      <c r="B9" s="75"/>
      <c r="E9" s="213" t="s">
        <v>132</v>
      </c>
      <c r="F9" s="214"/>
      <c r="G9" s="214"/>
      <c r="H9" s="214"/>
    </row>
    <row r="10" spans="2:11" s="74" customFormat="1">
      <c r="B10" s="75"/>
    </row>
    <row r="11" spans="2:11" s="74" customFormat="1" ht="12" customHeight="1">
      <c r="B11" s="75"/>
      <c r="D11" s="73" t="s">
        <v>133</v>
      </c>
      <c r="F11" s="76" t="s">
        <v>134</v>
      </c>
      <c r="I11" s="73" t="s">
        <v>135</v>
      </c>
      <c r="J11" s="76" t="s">
        <v>134</v>
      </c>
    </row>
    <row r="12" spans="2:11" s="74" customFormat="1" ht="12" customHeight="1">
      <c r="B12" s="75"/>
      <c r="D12" s="73" t="s">
        <v>136</v>
      </c>
      <c r="F12" s="76" t="s">
        <v>107</v>
      </c>
      <c r="I12" s="73" t="s">
        <v>105</v>
      </c>
      <c r="J12" s="77"/>
    </row>
    <row r="13" spans="2:11" s="74" customFormat="1" ht="10.9" customHeight="1">
      <c r="B13" s="75"/>
    </row>
    <row r="14" spans="2:11" s="74" customFormat="1" ht="12" customHeight="1">
      <c r="B14" s="75"/>
      <c r="D14" s="73" t="s">
        <v>98</v>
      </c>
      <c r="I14" s="73" t="s">
        <v>137</v>
      </c>
      <c r="J14" s="76" t="s">
        <v>134</v>
      </c>
    </row>
    <row r="15" spans="2:11" s="74" customFormat="1" ht="18" customHeight="1">
      <c r="B15" s="75"/>
      <c r="E15" s="76" t="s">
        <v>107</v>
      </c>
      <c r="I15" s="73" t="s">
        <v>138</v>
      </c>
      <c r="J15" s="76" t="s">
        <v>134</v>
      </c>
    </row>
    <row r="16" spans="2:11" s="74" customFormat="1" ht="6.95" customHeight="1">
      <c r="B16" s="75"/>
    </row>
    <row r="17" spans="2:11" s="74" customFormat="1" ht="12" customHeight="1">
      <c r="B17" s="75"/>
      <c r="D17" s="73" t="s">
        <v>99</v>
      </c>
      <c r="I17" s="73" t="s">
        <v>137</v>
      </c>
      <c r="J17" s="76" t="s">
        <v>134</v>
      </c>
    </row>
    <row r="18" spans="2:11" s="74" customFormat="1" ht="18" customHeight="1">
      <c r="B18" s="75"/>
      <c r="E18" s="217" t="s">
        <v>107</v>
      </c>
      <c r="F18" s="217"/>
      <c r="G18" s="217"/>
      <c r="H18" s="217"/>
      <c r="I18" s="73" t="s">
        <v>138</v>
      </c>
      <c r="J18" s="76" t="s">
        <v>134</v>
      </c>
    </row>
    <row r="19" spans="2:11" s="74" customFormat="1" ht="6.95" customHeight="1">
      <c r="B19" s="75"/>
    </row>
    <row r="20" spans="2:11" s="74" customFormat="1" ht="12" customHeight="1">
      <c r="B20" s="75"/>
      <c r="D20" s="73" t="s">
        <v>139</v>
      </c>
      <c r="I20" s="73" t="s">
        <v>137</v>
      </c>
      <c r="J20" s="76" t="s">
        <v>134</v>
      </c>
    </row>
    <row r="21" spans="2:11" s="74" customFormat="1" ht="18" customHeight="1">
      <c r="B21" s="75"/>
      <c r="E21" s="76" t="s">
        <v>107</v>
      </c>
      <c r="I21" s="73" t="s">
        <v>138</v>
      </c>
      <c r="J21" s="76" t="s">
        <v>134</v>
      </c>
    </row>
    <row r="22" spans="2:11" s="74" customFormat="1" ht="6.95" customHeight="1">
      <c r="B22" s="75"/>
    </row>
    <row r="23" spans="2:11" s="74" customFormat="1" ht="12" customHeight="1">
      <c r="B23" s="75"/>
      <c r="D23" s="73" t="s">
        <v>140</v>
      </c>
      <c r="I23" s="73" t="s">
        <v>137</v>
      </c>
      <c r="J23" s="76" t="s">
        <v>134</v>
      </c>
    </row>
    <row r="24" spans="2:11" s="74" customFormat="1" ht="18" customHeight="1">
      <c r="B24" s="75"/>
      <c r="E24" s="76" t="s">
        <v>107</v>
      </c>
      <c r="I24" s="73" t="s">
        <v>138</v>
      </c>
      <c r="J24" s="76" t="s">
        <v>134</v>
      </c>
    </row>
    <row r="25" spans="2:11" s="74" customFormat="1" ht="6.95" customHeight="1">
      <c r="B25" s="75"/>
    </row>
    <row r="26" spans="2:11" s="74" customFormat="1" ht="12" customHeight="1">
      <c r="B26" s="75"/>
      <c r="D26" s="73" t="s">
        <v>141</v>
      </c>
    </row>
    <row r="27" spans="2:11" s="78" customFormat="1" ht="16.5" customHeight="1">
      <c r="B27" s="79"/>
      <c r="E27" s="218" t="s">
        <v>134</v>
      </c>
      <c r="F27" s="218"/>
      <c r="G27" s="218"/>
      <c r="H27" s="218"/>
    </row>
    <row r="28" spans="2:11" s="74" customFormat="1" ht="6.95" customHeight="1">
      <c r="B28" s="75"/>
    </row>
    <row r="29" spans="2:11" s="74" customFormat="1" ht="6.95" customHeight="1">
      <c r="B29" s="75"/>
      <c r="D29" s="80"/>
      <c r="E29" s="80"/>
      <c r="F29" s="80"/>
      <c r="G29" s="80"/>
      <c r="H29" s="80"/>
      <c r="I29" s="80"/>
      <c r="J29" s="80"/>
      <c r="K29" s="80"/>
    </row>
    <row r="30" spans="2:11" s="74" customFormat="1" ht="25.35" customHeight="1">
      <c r="B30" s="75"/>
      <c r="D30" s="81" t="s">
        <v>142</v>
      </c>
      <c r="J30" s="82">
        <f>ROUND(J119, 2)</f>
        <v>89864743.730000004</v>
      </c>
    </row>
    <row r="31" spans="2:11" s="74" customFormat="1" ht="6.95" customHeight="1">
      <c r="B31" s="75"/>
      <c r="D31" s="80"/>
      <c r="E31" s="80"/>
      <c r="F31" s="80"/>
      <c r="G31" s="80"/>
      <c r="H31" s="80"/>
      <c r="I31" s="80"/>
      <c r="J31" s="80"/>
      <c r="K31" s="80"/>
    </row>
    <row r="32" spans="2:11" s="74" customFormat="1" ht="14.45" customHeight="1">
      <c r="B32" s="75"/>
      <c r="F32" s="83" t="s">
        <v>143</v>
      </c>
      <c r="I32" s="83" t="s">
        <v>144</v>
      </c>
      <c r="J32" s="83" t="s">
        <v>145</v>
      </c>
    </row>
    <row r="33" spans="2:11" s="74" customFormat="1" ht="14.45" customHeight="1">
      <c r="B33" s="75"/>
      <c r="D33" s="84" t="s">
        <v>146</v>
      </c>
      <c r="E33" s="73" t="s">
        <v>147</v>
      </c>
      <c r="F33" s="85">
        <f>J30</f>
        <v>89864743.730000004</v>
      </c>
      <c r="I33" s="86">
        <v>0.21</v>
      </c>
      <c r="J33" s="85">
        <f>ROUND(((SUM(J30))*I33),  2)</f>
        <v>18871596.18</v>
      </c>
    </row>
    <row r="34" spans="2:11" s="74" customFormat="1" ht="14.45" customHeight="1">
      <c r="B34" s="75"/>
      <c r="E34" s="73" t="s">
        <v>148</v>
      </c>
      <c r="F34" s="85">
        <v>0</v>
      </c>
      <c r="I34" s="86">
        <v>0.12</v>
      </c>
      <c r="J34" s="85">
        <v>0</v>
      </c>
    </row>
    <row r="35" spans="2:11" s="74" customFormat="1" ht="14.45" hidden="1" customHeight="1">
      <c r="B35" s="75"/>
      <c r="E35" s="73" t="s">
        <v>149</v>
      </c>
      <c r="F35" s="85" t="e">
        <f>ROUND((SUM(#REF!)),  2)</f>
        <v>#REF!</v>
      </c>
      <c r="I35" s="86">
        <v>0.21</v>
      </c>
      <c r="J35" s="85">
        <f>0</f>
        <v>0</v>
      </c>
    </row>
    <row r="36" spans="2:11" s="74" customFormat="1" ht="14.45" hidden="1" customHeight="1">
      <c r="B36" s="75"/>
      <c r="E36" s="73" t="s">
        <v>150</v>
      </c>
      <c r="F36" s="85" t="e">
        <f>ROUND((SUM(#REF!)),  2)</f>
        <v>#REF!</v>
      </c>
      <c r="I36" s="86">
        <v>0.12</v>
      </c>
      <c r="J36" s="85">
        <f>0</f>
        <v>0</v>
      </c>
    </row>
    <row r="37" spans="2:11" s="74" customFormat="1" ht="14.45" hidden="1" customHeight="1">
      <c r="B37" s="75"/>
      <c r="E37" s="73" t="s">
        <v>151</v>
      </c>
      <c r="F37" s="85" t="e">
        <f>ROUND((SUM(#REF!)),  2)</f>
        <v>#REF!</v>
      </c>
      <c r="I37" s="86">
        <v>0</v>
      </c>
      <c r="J37" s="85">
        <f>0</f>
        <v>0</v>
      </c>
    </row>
    <row r="38" spans="2:11" s="74" customFormat="1" ht="6.95" customHeight="1">
      <c r="B38" s="75"/>
    </row>
    <row r="39" spans="2:11" s="74" customFormat="1" ht="25.35" customHeight="1">
      <c r="B39" s="75"/>
      <c r="C39" s="87"/>
      <c r="D39" s="88" t="s">
        <v>152</v>
      </c>
      <c r="E39" s="89"/>
      <c r="F39" s="89"/>
      <c r="G39" s="90" t="s">
        <v>153</v>
      </c>
      <c r="H39" s="91" t="s">
        <v>154</v>
      </c>
      <c r="I39" s="89"/>
      <c r="J39" s="92">
        <f>SUM(J30:J37)</f>
        <v>108736339.91</v>
      </c>
      <c r="K39" s="93"/>
    </row>
    <row r="40" spans="2:11" s="74" customFormat="1" ht="14.45" customHeight="1">
      <c r="B40" s="75"/>
    </row>
    <row r="41" spans="2:11" ht="14.45" customHeight="1">
      <c r="B41" s="71"/>
    </row>
    <row r="42" spans="2:11" ht="14.45" customHeight="1">
      <c r="B42" s="71"/>
    </row>
    <row r="43" spans="2:11" ht="14.45" customHeight="1">
      <c r="B43" s="71"/>
    </row>
    <row r="44" spans="2:11" ht="14.45" customHeight="1">
      <c r="B44" s="71"/>
    </row>
    <row r="45" spans="2:11" ht="14.45" customHeight="1">
      <c r="B45" s="71"/>
    </row>
    <row r="46" spans="2:11" ht="14.45" customHeight="1">
      <c r="B46" s="71"/>
    </row>
    <row r="47" spans="2:11" ht="14.45" customHeight="1">
      <c r="B47" s="71"/>
    </row>
    <row r="48" spans="2:11" ht="14.45" customHeight="1">
      <c r="B48" s="71"/>
    </row>
    <row r="49" spans="2:11" ht="14.45" customHeight="1">
      <c r="B49" s="71"/>
    </row>
    <row r="50" spans="2:11" s="74" customFormat="1" ht="14.45" customHeight="1">
      <c r="B50" s="75"/>
      <c r="D50" s="94" t="s">
        <v>155</v>
      </c>
      <c r="E50" s="95"/>
      <c r="F50" s="95"/>
      <c r="G50" s="94" t="s">
        <v>156</v>
      </c>
      <c r="H50" s="95"/>
      <c r="I50" s="95"/>
      <c r="J50" s="95"/>
      <c r="K50" s="95"/>
    </row>
    <row r="51" spans="2:11">
      <c r="B51" s="71"/>
    </row>
    <row r="52" spans="2:11">
      <c r="B52" s="71"/>
    </row>
    <row r="53" spans="2:11">
      <c r="B53" s="71"/>
    </row>
    <row r="54" spans="2:11">
      <c r="B54" s="71"/>
    </row>
    <row r="55" spans="2:11">
      <c r="B55" s="71"/>
    </row>
    <row r="56" spans="2:11">
      <c r="B56" s="71"/>
    </row>
    <row r="57" spans="2:11">
      <c r="B57" s="71"/>
    </row>
    <row r="58" spans="2:11">
      <c r="B58" s="71"/>
    </row>
    <row r="59" spans="2:11">
      <c r="B59" s="71"/>
    </row>
    <row r="60" spans="2:11">
      <c r="B60" s="71"/>
    </row>
    <row r="61" spans="2:11" s="74" customFormat="1" ht="12.75">
      <c r="B61" s="75"/>
      <c r="D61" s="96" t="s">
        <v>157</v>
      </c>
      <c r="E61" s="97"/>
      <c r="F61" s="98" t="s">
        <v>158</v>
      </c>
      <c r="G61" s="96" t="s">
        <v>157</v>
      </c>
      <c r="H61" s="97"/>
      <c r="I61" s="97"/>
      <c r="J61" s="99" t="s">
        <v>158</v>
      </c>
      <c r="K61" s="97"/>
    </row>
    <row r="62" spans="2:11">
      <c r="B62" s="71"/>
    </row>
    <row r="63" spans="2:11">
      <c r="B63" s="71"/>
    </row>
    <row r="64" spans="2:11">
      <c r="B64" s="71"/>
    </row>
    <row r="65" spans="2:11" s="74" customFormat="1" ht="12.75">
      <c r="B65" s="75"/>
      <c r="D65" s="94" t="s">
        <v>159</v>
      </c>
      <c r="E65" s="95"/>
      <c r="F65" s="95"/>
      <c r="G65" s="94" t="s">
        <v>160</v>
      </c>
      <c r="H65" s="95"/>
      <c r="I65" s="95"/>
      <c r="J65" s="95"/>
      <c r="K65" s="95"/>
    </row>
    <row r="66" spans="2:11">
      <c r="B66" s="71"/>
    </row>
    <row r="67" spans="2:11">
      <c r="B67" s="71"/>
    </row>
    <row r="68" spans="2:11">
      <c r="B68" s="71"/>
    </row>
    <row r="69" spans="2:11">
      <c r="B69" s="71"/>
    </row>
    <row r="70" spans="2:11">
      <c r="B70" s="71"/>
    </row>
    <row r="71" spans="2:11">
      <c r="B71" s="71"/>
    </row>
    <row r="72" spans="2:11">
      <c r="B72" s="71"/>
    </row>
    <row r="73" spans="2:11">
      <c r="B73" s="71"/>
    </row>
    <row r="74" spans="2:11">
      <c r="B74" s="71"/>
    </row>
    <row r="75" spans="2:11">
      <c r="B75" s="71"/>
    </row>
    <row r="76" spans="2:11" s="74" customFormat="1" ht="12.75">
      <c r="B76" s="75"/>
      <c r="D76" s="96" t="s">
        <v>157</v>
      </c>
      <c r="E76" s="97"/>
      <c r="F76" s="98" t="s">
        <v>158</v>
      </c>
      <c r="G76" s="96" t="s">
        <v>157</v>
      </c>
      <c r="H76" s="97"/>
      <c r="I76" s="97"/>
      <c r="J76" s="99" t="s">
        <v>158</v>
      </c>
      <c r="K76" s="97"/>
    </row>
    <row r="77" spans="2:11" s="74" customFormat="1" ht="14.45" customHeight="1">
      <c r="B77" s="100"/>
      <c r="C77" s="101"/>
      <c r="D77" s="101"/>
      <c r="E77" s="101"/>
      <c r="F77" s="101"/>
      <c r="G77" s="101"/>
      <c r="H77" s="101"/>
      <c r="I77" s="101"/>
      <c r="J77" s="101"/>
      <c r="K77" s="101"/>
    </row>
    <row r="81" spans="2:11" s="74" customFormat="1" ht="6.95" customHeight="1">
      <c r="B81" s="102"/>
      <c r="C81" s="103"/>
      <c r="D81" s="103"/>
      <c r="E81" s="103"/>
      <c r="F81" s="103"/>
      <c r="G81" s="103"/>
      <c r="H81" s="103"/>
      <c r="I81" s="103"/>
      <c r="J81" s="103"/>
      <c r="K81" s="103"/>
    </row>
    <row r="82" spans="2:11" s="74" customFormat="1" ht="24.95" customHeight="1">
      <c r="B82" s="75"/>
      <c r="C82" s="72" t="s">
        <v>161</v>
      </c>
    </row>
    <row r="83" spans="2:11" s="74" customFormat="1" ht="6.95" customHeight="1">
      <c r="B83" s="75"/>
    </row>
    <row r="84" spans="2:11" s="74" customFormat="1" ht="12" customHeight="1">
      <c r="B84" s="75"/>
      <c r="C84" s="73" t="s">
        <v>130</v>
      </c>
    </row>
    <row r="85" spans="2:11" s="74" customFormat="1" ht="16.5" customHeight="1">
      <c r="B85" s="75"/>
      <c r="E85" s="215" t="str">
        <f>E7</f>
        <v>RC Zone Přerov - Prefa konstrukce</v>
      </c>
      <c r="F85" s="216"/>
      <c r="G85" s="216"/>
      <c r="H85" s="216"/>
    </row>
    <row r="86" spans="2:11" s="74" customFormat="1" ht="12" customHeight="1">
      <c r="B86" s="75"/>
      <c r="C86" s="73" t="s">
        <v>131</v>
      </c>
    </row>
    <row r="87" spans="2:11" s="74" customFormat="1" ht="16.5" customHeight="1">
      <c r="B87" s="75"/>
      <c r="E87" s="213" t="str">
        <f>E9</f>
        <v>03 - Prefa konstrukce hala 01, 02, 03</v>
      </c>
      <c r="F87" s="214"/>
      <c r="G87" s="214"/>
      <c r="H87" s="214"/>
    </row>
    <row r="88" spans="2:11" s="74" customFormat="1" ht="6.95" customHeight="1">
      <c r="B88" s="75"/>
    </row>
    <row r="89" spans="2:11" s="74" customFormat="1" ht="12" customHeight="1">
      <c r="B89" s="75"/>
      <c r="C89" s="73" t="s">
        <v>136</v>
      </c>
      <c r="F89" s="76" t="str">
        <f>F12</f>
        <v xml:space="preserve"> </v>
      </c>
      <c r="I89" s="73" t="s">
        <v>105</v>
      </c>
      <c r="J89" s="77" t="str">
        <f>IF(J12="","",J12)</f>
        <v/>
      </c>
    </row>
    <row r="90" spans="2:11" s="74" customFormat="1" ht="6.95" customHeight="1">
      <c r="B90" s="75"/>
    </row>
    <row r="91" spans="2:11" s="74" customFormat="1" ht="15.2" customHeight="1">
      <c r="B91" s="75"/>
      <c r="C91" s="73" t="s">
        <v>98</v>
      </c>
      <c r="F91" s="76" t="str">
        <f>E15</f>
        <v xml:space="preserve"> </v>
      </c>
      <c r="I91" s="73" t="s">
        <v>139</v>
      </c>
      <c r="J91" s="104" t="str">
        <f>E21</f>
        <v xml:space="preserve"> </v>
      </c>
    </row>
    <row r="92" spans="2:11" s="74" customFormat="1" ht="15.2" customHeight="1">
      <c r="B92" s="75"/>
      <c r="C92" s="73" t="s">
        <v>99</v>
      </c>
      <c r="F92" s="76" t="str">
        <f>IF(E18="","",E18)</f>
        <v xml:space="preserve"> </v>
      </c>
      <c r="I92" s="73" t="s">
        <v>140</v>
      </c>
      <c r="J92" s="104" t="str">
        <f>E24</f>
        <v xml:space="preserve"> </v>
      </c>
    </row>
    <row r="93" spans="2:11" s="74" customFormat="1" ht="10.35" customHeight="1">
      <c r="B93" s="75"/>
    </row>
    <row r="94" spans="2:11" s="74" customFormat="1" ht="29.25" customHeight="1">
      <c r="B94" s="75"/>
      <c r="C94" s="105" t="s">
        <v>162</v>
      </c>
      <c r="D94" s="87"/>
      <c r="E94" s="87"/>
      <c r="F94" s="87"/>
      <c r="G94" s="87"/>
      <c r="H94" s="87"/>
      <c r="I94" s="87"/>
      <c r="J94" s="106" t="s">
        <v>163</v>
      </c>
      <c r="K94" s="87"/>
    </row>
    <row r="95" spans="2:11" s="74" customFormat="1" ht="10.35" customHeight="1">
      <c r="B95" s="75"/>
    </row>
    <row r="96" spans="2:11" s="74" customFormat="1" ht="22.9" customHeight="1">
      <c r="B96" s="75"/>
      <c r="C96" s="107" t="s">
        <v>164</v>
      </c>
      <c r="J96" s="82">
        <f>J119</f>
        <v>89864743.729999989</v>
      </c>
    </row>
    <row r="97" spans="2:11" s="108" customFormat="1" ht="24.95" customHeight="1">
      <c r="B97" s="109"/>
      <c r="D97" s="110" t="s">
        <v>165</v>
      </c>
      <c r="E97" s="111"/>
      <c r="F97" s="111"/>
      <c r="G97" s="111"/>
      <c r="H97" s="111"/>
      <c r="I97" s="111"/>
      <c r="J97" s="112">
        <f>J120</f>
        <v>31236223.850000001</v>
      </c>
    </row>
    <row r="98" spans="2:11" s="108" customFormat="1" ht="24.95" customHeight="1">
      <c r="B98" s="109"/>
      <c r="D98" s="110" t="s">
        <v>166</v>
      </c>
      <c r="E98" s="111"/>
      <c r="F98" s="111"/>
      <c r="G98" s="111"/>
      <c r="H98" s="111"/>
      <c r="I98" s="111"/>
      <c r="J98" s="112">
        <f>J132</f>
        <v>35225178.119999997</v>
      </c>
    </row>
    <row r="99" spans="2:11" s="108" customFormat="1" ht="24.95" customHeight="1">
      <c r="B99" s="109"/>
      <c r="D99" s="110" t="s">
        <v>221</v>
      </c>
      <c r="E99" s="111"/>
      <c r="F99" s="111"/>
      <c r="G99" s="111"/>
      <c r="H99" s="111"/>
      <c r="I99" s="111"/>
      <c r="J99" s="112">
        <f>J140</f>
        <v>23403341.759999998</v>
      </c>
    </row>
    <row r="100" spans="2:11" s="74" customFormat="1" ht="21.75" customHeight="1">
      <c r="B100" s="75"/>
    </row>
    <row r="101" spans="2:11" s="74" customFormat="1" ht="6.95" customHeight="1">
      <c r="B101" s="100"/>
      <c r="C101" s="101"/>
      <c r="D101" s="101"/>
      <c r="E101" s="101"/>
      <c r="F101" s="101"/>
      <c r="G101" s="101"/>
      <c r="H101" s="101"/>
      <c r="I101" s="101"/>
      <c r="J101" s="101"/>
      <c r="K101" s="101"/>
    </row>
    <row r="105" spans="2:11" s="74" customFormat="1" ht="6.95" customHeight="1">
      <c r="B105" s="102"/>
      <c r="C105" s="103"/>
      <c r="D105" s="103"/>
      <c r="E105" s="103"/>
      <c r="F105" s="103"/>
      <c r="G105" s="103"/>
      <c r="H105" s="103"/>
      <c r="I105" s="103"/>
      <c r="J105" s="103"/>
      <c r="K105" s="103"/>
    </row>
    <row r="106" spans="2:11" s="74" customFormat="1" ht="24.95" customHeight="1">
      <c r="B106" s="75"/>
      <c r="C106" s="72" t="s">
        <v>167</v>
      </c>
    </row>
    <row r="107" spans="2:11" s="74" customFormat="1" ht="6.95" customHeight="1">
      <c r="B107" s="75"/>
    </row>
    <row r="108" spans="2:11" s="74" customFormat="1" ht="12" customHeight="1">
      <c r="B108" s="75"/>
      <c r="C108" s="73" t="s">
        <v>130</v>
      </c>
    </row>
    <row r="109" spans="2:11" s="74" customFormat="1" ht="16.5" customHeight="1">
      <c r="B109" s="75"/>
      <c r="E109" s="215" t="str">
        <f>E7</f>
        <v>RC Zone Přerov - Prefa konstrukce</v>
      </c>
      <c r="F109" s="216"/>
      <c r="G109" s="216"/>
      <c r="H109" s="216"/>
    </row>
    <row r="110" spans="2:11" s="74" customFormat="1" ht="12" customHeight="1">
      <c r="B110" s="75"/>
      <c r="C110" s="73" t="s">
        <v>131</v>
      </c>
    </row>
    <row r="111" spans="2:11" s="74" customFormat="1" ht="16.5" customHeight="1">
      <c r="B111" s="75"/>
      <c r="E111" s="213" t="str">
        <f>E9</f>
        <v>03 - Prefa konstrukce hala 01, 02, 03</v>
      </c>
      <c r="F111" s="214"/>
      <c r="G111" s="214"/>
      <c r="H111" s="214"/>
    </row>
    <row r="112" spans="2:11" s="74" customFormat="1" ht="6.95" customHeight="1">
      <c r="B112" s="75"/>
    </row>
    <row r="113" spans="2:11" s="74" customFormat="1" ht="12" customHeight="1">
      <c r="B113" s="75"/>
      <c r="C113" s="73" t="s">
        <v>136</v>
      </c>
      <c r="F113" s="76" t="str">
        <f>F12</f>
        <v xml:space="preserve"> </v>
      </c>
      <c r="I113" s="73" t="s">
        <v>105</v>
      </c>
      <c r="J113" s="77" t="str">
        <f>IF(J12="","",J12)</f>
        <v/>
      </c>
    </row>
    <row r="114" spans="2:11" s="74" customFormat="1" ht="6.95" customHeight="1">
      <c r="B114" s="75"/>
    </row>
    <row r="115" spans="2:11" s="74" customFormat="1" ht="15.2" customHeight="1">
      <c r="B115" s="75"/>
      <c r="C115" s="73" t="s">
        <v>98</v>
      </c>
      <c r="F115" s="76" t="str">
        <f>E15</f>
        <v xml:space="preserve"> </v>
      </c>
      <c r="I115" s="73" t="s">
        <v>139</v>
      </c>
      <c r="J115" s="104" t="str">
        <f>E21</f>
        <v xml:space="preserve"> </v>
      </c>
    </row>
    <row r="116" spans="2:11" s="74" customFormat="1" ht="15.2" customHeight="1">
      <c r="B116" s="75"/>
      <c r="C116" s="73" t="s">
        <v>99</v>
      </c>
      <c r="F116" s="76" t="str">
        <f>IF(E18="","",E18)</f>
        <v xml:space="preserve"> </v>
      </c>
      <c r="I116" s="73" t="s">
        <v>140</v>
      </c>
      <c r="J116" s="104" t="str">
        <f>E24</f>
        <v xml:space="preserve"> </v>
      </c>
    </row>
    <row r="117" spans="2:11" s="74" customFormat="1" ht="10.35" customHeight="1">
      <c r="B117" s="75"/>
    </row>
    <row r="118" spans="2:11" s="113" customFormat="1" ht="29.25" customHeight="1">
      <c r="B118" s="114"/>
      <c r="C118" s="115" t="s">
        <v>168</v>
      </c>
      <c r="D118" s="116" t="s">
        <v>169</v>
      </c>
      <c r="E118" s="116" t="s">
        <v>170</v>
      </c>
      <c r="F118" s="116" t="s">
        <v>1</v>
      </c>
      <c r="G118" s="116" t="s">
        <v>171</v>
      </c>
      <c r="H118" s="116" t="s">
        <v>172</v>
      </c>
      <c r="I118" s="116" t="s">
        <v>173</v>
      </c>
      <c r="J118" s="117" t="s">
        <v>163</v>
      </c>
      <c r="K118" s="118" t="s">
        <v>174</v>
      </c>
    </row>
    <row r="119" spans="2:11" s="74" customFormat="1" ht="22.9" customHeight="1">
      <c r="B119" s="75"/>
      <c r="C119" s="119" t="s">
        <v>175</v>
      </c>
      <c r="J119" s="120">
        <f>J120+J132+J140</f>
        <v>89864743.729999989</v>
      </c>
    </row>
    <row r="120" spans="2:11" s="121" customFormat="1" ht="25.9" customHeight="1">
      <c r="B120" s="122"/>
      <c r="D120" s="123" t="s">
        <v>176</v>
      </c>
      <c r="E120" s="124" t="s">
        <v>177</v>
      </c>
      <c r="F120" s="124" t="s">
        <v>217</v>
      </c>
      <c r="J120" s="125">
        <f>SUM(J121:J131)</f>
        <v>31236223.850000001</v>
      </c>
    </row>
    <row r="121" spans="2:11" s="74" customFormat="1" ht="16.5" customHeight="1">
      <c r="B121" s="126"/>
      <c r="C121" s="127" t="s">
        <v>178</v>
      </c>
      <c r="D121" s="127" t="s">
        <v>179</v>
      </c>
      <c r="E121" s="128"/>
      <c r="F121" s="129" t="s">
        <v>180</v>
      </c>
      <c r="G121" s="130" t="s">
        <v>181</v>
      </c>
      <c r="H121" s="131">
        <v>140</v>
      </c>
      <c r="I121" s="132">
        <v>73598.028571428571</v>
      </c>
      <c r="J121" s="132">
        <f t="shared" ref="J121:J131" si="0">ROUND(I121*H121,2)</f>
        <v>10303724</v>
      </c>
      <c r="K121" s="133"/>
    </row>
    <row r="122" spans="2:11" s="74" customFormat="1" ht="16.5" customHeight="1">
      <c r="B122" s="126"/>
      <c r="C122" s="127" t="s">
        <v>128</v>
      </c>
      <c r="D122" s="127" t="s">
        <v>179</v>
      </c>
      <c r="E122" s="128"/>
      <c r="F122" s="129" t="s">
        <v>183</v>
      </c>
      <c r="G122" s="130" t="s">
        <v>181</v>
      </c>
      <c r="H122" s="131">
        <v>57</v>
      </c>
      <c r="I122" s="132">
        <v>116726.9649122807</v>
      </c>
      <c r="J122" s="132">
        <f t="shared" si="0"/>
        <v>6653437</v>
      </c>
      <c r="K122" s="133"/>
    </row>
    <row r="123" spans="2:11" s="74" customFormat="1" ht="16.5" customHeight="1">
      <c r="B123" s="126"/>
      <c r="C123" s="127" t="s">
        <v>184</v>
      </c>
      <c r="D123" s="127" t="s">
        <v>179</v>
      </c>
      <c r="E123" s="128"/>
      <c r="F123" s="129" t="s">
        <v>185</v>
      </c>
      <c r="G123" s="130" t="s">
        <v>181</v>
      </c>
      <c r="H123" s="131">
        <v>202</v>
      </c>
      <c r="I123" s="132">
        <v>34857.267326732675</v>
      </c>
      <c r="J123" s="132">
        <f t="shared" si="0"/>
        <v>7041168</v>
      </c>
      <c r="K123" s="133"/>
    </row>
    <row r="124" spans="2:11" s="74" customFormat="1" ht="16.5" customHeight="1">
      <c r="B124" s="126"/>
      <c r="C124" s="127" t="s">
        <v>182</v>
      </c>
      <c r="D124" s="127" t="s">
        <v>179</v>
      </c>
      <c r="E124" s="128"/>
      <c r="F124" s="129" t="s">
        <v>187</v>
      </c>
      <c r="G124" s="130" t="s">
        <v>181</v>
      </c>
      <c r="H124" s="131">
        <v>100</v>
      </c>
      <c r="I124" s="132">
        <v>13026.24</v>
      </c>
      <c r="J124" s="132">
        <f t="shared" si="0"/>
        <v>1302624</v>
      </c>
      <c r="K124" s="133"/>
    </row>
    <row r="125" spans="2:11" s="74" customFormat="1" ht="16.5" customHeight="1">
      <c r="B125" s="126"/>
      <c r="C125" s="127" t="s">
        <v>189</v>
      </c>
      <c r="D125" s="127" t="s">
        <v>179</v>
      </c>
      <c r="E125" s="128"/>
      <c r="F125" s="129" t="s">
        <v>190</v>
      </c>
      <c r="G125" s="130" t="s">
        <v>181</v>
      </c>
      <c r="H125" s="131">
        <v>65</v>
      </c>
      <c r="I125" s="132">
        <v>23156.382595182593</v>
      </c>
      <c r="J125" s="132">
        <f t="shared" si="0"/>
        <v>1505164.87</v>
      </c>
      <c r="K125" s="133"/>
    </row>
    <row r="126" spans="2:11" s="74" customFormat="1" ht="16.5" customHeight="1">
      <c r="B126" s="126"/>
      <c r="C126" s="127" t="s">
        <v>186</v>
      </c>
      <c r="D126" s="127" t="s">
        <v>179</v>
      </c>
      <c r="E126" s="128"/>
      <c r="F126" s="129" t="s">
        <v>192</v>
      </c>
      <c r="G126" s="130" t="s">
        <v>181</v>
      </c>
      <c r="H126" s="131">
        <v>34</v>
      </c>
      <c r="I126" s="132">
        <v>54795.062685680336</v>
      </c>
      <c r="J126" s="132">
        <f t="shared" si="0"/>
        <v>1863032.13</v>
      </c>
      <c r="K126" s="133"/>
    </row>
    <row r="127" spans="2:11" s="74" customFormat="1" ht="16.5" customHeight="1">
      <c r="B127" s="126"/>
      <c r="C127" s="127" t="s">
        <v>194</v>
      </c>
      <c r="D127" s="127" t="s">
        <v>179</v>
      </c>
      <c r="E127" s="128"/>
      <c r="F127" s="129" t="s">
        <v>195</v>
      </c>
      <c r="G127" s="130" t="s">
        <v>181</v>
      </c>
      <c r="H127" s="131">
        <v>124</v>
      </c>
      <c r="I127" s="132">
        <v>11341.096774193549</v>
      </c>
      <c r="J127" s="132">
        <f t="shared" si="0"/>
        <v>1406296</v>
      </c>
      <c r="K127" s="133"/>
    </row>
    <row r="128" spans="2:11" s="74" customFormat="1" ht="16.5" customHeight="1">
      <c r="B128" s="126"/>
      <c r="C128" s="127" t="s">
        <v>188</v>
      </c>
      <c r="D128" s="127" t="s">
        <v>179</v>
      </c>
      <c r="E128" s="128"/>
      <c r="F128" s="129" t="s">
        <v>197</v>
      </c>
      <c r="G128" s="130" t="s">
        <v>181</v>
      </c>
      <c r="H128" s="131">
        <v>39</v>
      </c>
      <c r="I128" s="132">
        <v>16086.48717948718</v>
      </c>
      <c r="J128" s="132">
        <f t="shared" si="0"/>
        <v>627373</v>
      </c>
      <c r="K128" s="133"/>
    </row>
    <row r="129" spans="2:11" s="74" customFormat="1" ht="16.5" customHeight="1">
      <c r="B129" s="126"/>
      <c r="C129" s="127" t="s">
        <v>199</v>
      </c>
      <c r="D129" s="127" t="s">
        <v>179</v>
      </c>
      <c r="E129" s="128"/>
      <c r="F129" s="129" t="s">
        <v>200</v>
      </c>
      <c r="G129" s="130" t="s">
        <v>181</v>
      </c>
      <c r="H129" s="219">
        <v>13</v>
      </c>
      <c r="I129" s="220">
        <v>10091.249999999998</v>
      </c>
      <c r="J129" s="132">
        <f t="shared" si="0"/>
        <v>131186.25</v>
      </c>
      <c r="K129" s="133"/>
    </row>
    <row r="130" spans="2:11" s="74" customFormat="1" ht="16.5" customHeight="1">
      <c r="B130" s="126"/>
      <c r="C130" s="127" t="s">
        <v>191</v>
      </c>
      <c r="D130" s="127" t="s">
        <v>179</v>
      </c>
      <c r="E130" s="128"/>
      <c r="F130" s="129" t="s">
        <v>202</v>
      </c>
      <c r="G130" s="130" t="s">
        <v>181</v>
      </c>
      <c r="H130" s="219">
        <v>21</v>
      </c>
      <c r="I130" s="220">
        <v>16312</v>
      </c>
      <c r="J130" s="132">
        <f t="shared" si="0"/>
        <v>342552</v>
      </c>
      <c r="K130" s="133"/>
    </row>
    <row r="131" spans="2:11" s="74" customFormat="1" ht="16.5" customHeight="1">
      <c r="B131" s="126"/>
      <c r="C131" s="127" t="s">
        <v>204</v>
      </c>
      <c r="D131" s="127" t="s">
        <v>179</v>
      </c>
      <c r="E131" s="128"/>
      <c r="F131" s="129" t="s">
        <v>205</v>
      </c>
      <c r="G131" s="130" t="s">
        <v>181</v>
      </c>
      <c r="H131" s="219">
        <v>3</v>
      </c>
      <c r="I131" s="220">
        <v>19888.866666666665</v>
      </c>
      <c r="J131" s="132">
        <f t="shared" si="0"/>
        <v>59666.6</v>
      </c>
      <c r="K131" s="133"/>
    </row>
    <row r="132" spans="2:11" s="121" customFormat="1" ht="25.9" customHeight="1">
      <c r="B132" s="122"/>
      <c r="D132" s="123" t="s">
        <v>176</v>
      </c>
      <c r="E132" s="124" t="s">
        <v>207</v>
      </c>
      <c r="F132" s="124" t="s">
        <v>218</v>
      </c>
      <c r="H132" s="221"/>
      <c r="I132" s="221"/>
      <c r="J132" s="125">
        <f>SUM(J133:J139)</f>
        <v>35225178.119999997</v>
      </c>
    </row>
    <row r="133" spans="2:11" s="74" customFormat="1" ht="16.5" customHeight="1">
      <c r="B133" s="126"/>
      <c r="C133" s="127" t="s">
        <v>193</v>
      </c>
      <c r="D133" s="127" t="s">
        <v>179</v>
      </c>
      <c r="E133" s="128"/>
      <c r="F133" s="129" t="s">
        <v>180</v>
      </c>
      <c r="G133" s="130" t="s">
        <v>181</v>
      </c>
      <c r="H133" s="219">
        <v>148</v>
      </c>
      <c r="I133" s="220">
        <v>74723.358108108107</v>
      </c>
      <c r="J133" s="132">
        <f t="shared" ref="J133:J139" si="1">ROUND(I133*H133,2)</f>
        <v>11059057</v>
      </c>
      <c r="K133" s="133"/>
    </row>
    <row r="134" spans="2:11" s="74" customFormat="1" ht="16.5" customHeight="1">
      <c r="B134" s="126"/>
      <c r="C134" s="127" t="s">
        <v>209</v>
      </c>
      <c r="D134" s="127" t="s">
        <v>179</v>
      </c>
      <c r="E134" s="128"/>
      <c r="F134" s="129" t="s">
        <v>183</v>
      </c>
      <c r="G134" s="130" t="s">
        <v>181</v>
      </c>
      <c r="H134" s="219">
        <v>64</v>
      </c>
      <c r="I134" s="220">
        <v>132335.609375</v>
      </c>
      <c r="J134" s="132">
        <f t="shared" si="1"/>
        <v>8469479</v>
      </c>
      <c r="K134" s="133"/>
    </row>
    <row r="135" spans="2:11" s="74" customFormat="1" ht="16.5" customHeight="1">
      <c r="B135" s="126"/>
      <c r="C135" s="127" t="s">
        <v>196</v>
      </c>
      <c r="D135" s="127" t="s">
        <v>179</v>
      </c>
      <c r="E135" s="128"/>
      <c r="F135" s="129" t="s">
        <v>185</v>
      </c>
      <c r="G135" s="130" t="s">
        <v>181</v>
      </c>
      <c r="H135" s="219">
        <v>255</v>
      </c>
      <c r="I135" s="220">
        <v>34849.513725490193</v>
      </c>
      <c r="J135" s="132">
        <f t="shared" si="1"/>
        <v>8886626</v>
      </c>
      <c r="K135" s="133"/>
    </row>
    <row r="136" spans="2:11" s="74" customFormat="1" ht="16.5" customHeight="1">
      <c r="B136" s="126"/>
      <c r="C136" s="127" t="s">
        <v>210</v>
      </c>
      <c r="D136" s="127" t="s">
        <v>179</v>
      </c>
      <c r="E136" s="128"/>
      <c r="F136" s="129" t="s">
        <v>187</v>
      </c>
      <c r="G136" s="130" t="s">
        <v>181</v>
      </c>
      <c r="H136" s="219">
        <v>100</v>
      </c>
      <c r="I136" s="220">
        <v>12843.33</v>
      </c>
      <c r="J136" s="132">
        <f t="shared" si="1"/>
        <v>1284333</v>
      </c>
      <c r="K136" s="133"/>
    </row>
    <row r="137" spans="2:11" s="74" customFormat="1" ht="16.5" customHeight="1">
      <c r="B137" s="126"/>
      <c r="C137" s="127" t="s">
        <v>198</v>
      </c>
      <c r="D137" s="127" t="s">
        <v>179</v>
      </c>
      <c r="E137" s="128"/>
      <c r="F137" s="129" t="s">
        <v>190</v>
      </c>
      <c r="G137" s="130" t="s">
        <v>181</v>
      </c>
      <c r="H137" s="219">
        <v>36</v>
      </c>
      <c r="I137" s="220">
        <v>24304.258888888886</v>
      </c>
      <c r="J137" s="132">
        <f t="shared" si="1"/>
        <v>874953.32</v>
      </c>
      <c r="K137" s="133"/>
    </row>
    <row r="138" spans="2:11" s="74" customFormat="1" ht="16.5" customHeight="1">
      <c r="B138" s="126"/>
      <c r="C138" s="127" t="s">
        <v>211</v>
      </c>
      <c r="D138" s="127" t="s">
        <v>179</v>
      </c>
      <c r="E138" s="128"/>
      <c r="F138" s="129" t="s">
        <v>192</v>
      </c>
      <c r="G138" s="130" t="s">
        <v>181</v>
      </c>
      <c r="H138" s="219">
        <v>64</v>
      </c>
      <c r="I138" s="220">
        <v>56356.073125000003</v>
      </c>
      <c r="J138" s="132">
        <f t="shared" si="1"/>
        <v>3606788.68</v>
      </c>
      <c r="K138" s="133"/>
    </row>
    <row r="139" spans="2:11" s="74" customFormat="1" ht="16.5" customHeight="1">
      <c r="B139" s="126"/>
      <c r="C139" s="127" t="s">
        <v>201</v>
      </c>
      <c r="D139" s="127" t="s">
        <v>179</v>
      </c>
      <c r="E139" s="128"/>
      <c r="F139" s="129" t="s">
        <v>202</v>
      </c>
      <c r="G139" s="130" t="s">
        <v>181</v>
      </c>
      <c r="H139" s="219">
        <v>64</v>
      </c>
      <c r="I139" s="220">
        <v>16311.58</v>
      </c>
      <c r="J139" s="132">
        <f t="shared" si="1"/>
        <v>1043941.12</v>
      </c>
      <c r="K139" s="133"/>
    </row>
    <row r="140" spans="2:11" s="121" customFormat="1" ht="25.9" customHeight="1">
      <c r="B140" s="122"/>
      <c r="D140" s="123" t="s">
        <v>176</v>
      </c>
      <c r="E140" s="124" t="s">
        <v>220</v>
      </c>
      <c r="F140" s="124" t="s">
        <v>216</v>
      </c>
      <c r="H140" s="221"/>
      <c r="I140" s="221"/>
      <c r="J140" s="125">
        <f>SUM(J141:J147)</f>
        <v>23403341.759999998</v>
      </c>
    </row>
    <row r="141" spans="2:11" s="74" customFormat="1" ht="16.5" customHeight="1">
      <c r="B141" s="126"/>
      <c r="C141" s="127" t="s">
        <v>212</v>
      </c>
      <c r="D141" s="127" t="s">
        <v>179</v>
      </c>
      <c r="E141" s="128"/>
      <c r="F141" s="129" t="s">
        <v>180</v>
      </c>
      <c r="G141" s="130" t="s">
        <v>181</v>
      </c>
      <c r="H141" s="219">
        <v>117</v>
      </c>
      <c r="I141" s="220">
        <v>73451.666666666672</v>
      </c>
      <c r="J141" s="132">
        <f t="shared" ref="J141:J147" si="2">ROUND(I141*H141,2)</f>
        <v>8593845</v>
      </c>
      <c r="K141" s="133"/>
    </row>
    <row r="142" spans="2:11" s="74" customFormat="1" ht="16.5" customHeight="1">
      <c r="B142" s="126"/>
      <c r="C142" s="127" t="s">
        <v>203</v>
      </c>
      <c r="D142" s="127" t="s">
        <v>179</v>
      </c>
      <c r="E142" s="128"/>
      <c r="F142" s="129" t="s">
        <v>183</v>
      </c>
      <c r="G142" s="130" t="s">
        <v>181</v>
      </c>
      <c r="H142" s="219">
        <v>46</v>
      </c>
      <c r="I142" s="220">
        <v>109404.17391304347</v>
      </c>
      <c r="J142" s="132">
        <f t="shared" si="2"/>
        <v>5032592</v>
      </c>
      <c r="K142" s="133"/>
    </row>
    <row r="143" spans="2:11" s="74" customFormat="1" ht="16.5" customHeight="1">
      <c r="B143" s="126"/>
      <c r="C143" s="127" t="s">
        <v>213</v>
      </c>
      <c r="D143" s="127" t="s">
        <v>179</v>
      </c>
      <c r="E143" s="128"/>
      <c r="F143" s="129" t="s">
        <v>185</v>
      </c>
      <c r="G143" s="130" t="s">
        <v>181</v>
      </c>
      <c r="H143" s="219">
        <v>158</v>
      </c>
      <c r="I143" s="220">
        <v>34845.392405063292</v>
      </c>
      <c r="J143" s="132">
        <f t="shared" si="2"/>
        <v>5505572</v>
      </c>
      <c r="K143" s="133"/>
    </row>
    <row r="144" spans="2:11" s="74" customFormat="1" ht="16.5" customHeight="1">
      <c r="B144" s="126"/>
      <c r="C144" s="127" t="s">
        <v>206</v>
      </c>
      <c r="D144" s="127" t="s">
        <v>179</v>
      </c>
      <c r="E144" s="128"/>
      <c r="F144" s="129" t="s">
        <v>187</v>
      </c>
      <c r="G144" s="130" t="s">
        <v>181</v>
      </c>
      <c r="H144" s="219">
        <v>84</v>
      </c>
      <c r="I144" s="220">
        <v>12846.607142857143</v>
      </c>
      <c r="J144" s="132">
        <f t="shared" si="2"/>
        <v>1079115</v>
      </c>
      <c r="K144" s="133"/>
    </row>
    <row r="145" spans="2:11" s="74" customFormat="1" ht="16.5" customHeight="1">
      <c r="B145" s="126"/>
      <c r="C145" s="127" t="s">
        <v>214</v>
      </c>
      <c r="D145" s="127" t="s">
        <v>179</v>
      </c>
      <c r="E145" s="128"/>
      <c r="F145" s="129" t="s">
        <v>190</v>
      </c>
      <c r="G145" s="130" t="s">
        <v>181</v>
      </c>
      <c r="H145" s="219">
        <v>58</v>
      </c>
      <c r="I145" s="220">
        <v>23099.876566416042</v>
      </c>
      <c r="J145" s="132">
        <f t="shared" si="2"/>
        <v>1339792.8400000001</v>
      </c>
      <c r="K145" s="133"/>
    </row>
    <row r="146" spans="2:11" s="74" customFormat="1" ht="16.5" customHeight="1">
      <c r="B146" s="126"/>
      <c r="C146" s="127" t="s">
        <v>208</v>
      </c>
      <c r="D146" s="127" t="s">
        <v>179</v>
      </c>
      <c r="E146" s="128"/>
      <c r="F146" s="129" t="s">
        <v>192</v>
      </c>
      <c r="G146" s="130" t="s">
        <v>181</v>
      </c>
      <c r="H146" s="219">
        <v>26</v>
      </c>
      <c r="I146" s="220">
        <v>54935.112433862436</v>
      </c>
      <c r="J146" s="132">
        <f t="shared" si="2"/>
        <v>1428312.92</v>
      </c>
      <c r="K146" s="133"/>
    </row>
    <row r="147" spans="2:11" s="74" customFormat="1" ht="16.5" customHeight="1">
      <c r="B147" s="126"/>
      <c r="C147" s="127" t="s">
        <v>215</v>
      </c>
      <c r="D147" s="127" t="s">
        <v>179</v>
      </c>
      <c r="E147" s="128"/>
      <c r="F147" s="129" t="s">
        <v>202</v>
      </c>
      <c r="G147" s="130" t="s">
        <v>181</v>
      </c>
      <c r="H147" s="219">
        <v>26</v>
      </c>
      <c r="I147" s="220">
        <v>16312</v>
      </c>
      <c r="J147" s="132">
        <f t="shared" si="2"/>
        <v>424112</v>
      </c>
      <c r="K147" s="133"/>
    </row>
    <row r="148" spans="2:11" s="74" customFormat="1" ht="6.95" customHeight="1">
      <c r="B148" s="100"/>
      <c r="C148" s="101"/>
      <c r="D148" s="101"/>
      <c r="E148" s="101"/>
      <c r="F148" s="101"/>
      <c r="G148" s="101"/>
      <c r="H148" s="101"/>
      <c r="I148" s="101"/>
      <c r="J148" s="101"/>
      <c r="K148" s="101"/>
    </row>
  </sheetData>
  <autoFilter ref="C118:K147" xr:uid="{00000000-0009-0000-0000-000002000000}"/>
  <mergeCells count="8">
    <mergeCell ref="E87:H87"/>
    <mergeCell ref="E109:H109"/>
    <mergeCell ref="E111:H111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scale="84" fitToHeight="100" orientation="portrait" blackAndWhite="1" r:id="rId1"/>
  <headerFooter>
    <oddFooter>&amp;CStrana &amp;P z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D9495495DB144DBB8B715596F15770" ma:contentTypeVersion="4" ma:contentTypeDescription="Vytvoří nový dokument" ma:contentTypeScope="" ma:versionID="a1a571d62125879b098d826917b21897">
  <xsd:schema xmlns:xsd="http://www.w3.org/2001/XMLSchema" xmlns:xs="http://www.w3.org/2001/XMLSchema" xmlns:p="http://schemas.microsoft.com/office/2006/metadata/properties" xmlns:ns2="12acbd92-e5ed-47fd-a381-b2c3dc6de7d5" targetNamespace="http://schemas.microsoft.com/office/2006/metadata/properties" ma:root="true" ma:fieldsID="9c4eadeb5c3bd93a235bd4c81b3b6417" ns2:_="">
    <xsd:import namespace="12acbd92-e5ed-47fd-a381-b2c3dc6de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cbd92-e5ed-47fd-a381-b2c3dc6de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D21D0-B9CB-4211-9621-D52A23EC23B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12acbd92-e5ed-47fd-a381-b2c3dc6de7d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8788D6-1675-478C-9A51-F84708689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cbd92-e5ed-47fd-a381-b2c3dc6de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0EF59-21AB-499D-95AD-83E01A0C6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Krycí list</vt:lpstr>
      <vt:lpstr>Rekapitulace</vt:lpstr>
      <vt:lpstr>Prefa konstrukce hal</vt:lpstr>
      <vt:lpstr>'Prefa konstrukce hal'!Názvy_tisku</vt:lpstr>
      <vt:lpstr>'Prefa konstrukce hal'!Oblast_tisku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Jurčíková Lucie</cp:lastModifiedBy>
  <cp:lastPrinted>2025-04-07T05:58:57Z</cp:lastPrinted>
  <dcterms:created xsi:type="dcterms:W3CDTF">2025-03-25T11:39:56Z</dcterms:created>
  <dcterms:modified xsi:type="dcterms:W3CDTF">2025-04-07T06:02:42Z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0x010100A0D9495495DB144DBB8B715596F15770</vt:lpwstr>
  </property>
</Properties>
</file>